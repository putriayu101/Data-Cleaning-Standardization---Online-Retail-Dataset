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F1258ACC-D54B-4596-A28D-3B97E4A05F3F}" xr6:coauthVersionLast="47" xr6:coauthVersionMax="47" xr10:uidLastSave="{00000000-0000-0000-0000-000000000000}"/>
  <bookViews>
    <workbookView xWindow="30" yWindow="750" windowWidth="20460" windowHeight="10770" xr2:uid="{00000000-000D-0000-FFFF-FFFF00000000}"/>
  </bookViews>
  <sheets>
    <sheet name="online_retail_real_world - Copy" sheetId="1" r:id="rId1"/>
    <sheet name="MEDIAN" sheetId="2" r:id="rId2"/>
  </sheets>
  <definedNames>
    <definedName name="_xlnm._FilterDatabase" localSheetId="0" hidden="1">'online_retail_real_world - Copy'!$A$1:$K$3000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" i="1" l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2718" i="1"/>
  <c r="N2719" i="1"/>
  <c r="N2720" i="1"/>
  <c r="N2721" i="1"/>
  <c r="N2722" i="1"/>
  <c r="N2723" i="1"/>
  <c r="N2724" i="1"/>
  <c r="N2725" i="1"/>
  <c r="N2726" i="1"/>
  <c r="N2727" i="1"/>
  <c r="N2728" i="1"/>
  <c r="N2729" i="1"/>
  <c r="N2730" i="1"/>
  <c r="N2731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44" i="1"/>
  <c r="N2745" i="1"/>
  <c r="N2746" i="1"/>
  <c r="N2747" i="1"/>
  <c r="N2748" i="1"/>
  <c r="N2749" i="1"/>
  <c r="N2750" i="1"/>
  <c r="N2751" i="1"/>
  <c r="N2752" i="1"/>
  <c r="N2753" i="1"/>
  <c r="N2754" i="1"/>
  <c r="N2755" i="1"/>
  <c r="N2756" i="1"/>
  <c r="N2757" i="1"/>
  <c r="N2758" i="1"/>
  <c r="N2759" i="1"/>
  <c r="N2760" i="1"/>
  <c r="N2761" i="1"/>
  <c r="N2762" i="1"/>
  <c r="N2763" i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77" i="1"/>
  <c r="N2778" i="1"/>
  <c r="N2779" i="1"/>
  <c r="N2780" i="1"/>
  <c r="N2781" i="1"/>
  <c r="N2782" i="1"/>
  <c r="N2783" i="1"/>
  <c r="N2784" i="1"/>
  <c r="N2785" i="1"/>
  <c r="N2786" i="1"/>
  <c r="N2787" i="1"/>
  <c r="N2788" i="1"/>
  <c r="N2789" i="1"/>
  <c r="N2790" i="1"/>
  <c r="N2791" i="1"/>
  <c r="N2792" i="1"/>
  <c r="N2793" i="1"/>
  <c r="N2794" i="1"/>
  <c r="N2795" i="1"/>
  <c r="N2796" i="1"/>
  <c r="N2797" i="1"/>
  <c r="N2798" i="1"/>
  <c r="N2799" i="1"/>
  <c r="N2800" i="1"/>
  <c r="N2801" i="1"/>
  <c r="N2802" i="1"/>
  <c r="N2803" i="1"/>
  <c r="N2804" i="1"/>
  <c r="N2805" i="1"/>
  <c r="N2806" i="1"/>
  <c r="N2807" i="1"/>
  <c r="N2808" i="1"/>
  <c r="N2809" i="1"/>
  <c r="N2810" i="1"/>
  <c r="N2811" i="1"/>
  <c r="N2812" i="1"/>
  <c r="N2813" i="1"/>
  <c r="N2814" i="1"/>
  <c r="N2815" i="1"/>
  <c r="N2816" i="1"/>
  <c r="N2817" i="1"/>
  <c r="N2818" i="1"/>
  <c r="N2819" i="1"/>
  <c r="N2820" i="1"/>
  <c r="N2821" i="1"/>
  <c r="N2822" i="1"/>
  <c r="N2823" i="1"/>
  <c r="N2824" i="1"/>
  <c r="N2825" i="1"/>
  <c r="N2826" i="1"/>
  <c r="N2827" i="1"/>
  <c r="N2828" i="1"/>
  <c r="N2829" i="1"/>
  <c r="N2830" i="1"/>
  <c r="N2831" i="1"/>
  <c r="N2832" i="1"/>
  <c r="N2833" i="1"/>
  <c r="N2834" i="1"/>
  <c r="N2835" i="1"/>
  <c r="N2836" i="1"/>
  <c r="N2837" i="1"/>
  <c r="N2838" i="1"/>
  <c r="N2839" i="1"/>
  <c r="N2840" i="1"/>
  <c r="N2841" i="1"/>
  <c r="N2842" i="1"/>
  <c r="N2843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56" i="1"/>
  <c r="N2857" i="1"/>
  <c r="N2858" i="1"/>
  <c r="N2859" i="1"/>
  <c r="N2860" i="1"/>
  <c r="N2861" i="1"/>
  <c r="N2862" i="1"/>
  <c r="N2863" i="1"/>
  <c r="N2864" i="1"/>
  <c r="N2865" i="1"/>
  <c r="N2866" i="1"/>
  <c r="N2867" i="1"/>
  <c r="N2868" i="1"/>
  <c r="N2869" i="1"/>
  <c r="N2870" i="1"/>
  <c r="N2871" i="1"/>
  <c r="N2872" i="1"/>
  <c r="N2873" i="1"/>
  <c r="N2874" i="1"/>
  <c r="N2875" i="1"/>
  <c r="N2876" i="1"/>
  <c r="N2877" i="1"/>
  <c r="N2878" i="1"/>
  <c r="N2879" i="1"/>
  <c r="N2880" i="1"/>
  <c r="N2881" i="1"/>
  <c r="N2882" i="1"/>
  <c r="N2883" i="1"/>
  <c r="N2884" i="1"/>
  <c r="N2885" i="1"/>
  <c r="N2886" i="1"/>
  <c r="N2887" i="1"/>
  <c r="N2888" i="1"/>
  <c r="N2889" i="1"/>
  <c r="N2890" i="1"/>
  <c r="N2891" i="1"/>
  <c r="N2892" i="1"/>
  <c r="N2893" i="1"/>
  <c r="N2894" i="1"/>
  <c r="N2895" i="1"/>
  <c r="N2896" i="1"/>
  <c r="N2897" i="1"/>
  <c r="N2898" i="1"/>
  <c r="N2899" i="1"/>
  <c r="N2900" i="1"/>
  <c r="N2901" i="1"/>
  <c r="N2902" i="1"/>
  <c r="N2903" i="1"/>
  <c r="N2904" i="1"/>
  <c r="N2905" i="1"/>
  <c r="N2906" i="1"/>
  <c r="N2907" i="1"/>
  <c r="N2908" i="1"/>
  <c r="N2909" i="1"/>
  <c r="N2910" i="1"/>
  <c r="N2911" i="1"/>
  <c r="N2912" i="1"/>
  <c r="N2913" i="1"/>
  <c r="N2914" i="1"/>
  <c r="N2915" i="1"/>
  <c r="N2916" i="1"/>
  <c r="N2917" i="1"/>
  <c r="N2918" i="1"/>
  <c r="N2919" i="1"/>
  <c r="N2920" i="1"/>
  <c r="N2921" i="1"/>
  <c r="N2922" i="1"/>
  <c r="N2923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36" i="1"/>
  <c r="N2937" i="1"/>
  <c r="N2938" i="1"/>
  <c r="N2939" i="1"/>
  <c r="N2940" i="1"/>
  <c r="N2941" i="1"/>
  <c r="N2942" i="1"/>
  <c r="N2943" i="1"/>
  <c r="N2944" i="1"/>
  <c r="N2945" i="1"/>
  <c r="N2946" i="1"/>
  <c r="N2947" i="1"/>
  <c r="N2948" i="1"/>
  <c r="N2949" i="1"/>
  <c r="N2950" i="1"/>
  <c r="N2951" i="1"/>
  <c r="N2952" i="1"/>
  <c r="N2953" i="1"/>
  <c r="N2954" i="1"/>
  <c r="N2955" i="1"/>
  <c r="N2956" i="1"/>
  <c r="N2957" i="1"/>
  <c r="N2958" i="1"/>
  <c r="N2959" i="1"/>
  <c r="N2960" i="1"/>
  <c r="N2961" i="1"/>
  <c r="N2962" i="1"/>
  <c r="N2963" i="1"/>
  <c r="N2964" i="1"/>
  <c r="N2965" i="1"/>
  <c r="N2966" i="1"/>
  <c r="N2967" i="1"/>
  <c r="N2968" i="1"/>
  <c r="N2969" i="1"/>
  <c r="N2970" i="1"/>
  <c r="N2971" i="1"/>
  <c r="N2972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92" i="1"/>
  <c r="N2993" i="1"/>
  <c r="N2994" i="1"/>
  <c r="N2995" i="1"/>
  <c r="N2996" i="1"/>
  <c r="N2997" i="1"/>
  <c r="N2998" i="1"/>
  <c r="N2999" i="1"/>
  <c r="N3000" i="1"/>
  <c r="N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2569" i="1"/>
  <c r="M2570" i="1"/>
  <c r="M2571" i="1"/>
  <c r="M2572" i="1"/>
  <c r="M2573" i="1"/>
  <c r="M2574" i="1"/>
  <c r="M2575" i="1"/>
  <c r="M2576" i="1"/>
  <c r="M2577" i="1"/>
  <c r="M2578" i="1"/>
  <c r="M2579" i="1"/>
  <c r="M2580" i="1"/>
  <c r="M2581" i="1"/>
  <c r="M2582" i="1"/>
  <c r="M2583" i="1"/>
  <c r="M2584" i="1"/>
  <c r="M2585" i="1"/>
  <c r="M2586" i="1"/>
  <c r="M2587" i="1"/>
  <c r="M2588" i="1"/>
  <c r="M2589" i="1"/>
  <c r="M2590" i="1"/>
  <c r="M2591" i="1"/>
  <c r="M2592" i="1"/>
  <c r="M2593" i="1"/>
  <c r="M2594" i="1"/>
  <c r="M2595" i="1"/>
  <c r="M2596" i="1"/>
  <c r="M2597" i="1"/>
  <c r="M2598" i="1"/>
  <c r="M2599" i="1"/>
  <c r="M2600" i="1"/>
  <c r="M2601" i="1"/>
  <c r="M2602" i="1"/>
  <c r="M2603" i="1"/>
  <c r="M2604" i="1"/>
  <c r="M2605" i="1"/>
  <c r="M2606" i="1"/>
  <c r="M2607" i="1"/>
  <c r="M2608" i="1"/>
  <c r="M2609" i="1"/>
  <c r="M2610" i="1"/>
  <c r="M2611" i="1"/>
  <c r="M2612" i="1"/>
  <c r="M2613" i="1"/>
  <c r="M2614" i="1"/>
  <c r="M2615" i="1"/>
  <c r="M2616" i="1"/>
  <c r="M2617" i="1"/>
  <c r="M2618" i="1"/>
  <c r="M2619" i="1"/>
  <c r="M2620" i="1"/>
  <c r="M2621" i="1"/>
  <c r="M2622" i="1"/>
  <c r="M2623" i="1"/>
  <c r="M2624" i="1"/>
  <c r="M2625" i="1"/>
  <c r="M2626" i="1"/>
  <c r="M2627" i="1"/>
  <c r="M2628" i="1"/>
  <c r="M2629" i="1"/>
  <c r="M2630" i="1"/>
  <c r="M2631" i="1"/>
  <c r="M2632" i="1"/>
  <c r="M2633" i="1"/>
  <c r="M2634" i="1"/>
  <c r="M2635" i="1"/>
  <c r="M2636" i="1"/>
  <c r="M2637" i="1"/>
  <c r="M2638" i="1"/>
  <c r="M2639" i="1"/>
  <c r="M2640" i="1"/>
  <c r="M2641" i="1"/>
  <c r="M2642" i="1"/>
  <c r="M2643" i="1"/>
  <c r="M2644" i="1"/>
  <c r="M2645" i="1"/>
  <c r="M2646" i="1"/>
  <c r="M2647" i="1"/>
  <c r="M2648" i="1"/>
  <c r="M2649" i="1"/>
  <c r="M2650" i="1"/>
  <c r="M2651" i="1"/>
  <c r="M2652" i="1"/>
  <c r="M2653" i="1"/>
  <c r="M2654" i="1"/>
  <c r="M2655" i="1"/>
  <c r="M2656" i="1"/>
  <c r="M2657" i="1"/>
  <c r="M2658" i="1"/>
  <c r="M2659" i="1"/>
  <c r="M2660" i="1"/>
  <c r="M2661" i="1"/>
  <c r="M2662" i="1"/>
  <c r="M2663" i="1"/>
  <c r="M2664" i="1"/>
  <c r="M2665" i="1"/>
  <c r="M2666" i="1"/>
  <c r="M2667" i="1"/>
  <c r="M2668" i="1"/>
  <c r="M2669" i="1"/>
  <c r="M2670" i="1"/>
  <c r="M2671" i="1"/>
  <c r="M2672" i="1"/>
  <c r="M2673" i="1"/>
  <c r="M2674" i="1"/>
  <c r="M2675" i="1"/>
  <c r="M2676" i="1"/>
  <c r="M2677" i="1"/>
  <c r="M2678" i="1"/>
  <c r="M2679" i="1"/>
  <c r="M2680" i="1"/>
  <c r="M2681" i="1"/>
  <c r="M2682" i="1"/>
  <c r="M2683" i="1"/>
  <c r="M2684" i="1"/>
  <c r="M2685" i="1"/>
  <c r="M2686" i="1"/>
  <c r="M2687" i="1"/>
  <c r="M2688" i="1"/>
  <c r="M2689" i="1"/>
  <c r="M2690" i="1"/>
  <c r="M2691" i="1"/>
  <c r="M2692" i="1"/>
  <c r="M2693" i="1"/>
  <c r="M2694" i="1"/>
  <c r="M2695" i="1"/>
  <c r="M2696" i="1"/>
  <c r="M2697" i="1"/>
  <c r="M2698" i="1"/>
  <c r="M2699" i="1"/>
  <c r="M2700" i="1"/>
  <c r="M2701" i="1"/>
  <c r="M2702" i="1"/>
  <c r="M2703" i="1"/>
  <c r="M2704" i="1"/>
  <c r="M2705" i="1"/>
  <c r="M2706" i="1"/>
  <c r="M2707" i="1"/>
  <c r="M2708" i="1"/>
  <c r="M2709" i="1"/>
  <c r="M2710" i="1"/>
  <c r="M2711" i="1"/>
  <c r="M2712" i="1"/>
  <c r="M2713" i="1"/>
  <c r="M2714" i="1"/>
  <c r="M2715" i="1"/>
  <c r="M2716" i="1"/>
  <c r="M2717" i="1"/>
  <c r="M2718" i="1"/>
  <c r="M2719" i="1"/>
  <c r="M2720" i="1"/>
  <c r="M2721" i="1"/>
  <c r="M2722" i="1"/>
  <c r="M2723" i="1"/>
  <c r="M2724" i="1"/>
  <c r="M2725" i="1"/>
  <c r="M2726" i="1"/>
  <c r="M2727" i="1"/>
  <c r="M2728" i="1"/>
  <c r="M2729" i="1"/>
  <c r="M2730" i="1"/>
  <c r="M2731" i="1"/>
  <c r="M2732" i="1"/>
  <c r="M2733" i="1"/>
  <c r="M2734" i="1"/>
  <c r="M2735" i="1"/>
  <c r="M2736" i="1"/>
  <c r="M2737" i="1"/>
  <c r="M2738" i="1"/>
  <c r="M2739" i="1"/>
  <c r="M2740" i="1"/>
  <c r="M2741" i="1"/>
  <c r="M2742" i="1"/>
  <c r="M2743" i="1"/>
  <c r="M2744" i="1"/>
  <c r="M2745" i="1"/>
  <c r="M2746" i="1"/>
  <c r="M2747" i="1"/>
  <c r="M2748" i="1"/>
  <c r="M2749" i="1"/>
  <c r="M2750" i="1"/>
  <c r="M2751" i="1"/>
  <c r="M2752" i="1"/>
  <c r="M2753" i="1"/>
  <c r="M2754" i="1"/>
  <c r="M2755" i="1"/>
  <c r="M2756" i="1"/>
  <c r="M2757" i="1"/>
  <c r="M2758" i="1"/>
  <c r="M2759" i="1"/>
  <c r="M2760" i="1"/>
  <c r="M2761" i="1"/>
  <c r="M2762" i="1"/>
  <c r="M2763" i="1"/>
  <c r="M2764" i="1"/>
  <c r="M2765" i="1"/>
  <c r="M2766" i="1"/>
  <c r="M2767" i="1"/>
  <c r="M2768" i="1"/>
  <c r="M2769" i="1"/>
  <c r="M2770" i="1"/>
  <c r="M2771" i="1"/>
  <c r="M2772" i="1"/>
  <c r="M2773" i="1"/>
  <c r="M2774" i="1"/>
  <c r="M2775" i="1"/>
  <c r="M2776" i="1"/>
  <c r="M2777" i="1"/>
  <c r="M2778" i="1"/>
  <c r="M2779" i="1"/>
  <c r="M2780" i="1"/>
  <c r="M2781" i="1"/>
  <c r="M2782" i="1"/>
  <c r="M2783" i="1"/>
  <c r="M2784" i="1"/>
  <c r="M2785" i="1"/>
  <c r="M2786" i="1"/>
  <c r="M2787" i="1"/>
  <c r="M2788" i="1"/>
  <c r="M2789" i="1"/>
  <c r="M2790" i="1"/>
  <c r="M2791" i="1"/>
  <c r="M2792" i="1"/>
  <c r="M2793" i="1"/>
  <c r="M2794" i="1"/>
  <c r="M2795" i="1"/>
  <c r="M2796" i="1"/>
  <c r="M2797" i="1"/>
  <c r="M2798" i="1"/>
  <c r="M2799" i="1"/>
  <c r="M2800" i="1"/>
  <c r="M2801" i="1"/>
  <c r="M2802" i="1"/>
  <c r="M2803" i="1"/>
  <c r="M2804" i="1"/>
  <c r="M2805" i="1"/>
  <c r="M2806" i="1"/>
  <c r="M2807" i="1"/>
  <c r="M2808" i="1"/>
  <c r="M2809" i="1"/>
  <c r="M2810" i="1"/>
  <c r="M2811" i="1"/>
  <c r="M2812" i="1"/>
  <c r="M2813" i="1"/>
  <c r="M2814" i="1"/>
  <c r="M2815" i="1"/>
  <c r="M2816" i="1"/>
  <c r="M2817" i="1"/>
  <c r="M2818" i="1"/>
  <c r="M2819" i="1"/>
  <c r="M2820" i="1"/>
  <c r="M2821" i="1"/>
  <c r="M2822" i="1"/>
  <c r="M2823" i="1"/>
  <c r="M2824" i="1"/>
  <c r="M2825" i="1"/>
  <c r="M2826" i="1"/>
  <c r="M2827" i="1"/>
  <c r="M2828" i="1"/>
  <c r="M2829" i="1"/>
  <c r="M2830" i="1"/>
  <c r="M2831" i="1"/>
  <c r="M2832" i="1"/>
  <c r="M2833" i="1"/>
  <c r="M2834" i="1"/>
  <c r="M2835" i="1"/>
  <c r="M2836" i="1"/>
  <c r="M2837" i="1"/>
  <c r="M2838" i="1"/>
  <c r="M2839" i="1"/>
  <c r="M2840" i="1"/>
  <c r="M2841" i="1"/>
  <c r="M2842" i="1"/>
  <c r="M2843" i="1"/>
  <c r="M2844" i="1"/>
  <c r="M2845" i="1"/>
  <c r="M2846" i="1"/>
  <c r="M2847" i="1"/>
  <c r="M2848" i="1"/>
  <c r="M2849" i="1"/>
  <c r="M2850" i="1"/>
  <c r="M2851" i="1"/>
  <c r="M2852" i="1"/>
  <c r="M2853" i="1"/>
  <c r="M2854" i="1"/>
  <c r="M2855" i="1"/>
  <c r="M2856" i="1"/>
  <c r="M2857" i="1"/>
  <c r="M2858" i="1"/>
  <c r="M2859" i="1"/>
  <c r="M2860" i="1"/>
  <c r="M2861" i="1"/>
  <c r="M2862" i="1"/>
  <c r="M2863" i="1"/>
  <c r="M2864" i="1"/>
  <c r="M2865" i="1"/>
  <c r="M2866" i="1"/>
  <c r="M2867" i="1"/>
  <c r="M2868" i="1"/>
  <c r="M2869" i="1"/>
  <c r="M2870" i="1"/>
  <c r="M2871" i="1"/>
  <c r="M2872" i="1"/>
  <c r="M2873" i="1"/>
  <c r="M2874" i="1"/>
  <c r="M2875" i="1"/>
  <c r="M2876" i="1"/>
  <c r="M2877" i="1"/>
  <c r="M2878" i="1"/>
  <c r="M2879" i="1"/>
  <c r="M2880" i="1"/>
  <c r="M2881" i="1"/>
  <c r="M2882" i="1"/>
  <c r="M2883" i="1"/>
  <c r="M2884" i="1"/>
  <c r="M2885" i="1"/>
  <c r="M2886" i="1"/>
  <c r="M2887" i="1"/>
  <c r="M2888" i="1"/>
  <c r="M2889" i="1"/>
  <c r="M2890" i="1"/>
  <c r="M2891" i="1"/>
  <c r="M2892" i="1"/>
  <c r="M2893" i="1"/>
  <c r="M2894" i="1"/>
  <c r="M2895" i="1"/>
  <c r="M2896" i="1"/>
  <c r="M2897" i="1"/>
  <c r="M2898" i="1"/>
  <c r="M2899" i="1"/>
  <c r="M2900" i="1"/>
  <c r="M2901" i="1"/>
  <c r="M2902" i="1"/>
  <c r="M2903" i="1"/>
  <c r="M2904" i="1"/>
  <c r="M2905" i="1"/>
  <c r="M2906" i="1"/>
  <c r="M2907" i="1"/>
  <c r="M2908" i="1"/>
  <c r="M2909" i="1"/>
  <c r="M2910" i="1"/>
  <c r="M2911" i="1"/>
  <c r="M2912" i="1"/>
  <c r="M2913" i="1"/>
  <c r="M2914" i="1"/>
  <c r="M2915" i="1"/>
  <c r="M2916" i="1"/>
  <c r="M2917" i="1"/>
  <c r="M2918" i="1"/>
  <c r="M2919" i="1"/>
  <c r="M2920" i="1"/>
  <c r="M2921" i="1"/>
  <c r="M2922" i="1"/>
  <c r="M2923" i="1"/>
  <c r="M2924" i="1"/>
  <c r="M2925" i="1"/>
  <c r="M2926" i="1"/>
  <c r="M2927" i="1"/>
  <c r="M2928" i="1"/>
  <c r="M2929" i="1"/>
  <c r="M2930" i="1"/>
  <c r="M2931" i="1"/>
  <c r="M2932" i="1"/>
  <c r="M2933" i="1"/>
  <c r="M2934" i="1"/>
  <c r="M2935" i="1"/>
  <c r="M2936" i="1"/>
  <c r="M2937" i="1"/>
  <c r="M2938" i="1"/>
  <c r="M2939" i="1"/>
  <c r="M2940" i="1"/>
  <c r="M2941" i="1"/>
  <c r="M2942" i="1"/>
  <c r="M2943" i="1"/>
  <c r="M2944" i="1"/>
  <c r="M2945" i="1"/>
  <c r="M2946" i="1"/>
  <c r="M2947" i="1"/>
  <c r="M2948" i="1"/>
  <c r="M2949" i="1"/>
  <c r="M2950" i="1"/>
  <c r="M2951" i="1"/>
  <c r="M2952" i="1"/>
  <c r="M2953" i="1"/>
  <c r="M2954" i="1"/>
  <c r="M2955" i="1"/>
  <c r="M2956" i="1"/>
  <c r="M2957" i="1"/>
  <c r="M2958" i="1"/>
  <c r="M2959" i="1"/>
  <c r="M2960" i="1"/>
  <c r="M2961" i="1"/>
  <c r="M2962" i="1"/>
  <c r="M2963" i="1"/>
  <c r="M2964" i="1"/>
  <c r="M2965" i="1"/>
  <c r="M2966" i="1"/>
  <c r="M2967" i="1"/>
  <c r="M2968" i="1"/>
  <c r="M2969" i="1"/>
  <c r="M2970" i="1"/>
  <c r="M2971" i="1"/>
  <c r="M2972" i="1"/>
  <c r="M2973" i="1"/>
  <c r="M2974" i="1"/>
  <c r="M2975" i="1"/>
  <c r="M2976" i="1"/>
  <c r="M2977" i="1"/>
  <c r="M2978" i="1"/>
  <c r="M2979" i="1"/>
  <c r="M2980" i="1"/>
  <c r="M2981" i="1"/>
  <c r="M2982" i="1"/>
  <c r="M2983" i="1"/>
  <c r="M2984" i="1"/>
  <c r="M2985" i="1"/>
  <c r="M2986" i="1"/>
  <c r="M2987" i="1"/>
  <c r="M2988" i="1"/>
  <c r="M2989" i="1"/>
  <c r="M2990" i="1"/>
  <c r="M2991" i="1"/>
  <c r="M2992" i="1"/>
  <c r="M2993" i="1"/>
  <c r="M2994" i="1"/>
  <c r="M2995" i="1"/>
  <c r="M2996" i="1"/>
  <c r="M2997" i="1"/>
  <c r="M2998" i="1"/>
  <c r="M2999" i="1"/>
  <c r="M3000" i="1"/>
  <c r="M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2" i="1"/>
  <c r="K12" i="1"/>
  <c r="K32" i="1"/>
  <c r="K37" i="1"/>
  <c r="K41" i="1"/>
  <c r="K42" i="1"/>
  <c r="K51" i="1"/>
  <c r="K53" i="1"/>
  <c r="K64" i="1"/>
  <c r="K65" i="1"/>
  <c r="K68" i="1"/>
  <c r="K77" i="1"/>
  <c r="K82" i="1"/>
  <c r="K102" i="1"/>
  <c r="K113" i="1"/>
  <c r="K127" i="1"/>
  <c r="K128" i="1"/>
  <c r="K130" i="1"/>
  <c r="K151" i="1"/>
  <c r="K153" i="1"/>
  <c r="K174" i="1"/>
  <c r="K175" i="1"/>
  <c r="K180" i="1"/>
  <c r="K203" i="1"/>
  <c r="K204" i="1"/>
  <c r="K208" i="1"/>
  <c r="K212" i="1"/>
  <c r="K215" i="1"/>
  <c r="K222" i="1"/>
  <c r="K233" i="1"/>
  <c r="K237" i="1"/>
  <c r="K241" i="1"/>
  <c r="K256" i="1"/>
  <c r="K262" i="1"/>
  <c r="K276" i="1"/>
  <c r="K277" i="1"/>
  <c r="K278" i="1"/>
  <c r="K281" i="1"/>
  <c r="K282" i="1"/>
  <c r="K284" i="1"/>
  <c r="K297" i="1"/>
  <c r="K299" i="1"/>
  <c r="K301" i="1"/>
  <c r="K302" i="1"/>
  <c r="K309" i="1"/>
  <c r="K315" i="1"/>
  <c r="K317" i="1"/>
  <c r="K329" i="1"/>
  <c r="K334" i="1"/>
  <c r="K338" i="1"/>
  <c r="K342" i="1"/>
  <c r="K344" i="1"/>
  <c r="K352" i="1"/>
  <c r="K358" i="1"/>
  <c r="K359" i="1"/>
  <c r="K366" i="1"/>
  <c r="K371" i="1"/>
  <c r="K379" i="1"/>
  <c r="K385" i="1"/>
  <c r="K388" i="1"/>
  <c r="K391" i="1"/>
  <c r="K393" i="1"/>
  <c r="K398" i="1"/>
  <c r="K399" i="1"/>
  <c r="K400" i="1"/>
  <c r="K411" i="1"/>
  <c r="K412" i="1"/>
  <c r="K415" i="1"/>
  <c r="K417" i="1"/>
  <c r="K433" i="1"/>
  <c r="K434" i="1"/>
  <c r="K435" i="1"/>
  <c r="K443" i="1"/>
  <c r="K455" i="1"/>
  <c r="K459" i="1"/>
  <c r="K466" i="1"/>
  <c r="K467" i="1"/>
  <c r="K468" i="1"/>
  <c r="K473" i="1"/>
  <c r="K477" i="1"/>
  <c r="K493" i="1"/>
  <c r="K499" i="1"/>
  <c r="K501" i="1"/>
  <c r="K513" i="1"/>
  <c r="K518" i="1"/>
  <c r="K525" i="1"/>
  <c r="K528" i="1"/>
  <c r="K532" i="1"/>
  <c r="K533" i="1"/>
  <c r="K534" i="1"/>
  <c r="K541" i="1"/>
  <c r="K550" i="1"/>
  <c r="K551" i="1"/>
  <c r="K560" i="1"/>
  <c r="K566" i="1"/>
  <c r="K573" i="1"/>
  <c r="K574" i="1"/>
  <c r="K577" i="1"/>
  <c r="K583" i="1"/>
  <c r="K584" i="1"/>
  <c r="K589" i="1"/>
  <c r="K597" i="1"/>
  <c r="K603" i="1"/>
  <c r="K606" i="1"/>
  <c r="K607" i="1"/>
  <c r="K632" i="1"/>
  <c r="K636" i="1"/>
  <c r="K639" i="1"/>
  <c r="K645" i="1"/>
  <c r="K654" i="1"/>
  <c r="K655" i="1"/>
  <c r="K664" i="1"/>
  <c r="K669" i="1"/>
  <c r="K677" i="1"/>
  <c r="K697" i="1"/>
  <c r="K701" i="1"/>
  <c r="K702" i="1"/>
  <c r="K711" i="1"/>
  <c r="K714" i="1"/>
  <c r="K715" i="1"/>
  <c r="K717" i="1"/>
  <c r="K721" i="1"/>
  <c r="K723" i="1"/>
  <c r="K727" i="1"/>
  <c r="K729" i="1"/>
  <c r="K730" i="1"/>
  <c r="K740" i="1"/>
  <c r="K748" i="1"/>
  <c r="K753" i="1"/>
  <c r="K761" i="1"/>
  <c r="K762" i="1"/>
  <c r="K764" i="1"/>
  <c r="K765" i="1"/>
  <c r="K773" i="1"/>
  <c r="K790" i="1"/>
  <c r="K799" i="1"/>
  <c r="K809" i="1"/>
  <c r="K810" i="1"/>
  <c r="K817" i="1"/>
  <c r="K820" i="1"/>
  <c r="K841" i="1"/>
  <c r="K842" i="1"/>
  <c r="K861" i="1"/>
  <c r="K862" i="1"/>
  <c r="K867" i="1"/>
  <c r="K872" i="1"/>
  <c r="K876" i="1"/>
  <c r="K877" i="1"/>
  <c r="K889" i="1"/>
  <c r="K905" i="1"/>
  <c r="K934" i="1"/>
  <c r="K939" i="1"/>
  <c r="K941" i="1"/>
  <c r="K949" i="1"/>
  <c r="K954" i="1"/>
  <c r="K956" i="1"/>
  <c r="K962" i="1"/>
  <c r="K967" i="1"/>
  <c r="K968" i="1"/>
  <c r="K971" i="1"/>
  <c r="K973" i="1"/>
  <c r="K979" i="1"/>
  <c r="K982" i="1"/>
  <c r="K985" i="1"/>
  <c r="K989" i="1"/>
  <c r="K994" i="1"/>
  <c r="K1007" i="1"/>
  <c r="K1024" i="1"/>
  <c r="K1038" i="1"/>
  <c r="K1046" i="1"/>
  <c r="K1052" i="1"/>
  <c r="K1067" i="1"/>
  <c r="K1068" i="1"/>
  <c r="K1072" i="1"/>
  <c r="K1079" i="1"/>
  <c r="K1090" i="1"/>
  <c r="K1100" i="1"/>
  <c r="K1114" i="1"/>
  <c r="K1115" i="1"/>
  <c r="K1121" i="1"/>
  <c r="K1128" i="1"/>
  <c r="K1129" i="1"/>
  <c r="K1145" i="1"/>
  <c r="K1150" i="1"/>
  <c r="K1151" i="1"/>
  <c r="K1166" i="1"/>
  <c r="K1167" i="1"/>
  <c r="K1174" i="1"/>
  <c r="K1175" i="1"/>
  <c r="K1184" i="1"/>
  <c r="K1186" i="1"/>
  <c r="K1190" i="1"/>
  <c r="K1191" i="1"/>
  <c r="K1192" i="1"/>
  <c r="K1199" i="1"/>
  <c r="K1201" i="1"/>
  <c r="K1203" i="1"/>
  <c r="K1223" i="1"/>
  <c r="K1234" i="1"/>
  <c r="K1239" i="1"/>
  <c r="K1258" i="1"/>
  <c r="K1259" i="1"/>
  <c r="K1271" i="1"/>
  <c r="K1276" i="1"/>
  <c r="K1277" i="1"/>
  <c r="K1284" i="1"/>
  <c r="K1293" i="1"/>
  <c r="K1296" i="1"/>
  <c r="K1321" i="1"/>
  <c r="K1327" i="1"/>
  <c r="K1329" i="1"/>
  <c r="K1330" i="1"/>
  <c r="K1334" i="1"/>
  <c r="K1341" i="1"/>
  <c r="K1344" i="1"/>
  <c r="K1346" i="1"/>
  <c r="K1349" i="1"/>
  <c r="K1353" i="1"/>
  <c r="K1361" i="1"/>
  <c r="K1366" i="1"/>
  <c r="K1372" i="1"/>
  <c r="K1374" i="1"/>
  <c r="K1375" i="1"/>
  <c r="K1376" i="1"/>
  <c r="K1379" i="1"/>
  <c r="K1380" i="1"/>
  <c r="K1397" i="1"/>
  <c r="K1404" i="1"/>
  <c r="K1405" i="1"/>
  <c r="K1409" i="1"/>
  <c r="K1413" i="1"/>
  <c r="K1420" i="1"/>
  <c r="K1423" i="1"/>
  <c r="K1426" i="1"/>
  <c r="K1441" i="1"/>
  <c r="K1458" i="1"/>
  <c r="K1459" i="1"/>
  <c r="K1479" i="1"/>
  <c r="K1486" i="1"/>
  <c r="K1494" i="1"/>
  <c r="K1503" i="1"/>
  <c r="K1512" i="1"/>
  <c r="K1515" i="1"/>
  <c r="K1516" i="1"/>
  <c r="K1521" i="1"/>
  <c r="K1523" i="1"/>
  <c r="K1527" i="1"/>
  <c r="K1544" i="1"/>
  <c r="K1549" i="1"/>
  <c r="K1551" i="1"/>
  <c r="K1556" i="1"/>
  <c r="K1564" i="1"/>
  <c r="K1568" i="1"/>
  <c r="K1574" i="1"/>
  <c r="K1578" i="1"/>
  <c r="K1579" i="1"/>
  <c r="K1581" i="1"/>
  <c r="K1586" i="1"/>
  <c r="K1587" i="1"/>
  <c r="K1606" i="1"/>
  <c r="K1615" i="1"/>
  <c r="K1618" i="1"/>
  <c r="K1622" i="1"/>
  <c r="K1642" i="1"/>
  <c r="K1668" i="1"/>
  <c r="K1672" i="1"/>
  <c r="K1681" i="1"/>
  <c r="K1697" i="1"/>
  <c r="K1707" i="1"/>
  <c r="K1708" i="1"/>
  <c r="K1711" i="1"/>
  <c r="K1714" i="1"/>
  <c r="K1724" i="1"/>
  <c r="K1728" i="1"/>
  <c r="K1730" i="1"/>
  <c r="K1732" i="1"/>
  <c r="K1734" i="1"/>
  <c r="K1738" i="1"/>
  <c r="K1739" i="1"/>
  <c r="K1743" i="1"/>
  <c r="K1745" i="1"/>
  <c r="K1752" i="1"/>
  <c r="K1766" i="1"/>
  <c r="K1774" i="1"/>
  <c r="K1776" i="1"/>
  <c r="K1779" i="1"/>
  <c r="K1781" i="1"/>
  <c r="K1783" i="1"/>
  <c r="K1788" i="1"/>
  <c r="K1789" i="1"/>
  <c r="K1794" i="1"/>
  <c r="K1795" i="1"/>
  <c r="K1802" i="1"/>
  <c r="K1805" i="1"/>
  <c r="K1807" i="1"/>
  <c r="K1812" i="1"/>
  <c r="K1817" i="1"/>
  <c r="K1824" i="1"/>
  <c r="K1828" i="1"/>
  <c r="K1830" i="1"/>
  <c r="K1832" i="1"/>
  <c r="K1835" i="1"/>
  <c r="K1844" i="1"/>
  <c r="K1846" i="1"/>
  <c r="K1852" i="1"/>
  <c r="K1860" i="1"/>
  <c r="K1861" i="1"/>
  <c r="K1864" i="1"/>
  <c r="K1872" i="1"/>
  <c r="K1881" i="1"/>
  <c r="K1884" i="1"/>
  <c r="K1886" i="1"/>
  <c r="K1892" i="1"/>
  <c r="K1899" i="1"/>
  <c r="K1900" i="1"/>
  <c r="K1906" i="1"/>
  <c r="K1912" i="1"/>
  <c r="K1915" i="1"/>
  <c r="K1918" i="1"/>
  <c r="K1921" i="1"/>
  <c r="K1922" i="1"/>
  <c r="K1923" i="1"/>
  <c r="K1925" i="1"/>
  <c r="K1927" i="1"/>
  <c r="K1928" i="1"/>
  <c r="K1956" i="1"/>
  <c r="K1957" i="1"/>
  <c r="K1958" i="1"/>
  <c r="K1971" i="1"/>
  <c r="K1982" i="1"/>
  <c r="K1986" i="1"/>
  <c r="K1997" i="1"/>
  <c r="K2005" i="1"/>
  <c r="K2015" i="1"/>
  <c r="K2016" i="1"/>
  <c r="K2017" i="1"/>
  <c r="K2040" i="1"/>
  <c r="K2042" i="1"/>
  <c r="K2052" i="1"/>
  <c r="K2062" i="1"/>
  <c r="K2064" i="1"/>
  <c r="K2069" i="1"/>
  <c r="K2080" i="1"/>
  <c r="K2082" i="1"/>
  <c r="K2084" i="1"/>
  <c r="K2086" i="1"/>
  <c r="K2089" i="1"/>
  <c r="K2110" i="1"/>
  <c r="K2114" i="1"/>
  <c r="K2121" i="1"/>
  <c r="K2122" i="1"/>
  <c r="K2130" i="1"/>
  <c r="K2133" i="1"/>
  <c r="K2135" i="1"/>
  <c r="K2136" i="1"/>
  <c r="K2149" i="1"/>
  <c r="K2152" i="1"/>
  <c r="K2154" i="1"/>
  <c r="K2156" i="1"/>
  <c r="K2157" i="1"/>
  <c r="K2162" i="1"/>
  <c r="K2165" i="1"/>
  <c r="K2167" i="1"/>
  <c r="K2168" i="1"/>
  <c r="K2170" i="1"/>
  <c r="K2174" i="1"/>
  <c r="K2176" i="1"/>
  <c r="K2182" i="1"/>
  <c r="K2185" i="1"/>
  <c r="K2201" i="1"/>
  <c r="K2213" i="1"/>
  <c r="K2217" i="1"/>
  <c r="K2218" i="1"/>
  <c r="K2223" i="1"/>
  <c r="K2224" i="1"/>
  <c r="K2225" i="1"/>
  <c r="K2236" i="1"/>
  <c r="K2240" i="1"/>
  <c r="K2246" i="1"/>
  <c r="K2247" i="1"/>
  <c r="K2261" i="1"/>
  <c r="K2263" i="1"/>
  <c r="K2270" i="1"/>
  <c r="K2280" i="1"/>
  <c r="K2290" i="1"/>
  <c r="K2292" i="1"/>
  <c r="K2299" i="1"/>
  <c r="K2301" i="1"/>
  <c r="K2306" i="1"/>
  <c r="K2314" i="1"/>
  <c r="K2319" i="1"/>
  <c r="K2322" i="1"/>
  <c r="K2330" i="1"/>
  <c r="K2340" i="1"/>
  <c r="K2346" i="1"/>
  <c r="K2352" i="1"/>
  <c r="K2354" i="1"/>
  <c r="K2370" i="1"/>
  <c r="K2372" i="1"/>
  <c r="K2373" i="1"/>
  <c r="K2383" i="1"/>
  <c r="K2384" i="1"/>
  <c r="K2385" i="1"/>
  <c r="K2390" i="1"/>
  <c r="K2392" i="1"/>
  <c r="K2399" i="1"/>
  <c r="K2400" i="1"/>
  <c r="K2402" i="1"/>
  <c r="K2404" i="1"/>
  <c r="K2413" i="1"/>
  <c r="K2414" i="1"/>
  <c r="K2415" i="1"/>
  <c r="K2418" i="1"/>
  <c r="K2421" i="1"/>
  <c r="K2442" i="1"/>
  <c r="K2460" i="1"/>
  <c r="K2469" i="1"/>
  <c r="K2477" i="1"/>
  <c r="K2479" i="1"/>
  <c r="K2496" i="1"/>
  <c r="K2497" i="1"/>
  <c r="K2498" i="1"/>
  <c r="K2500" i="1"/>
  <c r="K2515" i="1"/>
  <c r="K2516" i="1"/>
  <c r="K2518" i="1"/>
  <c r="K2522" i="1"/>
  <c r="K2524" i="1"/>
  <c r="K2530" i="1"/>
  <c r="K2531" i="1"/>
  <c r="K2539" i="1"/>
  <c r="K2542" i="1"/>
  <c r="K2544" i="1"/>
  <c r="K2550" i="1"/>
  <c r="K2562" i="1"/>
  <c r="K2563" i="1"/>
  <c r="K2589" i="1"/>
  <c r="K2592" i="1"/>
  <c r="K2595" i="1"/>
  <c r="K2606" i="1"/>
  <c r="K2624" i="1"/>
  <c r="K2627" i="1"/>
  <c r="K2628" i="1"/>
  <c r="K2631" i="1"/>
  <c r="K2636" i="1"/>
  <c r="K2643" i="1"/>
  <c r="K2653" i="1"/>
  <c r="K2654" i="1"/>
  <c r="K2655" i="1"/>
  <c r="K2683" i="1"/>
  <c r="K2689" i="1"/>
  <c r="K2690" i="1"/>
  <c r="K2691" i="1"/>
  <c r="K2713" i="1"/>
  <c r="K2716" i="1"/>
  <c r="K2718" i="1"/>
  <c r="K2720" i="1"/>
  <c r="K2725" i="1"/>
  <c r="K2728" i="1"/>
  <c r="K2729" i="1"/>
  <c r="K2730" i="1"/>
  <c r="K2731" i="1"/>
  <c r="K2735" i="1"/>
  <c r="K2736" i="1"/>
  <c r="K2740" i="1"/>
  <c r="K2747" i="1"/>
  <c r="K2749" i="1"/>
  <c r="K2753" i="1"/>
  <c r="K2757" i="1"/>
  <c r="K2771" i="1"/>
  <c r="K2772" i="1"/>
  <c r="K2776" i="1"/>
  <c r="K2782" i="1"/>
  <c r="K2785" i="1"/>
  <c r="K2788" i="1"/>
  <c r="K2789" i="1"/>
  <c r="K2797" i="1"/>
  <c r="K2805" i="1"/>
  <c r="K2814" i="1"/>
  <c r="K2820" i="1"/>
  <c r="K2829" i="1"/>
  <c r="K2849" i="1"/>
  <c r="K2851" i="1"/>
  <c r="K2855" i="1"/>
  <c r="K2867" i="1"/>
  <c r="K2871" i="1"/>
  <c r="K2872" i="1"/>
  <c r="K2876" i="1"/>
  <c r="K2879" i="1"/>
  <c r="K2883" i="1"/>
  <c r="K2891" i="1"/>
  <c r="K2895" i="1"/>
  <c r="K2896" i="1"/>
  <c r="K2897" i="1"/>
  <c r="K2901" i="1"/>
  <c r="K2908" i="1"/>
  <c r="K2912" i="1"/>
  <c r="K2914" i="1"/>
  <c r="K2915" i="1"/>
  <c r="K2921" i="1"/>
  <c r="K2925" i="1"/>
  <c r="K2928" i="1"/>
  <c r="K2931" i="1"/>
  <c r="K2936" i="1"/>
  <c r="K2940" i="1"/>
  <c r="K2954" i="1"/>
  <c r="K2955" i="1"/>
  <c r="K2961" i="1"/>
  <c r="K2968" i="1"/>
  <c r="K2969" i="1"/>
  <c r="K2970" i="1"/>
  <c r="K2995" i="1"/>
  <c r="K2996" i="1"/>
  <c r="J3" i="1" a="1"/>
  <c r="J3" i="1" s="1"/>
  <c r="K3" i="1" s="1"/>
  <c r="J4" i="1" a="1"/>
  <c r="J4" i="1" s="1"/>
  <c r="K4" i="1" s="1"/>
  <c r="J5" i="1" a="1"/>
  <c r="J5" i="1" s="1"/>
  <c r="K5" i="1" s="1"/>
  <c r="J6" i="1" a="1"/>
  <c r="J6" i="1" s="1"/>
  <c r="K6" i="1" s="1"/>
  <c r="J7" i="1" a="1"/>
  <c r="J7" i="1" s="1"/>
  <c r="K7" i="1" s="1"/>
  <c r="J8" i="1" a="1"/>
  <c r="J8" i="1" s="1"/>
  <c r="K8" i="1" s="1"/>
  <c r="J9" i="1" a="1"/>
  <c r="J9" i="1" s="1"/>
  <c r="K9" i="1" s="1"/>
  <c r="J10" i="1" a="1"/>
  <c r="J10" i="1" s="1"/>
  <c r="K10" i="1" s="1"/>
  <c r="J11" i="1" a="1"/>
  <c r="J11" i="1" s="1"/>
  <c r="K11" i="1" s="1"/>
  <c r="J12" i="1" a="1"/>
  <c r="J12" i="1" s="1"/>
  <c r="J13" i="1" a="1"/>
  <c r="J13" i="1" s="1"/>
  <c r="K13" i="1" s="1"/>
  <c r="J14" i="1" a="1"/>
  <c r="J14" i="1" s="1"/>
  <c r="K14" i="1" s="1"/>
  <c r="J15" i="1" a="1"/>
  <c r="J15" i="1" s="1"/>
  <c r="K15" i="1" s="1"/>
  <c r="J16" i="1" a="1"/>
  <c r="J16" i="1" s="1"/>
  <c r="K16" i="1" s="1"/>
  <c r="J17" i="1" a="1"/>
  <c r="J17" i="1" s="1"/>
  <c r="K17" i="1" s="1"/>
  <c r="J18" i="1" a="1"/>
  <c r="J18" i="1" s="1"/>
  <c r="K18" i="1" s="1"/>
  <c r="J19" i="1" a="1"/>
  <c r="J19" i="1" s="1"/>
  <c r="K19" i="1" s="1"/>
  <c r="J20" i="1" a="1"/>
  <c r="J20" i="1" s="1"/>
  <c r="K20" i="1" s="1"/>
  <c r="J21" i="1" a="1"/>
  <c r="J21" i="1" s="1"/>
  <c r="K21" i="1" s="1"/>
  <c r="J22" i="1" a="1"/>
  <c r="J22" i="1" s="1"/>
  <c r="K22" i="1" s="1"/>
  <c r="J23" i="1" a="1"/>
  <c r="J23" i="1" s="1"/>
  <c r="K23" i="1" s="1"/>
  <c r="J24" i="1" a="1"/>
  <c r="J24" i="1" s="1"/>
  <c r="K24" i="1" s="1"/>
  <c r="J25" i="1" a="1"/>
  <c r="J25" i="1" s="1"/>
  <c r="K25" i="1" s="1"/>
  <c r="J26" i="1" a="1"/>
  <c r="J26" i="1" s="1"/>
  <c r="K26" i="1" s="1"/>
  <c r="J27" i="1" a="1"/>
  <c r="J27" i="1" s="1"/>
  <c r="K27" i="1" s="1"/>
  <c r="J28" i="1" a="1"/>
  <c r="J28" i="1" s="1"/>
  <c r="K28" i="1" s="1"/>
  <c r="J29" i="1" a="1"/>
  <c r="J29" i="1" s="1"/>
  <c r="K29" i="1" s="1"/>
  <c r="J30" i="1" a="1"/>
  <c r="J30" i="1" s="1"/>
  <c r="K30" i="1" s="1"/>
  <c r="J31" i="1" a="1"/>
  <c r="J31" i="1" s="1"/>
  <c r="K31" i="1" s="1"/>
  <c r="J32" i="1" a="1"/>
  <c r="J32" i="1" s="1"/>
  <c r="J33" i="1" a="1"/>
  <c r="J33" i="1" s="1"/>
  <c r="K33" i="1" s="1"/>
  <c r="J34" i="1" a="1"/>
  <c r="J34" i="1" s="1"/>
  <c r="K34" i="1" s="1"/>
  <c r="J35" i="1" a="1"/>
  <c r="J35" i="1" s="1"/>
  <c r="K35" i="1" s="1"/>
  <c r="J36" i="1" a="1"/>
  <c r="J36" i="1" s="1"/>
  <c r="K36" i="1" s="1"/>
  <c r="J37" i="1" a="1"/>
  <c r="J37" i="1" s="1"/>
  <c r="J38" i="1" a="1"/>
  <c r="J38" i="1" s="1"/>
  <c r="K38" i="1" s="1"/>
  <c r="J39" i="1" a="1"/>
  <c r="J39" i="1" s="1"/>
  <c r="K39" i="1" s="1"/>
  <c r="J40" i="1" a="1"/>
  <c r="J40" i="1" s="1"/>
  <c r="K40" i="1" s="1"/>
  <c r="J41" i="1" a="1"/>
  <c r="J41" i="1" s="1"/>
  <c r="J42" i="1" a="1"/>
  <c r="J42" i="1" s="1"/>
  <c r="J43" i="1" a="1"/>
  <c r="J43" i="1" s="1"/>
  <c r="K43" i="1" s="1"/>
  <c r="J44" i="1" a="1"/>
  <c r="J44" i="1" s="1"/>
  <c r="K44" i="1" s="1"/>
  <c r="J45" i="1" a="1"/>
  <c r="J45" i="1" s="1"/>
  <c r="K45" i="1" s="1"/>
  <c r="J46" i="1" a="1"/>
  <c r="J46" i="1" s="1"/>
  <c r="K46" i="1" s="1"/>
  <c r="J47" i="1" a="1"/>
  <c r="J47" i="1" s="1"/>
  <c r="K47" i="1" s="1"/>
  <c r="J48" i="1" a="1"/>
  <c r="J48" i="1" s="1"/>
  <c r="K48" i="1" s="1"/>
  <c r="J49" i="1" a="1"/>
  <c r="J49" i="1" s="1"/>
  <c r="K49" i="1" s="1"/>
  <c r="J50" i="1" a="1"/>
  <c r="J50" i="1" s="1"/>
  <c r="K50" i="1" s="1"/>
  <c r="J51" i="1" a="1"/>
  <c r="J51" i="1" s="1"/>
  <c r="J52" i="1" a="1"/>
  <c r="J52" i="1" s="1"/>
  <c r="K52" i="1" s="1"/>
  <c r="J53" i="1" a="1"/>
  <c r="J53" i="1" s="1"/>
  <c r="J54" i="1" a="1"/>
  <c r="J54" i="1" s="1"/>
  <c r="K54" i="1" s="1"/>
  <c r="J55" i="1" a="1"/>
  <c r="J55" i="1" s="1"/>
  <c r="K55" i="1" s="1"/>
  <c r="J56" i="1" a="1"/>
  <c r="J56" i="1" s="1"/>
  <c r="K56" i="1" s="1"/>
  <c r="J57" i="1" a="1"/>
  <c r="J57" i="1" s="1"/>
  <c r="K57" i="1" s="1"/>
  <c r="J58" i="1" a="1"/>
  <c r="J58" i="1" s="1"/>
  <c r="K58" i="1" s="1"/>
  <c r="J59" i="1" a="1"/>
  <c r="J59" i="1" s="1"/>
  <c r="K59" i="1" s="1"/>
  <c r="J60" i="1" a="1"/>
  <c r="J60" i="1" s="1"/>
  <c r="K60" i="1" s="1"/>
  <c r="J61" i="1" a="1"/>
  <c r="J61" i="1" s="1"/>
  <c r="K61" i="1" s="1"/>
  <c r="J62" i="1" a="1"/>
  <c r="J62" i="1" s="1"/>
  <c r="K62" i="1" s="1"/>
  <c r="J63" i="1" a="1"/>
  <c r="J63" i="1" s="1"/>
  <c r="K63" i="1" s="1"/>
  <c r="J64" i="1" a="1"/>
  <c r="J64" i="1" s="1"/>
  <c r="J65" i="1" a="1"/>
  <c r="J65" i="1" s="1"/>
  <c r="J66" i="1" a="1"/>
  <c r="J66" i="1" s="1"/>
  <c r="K66" i="1" s="1"/>
  <c r="J67" i="1" a="1"/>
  <c r="J67" i="1" s="1"/>
  <c r="K67" i="1" s="1"/>
  <c r="J68" i="1" a="1"/>
  <c r="J68" i="1" s="1"/>
  <c r="J69" i="1" a="1"/>
  <c r="J69" i="1" s="1"/>
  <c r="K69" i="1" s="1"/>
  <c r="J70" i="1" a="1"/>
  <c r="J70" i="1" s="1"/>
  <c r="K70" i="1" s="1"/>
  <c r="J71" i="1" a="1"/>
  <c r="J71" i="1" s="1"/>
  <c r="K71" i="1" s="1"/>
  <c r="J72" i="1" a="1"/>
  <c r="J72" i="1" s="1"/>
  <c r="K72" i="1" s="1"/>
  <c r="J73" i="1" a="1"/>
  <c r="J73" i="1" s="1"/>
  <c r="K73" i="1" s="1"/>
  <c r="J74" i="1" a="1"/>
  <c r="J74" i="1" s="1"/>
  <c r="K74" i="1" s="1"/>
  <c r="J75" i="1" a="1"/>
  <c r="J75" i="1" s="1"/>
  <c r="K75" i="1" s="1"/>
  <c r="J76" i="1" a="1"/>
  <c r="J76" i="1" s="1"/>
  <c r="K76" i="1" s="1"/>
  <c r="J77" i="1" a="1"/>
  <c r="J77" i="1" s="1"/>
  <c r="J78" i="1" a="1"/>
  <c r="J78" i="1" s="1"/>
  <c r="K78" i="1" s="1"/>
  <c r="J79" i="1" a="1"/>
  <c r="J79" i="1" s="1"/>
  <c r="K79" i="1" s="1"/>
  <c r="J80" i="1" a="1"/>
  <c r="J80" i="1" s="1"/>
  <c r="K80" i="1" s="1"/>
  <c r="J81" i="1" a="1"/>
  <c r="J81" i="1" s="1"/>
  <c r="K81" i="1" s="1"/>
  <c r="J82" i="1" a="1"/>
  <c r="J82" i="1" s="1"/>
  <c r="J83" i="1" a="1"/>
  <c r="J83" i="1" s="1"/>
  <c r="K83" i="1" s="1"/>
  <c r="J84" i="1" a="1"/>
  <c r="J84" i="1" s="1"/>
  <c r="K84" i="1" s="1"/>
  <c r="J85" i="1" a="1"/>
  <c r="J85" i="1" s="1"/>
  <c r="K85" i="1" s="1"/>
  <c r="J86" i="1" a="1"/>
  <c r="J86" i="1" s="1"/>
  <c r="K86" i="1" s="1"/>
  <c r="J87" i="1" a="1"/>
  <c r="J87" i="1" s="1"/>
  <c r="K87" i="1" s="1"/>
  <c r="J88" i="1" a="1"/>
  <c r="J88" i="1" s="1"/>
  <c r="K88" i="1" s="1"/>
  <c r="J89" i="1" a="1"/>
  <c r="J89" i="1" s="1"/>
  <c r="K89" i="1" s="1"/>
  <c r="J90" i="1" a="1"/>
  <c r="J90" i="1" s="1"/>
  <c r="K90" i="1" s="1"/>
  <c r="J91" i="1" a="1"/>
  <c r="J91" i="1" s="1"/>
  <c r="K91" i="1" s="1"/>
  <c r="J92" i="1" a="1"/>
  <c r="J92" i="1" s="1"/>
  <c r="K92" i="1" s="1"/>
  <c r="J93" i="1" a="1"/>
  <c r="J93" i="1" s="1"/>
  <c r="K93" i="1" s="1"/>
  <c r="J94" i="1" a="1"/>
  <c r="J94" i="1" s="1"/>
  <c r="K94" i="1" s="1"/>
  <c r="J95" i="1" a="1"/>
  <c r="J95" i="1" s="1"/>
  <c r="K95" i="1" s="1"/>
  <c r="J96" i="1" a="1"/>
  <c r="J96" i="1" s="1"/>
  <c r="K96" i="1" s="1"/>
  <c r="J97" i="1" a="1"/>
  <c r="J97" i="1" s="1"/>
  <c r="K97" i="1" s="1"/>
  <c r="J98" i="1" a="1"/>
  <c r="J98" i="1" s="1"/>
  <c r="K98" i="1" s="1"/>
  <c r="J99" i="1" a="1"/>
  <c r="J99" i="1" s="1"/>
  <c r="K99" i="1" s="1"/>
  <c r="J100" i="1" a="1"/>
  <c r="J100" i="1" s="1"/>
  <c r="K100" i="1" s="1"/>
  <c r="J101" i="1" a="1"/>
  <c r="J101" i="1" s="1"/>
  <c r="K101" i="1" s="1"/>
  <c r="J102" i="1" a="1"/>
  <c r="J102" i="1" s="1"/>
  <c r="J103" i="1" a="1"/>
  <c r="J103" i="1" s="1"/>
  <c r="K103" i="1" s="1"/>
  <c r="J104" i="1" a="1"/>
  <c r="J104" i="1" s="1"/>
  <c r="K104" i="1" s="1"/>
  <c r="J105" i="1" a="1"/>
  <c r="J105" i="1" s="1"/>
  <c r="K105" i="1" s="1"/>
  <c r="J106" i="1" a="1"/>
  <c r="J106" i="1" s="1"/>
  <c r="K106" i="1" s="1"/>
  <c r="J107" i="1" a="1"/>
  <c r="J107" i="1" s="1"/>
  <c r="K107" i="1" s="1"/>
  <c r="J108" i="1" a="1"/>
  <c r="J108" i="1" s="1"/>
  <c r="K108" i="1" s="1"/>
  <c r="J109" i="1" a="1"/>
  <c r="J109" i="1" s="1"/>
  <c r="K109" i="1" s="1"/>
  <c r="J110" i="1" a="1"/>
  <c r="J110" i="1" s="1"/>
  <c r="K110" i="1" s="1"/>
  <c r="J111" i="1" a="1"/>
  <c r="J111" i="1" s="1"/>
  <c r="K111" i="1" s="1"/>
  <c r="J112" i="1" a="1"/>
  <c r="J112" i="1" s="1"/>
  <c r="K112" i="1" s="1"/>
  <c r="J113" i="1" a="1"/>
  <c r="J113" i="1" s="1"/>
  <c r="J114" i="1" a="1"/>
  <c r="J114" i="1" s="1"/>
  <c r="K114" i="1" s="1"/>
  <c r="J115" i="1" a="1"/>
  <c r="J115" i="1" s="1"/>
  <c r="K115" i="1" s="1"/>
  <c r="J116" i="1" a="1"/>
  <c r="J116" i="1" s="1"/>
  <c r="K116" i="1" s="1"/>
  <c r="J117" i="1" a="1"/>
  <c r="J117" i="1" s="1"/>
  <c r="K117" i="1" s="1"/>
  <c r="J118" i="1" a="1"/>
  <c r="J118" i="1" s="1"/>
  <c r="K118" i="1" s="1"/>
  <c r="J119" i="1" a="1"/>
  <c r="J119" i="1" s="1"/>
  <c r="K119" i="1" s="1"/>
  <c r="J120" i="1" a="1"/>
  <c r="J120" i="1" s="1"/>
  <c r="K120" i="1" s="1"/>
  <c r="J121" i="1" a="1"/>
  <c r="J121" i="1" s="1"/>
  <c r="K121" i="1" s="1"/>
  <c r="J122" i="1" a="1"/>
  <c r="J122" i="1" s="1"/>
  <c r="K122" i="1" s="1"/>
  <c r="J123" i="1" a="1"/>
  <c r="J123" i="1" s="1"/>
  <c r="K123" i="1" s="1"/>
  <c r="J124" i="1" a="1"/>
  <c r="J124" i="1" s="1"/>
  <c r="K124" i="1" s="1"/>
  <c r="J125" i="1" a="1"/>
  <c r="J125" i="1" s="1"/>
  <c r="K125" i="1" s="1"/>
  <c r="J126" i="1" a="1"/>
  <c r="J126" i="1" s="1"/>
  <c r="K126" i="1" s="1"/>
  <c r="J127" i="1" a="1"/>
  <c r="J127" i="1" s="1"/>
  <c r="J128" i="1" a="1"/>
  <c r="J128" i="1" s="1"/>
  <c r="J129" i="1" a="1"/>
  <c r="J129" i="1" s="1"/>
  <c r="K129" i="1" s="1"/>
  <c r="J130" i="1" a="1"/>
  <c r="J130" i="1" s="1"/>
  <c r="J131" i="1" a="1"/>
  <c r="J131" i="1" s="1"/>
  <c r="K131" i="1" s="1"/>
  <c r="J132" i="1" a="1"/>
  <c r="J132" i="1" s="1"/>
  <c r="K132" i="1" s="1"/>
  <c r="J133" i="1" a="1"/>
  <c r="J133" i="1" s="1"/>
  <c r="K133" i="1" s="1"/>
  <c r="J134" i="1" a="1"/>
  <c r="J134" i="1" s="1"/>
  <c r="K134" i="1" s="1"/>
  <c r="J135" i="1" a="1"/>
  <c r="J135" i="1" s="1"/>
  <c r="K135" i="1" s="1"/>
  <c r="J136" i="1" a="1"/>
  <c r="J136" i="1" s="1"/>
  <c r="K136" i="1" s="1"/>
  <c r="J137" i="1" a="1"/>
  <c r="J137" i="1" s="1"/>
  <c r="K137" i="1" s="1"/>
  <c r="J138" i="1" a="1"/>
  <c r="J138" i="1" s="1"/>
  <c r="K138" i="1" s="1"/>
  <c r="J139" i="1" a="1"/>
  <c r="J139" i="1" s="1"/>
  <c r="K139" i="1" s="1"/>
  <c r="J140" i="1" a="1"/>
  <c r="J140" i="1" s="1"/>
  <c r="K140" i="1" s="1"/>
  <c r="J141" i="1" a="1"/>
  <c r="J141" i="1" s="1"/>
  <c r="K141" i="1" s="1"/>
  <c r="J142" i="1" a="1"/>
  <c r="J142" i="1" s="1"/>
  <c r="K142" i="1" s="1"/>
  <c r="J143" i="1" a="1"/>
  <c r="J143" i="1" s="1"/>
  <c r="K143" i="1" s="1"/>
  <c r="J144" i="1" a="1"/>
  <c r="J144" i="1" s="1"/>
  <c r="K144" i="1" s="1"/>
  <c r="J145" i="1" a="1"/>
  <c r="J145" i="1" s="1"/>
  <c r="K145" i="1" s="1"/>
  <c r="J146" i="1" a="1"/>
  <c r="J146" i="1" s="1"/>
  <c r="K146" i="1" s="1"/>
  <c r="J147" i="1" a="1"/>
  <c r="J147" i="1" s="1"/>
  <c r="K147" i="1" s="1"/>
  <c r="J148" i="1" a="1"/>
  <c r="J148" i="1" s="1"/>
  <c r="K148" i="1" s="1"/>
  <c r="J149" i="1" a="1"/>
  <c r="J149" i="1" s="1"/>
  <c r="K149" i="1" s="1"/>
  <c r="J150" i="1" a="1"/>
  <c r="J150" i="1" s="1"/>
  <c r="K150" i="1" s="1"/>
  <c r="J151" i="1" a="1"/>
  <c r="J151" i="1" s="1"/>
  <c r="J152" i="1" a="1"/>
  <c r="J152" i="1" s="1"/>
  <c r="K152" i="1" s="1"/>
  <c r="J153" i="1" a="1"/>
  <c r="J153" i="1" s="1"/>
  <c r="J154" i="1" a="1"/>
  <c r="J154" i="1" s="1"/>
  <c r="K154" i="1" s="1"/>
  <c r="J155" i="1" a="1"/>
  <c r="J155" i="1" s="1"/>
  <c r="K155" i="1" s="1"/>
  <c r="J156" i="1" a="1"/>
  <c r="J156" i="1" s="1"/>
  <c r="K156" i="1" s="1"/>
  <c r="J157" i="1" a="1"/>
  <c r="J157" i="1" s="1"/>
  <c r="K157" i="1" s="1"/>
  <c r="J158" i="1" a="1"/>
  <c r="J158" i="1" s="1"/>
  <c r="K158" i="1" s="1"/>
  <c r="J159" i="1" a="1"/>
  <c r="J159" i="1" s="1"/>
  <c r="K159" i="1" s="1"/>
  <c r="J160" i="1" a="1"/>
  <c r="J160" i="1" s="1"/>
  <c r="K160" i="1" s="1"/>
  <c r="J161" i="1" a="1"/>
  <c r="J161" i="1" s="1"/>
  <c r="K161" i="1" s="1"/>
  <c r="J162" i="1" a="1"/>
  <c r="J162" i="1" s="1"/>
  <c r="K162" i="1" s="1"/>
  <c r="J163" i="1" a="1"/>
  <c r="J163" i="1" s="1"/>
  <c r="K163" i="1" s="1"/>
  <c r="J164" i="1" a="1"/>
  <c r="J164" i="1" s="1"/>
  <c r="K164" i="1" s="1"/>
  <c r="J165" i="1" a="1"/>
  <c r="J165" i="1" s="1"/>
  <c r="K165" i="1" s="1"/>
  <c r="J166" i="1" a="1"/>
  <c r="J166" i="1" s="1"/>
  <c r="K166" i="1" s="1"/>
  <c r="J167" i="1" a="1"/>
  <c r="J167" i="1" s="1"/>
  <c r="K167" i="1" s="1"/>
  <c r="J168" i="1" a="1"/>
  <c r="J168" i="1" s="1"/>
  <c r="K168" i="1" s="1"/>
  <c r="J169" i="1" a="1"/>
  <c r="J169" i="1" s="1"/>
  <c r="K169" i="1" s="1"/>
  <c r="J170" i="1" a="1"/>
  <c r="J170" i="1" s="1"/>
  <c r="K170" i="1" s="1"/>
  <c r="J171" i="1" a="1"/>
  <c r="J171" i="1" s="1"/>
  <c r="K171" i="1" s="1"/>
  <c r="J172" i="1" a="1"/>
  <c r="J172" i="1" s="1"/>
  <c r="K172" i="1" s="1"/>
  <c r="J173" i="1" a="1"/>
  <c r="J173" i="1" s="1"/>
  <c r="K173" i="1" s="1"/>
  <c r="J174" i="1" a="1"/>
  <c r="J174" i="1" s="1"/>
  <c r="J175" i="1" a="1"/>
  <c r="J175" i="1" s="1"/>
  <c r="J176" i="1" a="1"/>
  <c r="J176" i="1" s="1"/>
  <c r="K176" i="1" s="1"/>
  <c r="J177" i="1" a="1"/>
  <c r="J177" i="1" s="1"/>
  <c r="K177" i="1" s="1"/>
  <c r="J178" i="1" a="1"/>
  <c r="J178" i="1" s="1"/>
  <c r="K178" i="1" s="1"/>
  <c r="J179" i="1" a="1"/>
  <c r="J179" i="1" s="1"/>
  <c r="K179" i="1" s="1"/>
  <c r="J180" i="1" a="1"/>
  <c r="J180" i="1" s="1"/>
  <c r="J181" i="1" a="1"/>
  <c r="J181" i="1" s="1"/>
  <c r="K181" i="1" s="1"/>
  <c r="J182" i="1" a="1"/>
  <c r="J182" i="1" s="1"/>
  <c r="K182" i="1" s="1"/>
  <c r="J183" i="1" a="1"/>
  <c r="J183" i="1" s="1"/>
  <c r="K183" i="1" s="1"/>
  <c r="J184" i="1" a="1"/>
  <c r="J184" i="1" s="1"/>
  <c r="K184" i="1" s="1"/>
  <c r="J185" i="1" a="1"/>
  <c r="J185" i="1" s="1"/>
  <c r="K185" i="1" s="1"/>
  <c r="J186" i="1" a="1"/>
  <c r="J186" i="1" s="1"/>
  <c r="K186" i="1" s="1"/>
  <c r="J187" i="1" a="1"/>
  <c r="J187" i="1" s="1"/>
  <c r="K187" i="1" s="1"/>
  <c r="J188" i="1" a="1"/>
  <c r="J188" i="1" s="1"/>
  <c r="K188" i="1" s="1"/>
  <c r="J189" i="1" a="1"/>
  <c r="J189" i="1" s="1"/>
  <c r="K189" i="1" s="1"/>
  <c r="J190" i="1" a="1"/>
  <c r="J190" i="1" s="1"/>
  <c r="K190" i="1" s="1"/>
  <c r="J191" i="1" a="1"/>
  <c r="J191" i="1" s="1"/>
  <c r="K191" i="1" s="1"/>
  <c r="J192" i="1" a="1"/>
  <c r="J192" i="1" s="1"/>
  <c r="K192" i="1" s="1"/>
  <c r="J193" i="1" a="1"/>
  <c r="J193" i="1" s="1"/>
  <c r="K193" i="1" s="1"/>
  <c r="J194" i="1" a="1"/>
  <c r="J194" i="1" s="1"/>
  <c r="K194" i="1" s="1"/>
  <c r="J195" i="1" a="1"/>
  <c r="J195" i="1" s="1"/>
  <c r="K195" i="1" s="1"/>
  <c r="J196" i="1" a="1"/>
  <c r="J196" i="1" s="1"/>
  <c r="K196" i="1" s="1"/>
  <c r="J197" i="1" a="1"/>
  <c r="J197" i="1" s="1"/>
  <c r="K197" i="1" s="1"/>
  <c r="J198" i="1" a="1"/>
  <c r="J198" i="1" s="1"/>
  <c r="K198" i="1" s="1"/>
  <c r="J199" i="1" a="1"/>
  <c r="J199" i="1" s="1"/>
  <c r="K199" i="1" s="1"/>
  <c r="J200" i="1" a="1"/>
  <c r="J200" i="1" s="1"/>
  <c r="K200" i="1" s="1"/>
  <c r="J201" i="1" a="1"/>
  <c r="J201" i="1" s="1"/>
  <c r="K201" i="1" s="1"/>
  <c r="J202" i="1" a="1"/>
  <c r="J202" i="1" s="1"/>
  <c r="K202" i="1" s="1"/>
  <c r="J203" i="1" a="1"/>
  <c r="J203" i="1" s="1"/>
  <c r="J204" i="1" a="1"/>
  <c r="J204" i="1" s="1"/>
  <c r="J205" i="1" a="1"/>
  <c r="J205" i="1" s="1"/>
  <c r="K205" i="1" s="1"/>
  <c r="J206" i="1" a="1"/>
  <c r="J206" i="1" s="1"/>
  <c r="K206" i="1" s="1"/>
  <c r="J207" i="1" a="1"/>
  <c r="J207" i="1" s="1"/>
  <c r="K207" i="1" s="1"/>
  <c r="J208" i="1" a="1"/>
  <c r="J208" i="1" s="1"/>
  <c r="J209" i="1" a="1"/>
  <c r="J209" i="1" s="1"/>
  <c r="K209" i="1" s="1"/>
  <c r="J210" i="1" a="1"/>
  <c r="J210" i="1" s="1"/>
  <c r="K210" i="1" s="1"/>
  <c r="J211" i="1" a="1"/>
  <c r="J211" i="1" s="1"/>
  <c r="K211" i="1" s="1"/>
  <c r="J212" i="1" a="1"/>
  <c r="J212" i="1" s="1"/>
  <c r="J213" i="1" a="1"/>
  <c r="J213" i="1" s="1"/>
  <c r="K213" i="1" s="1"/>
  <c r="J214" i="1" a="1"/>
  <c r="J214" i="1" s="1"/>
  <c r="K214" i="1" s="1"/>
  <c r="J215" i="1" a="1"/>
  <c r="J215" i="1" s="1"/>
  <c r="J216" i="1" a="1"/>
  <c r="J216" i="1" s="1"/>
  <c r="K216" i="1" s="1"/>
  <c r="J217" i="1" a="1"/>
  <c r="J217" i="1" s="1"/>
  <c r="K217" i="1" s="1"/>
  <c r="J218" i="1" a="1"/>
  <c r="J218" i="1" s="1"/>
  <c r="K218" i="1" s="1"/>
  <c r="J219" i="1" a="1"/>
  <c r="J219" i="1" s="1"/>
  <c r="K219" i="1" s="1"/>
  <c r="J220" i="1" a="1"/>
  <c r="J220" i="1" s="1"/>
  <c r="K220" i="1" s="1"/>
  <c r="J221" i="1" a="1"/>
  <c r="J221" i="1" s="1"/>
  <c r="K221" i="1" s="1"/>
  <c r="J222" i="1" a="1"/>
  <c r="J222" i="1" s="1"/>
  <c r="J223" i="1" a="1"/>
  <c r="J223" i="1" s="1"/>
  <c r="K223" i="1" s="1"/>
  <c r="J224" i="1" a="1"/>
  <c r="J224" i="1" s="1"/>
  <c r="K224" i="1" s="1"/>
  <c r="J225" i="1" a="1"/>
  <c r="J225" i="1" s="1"/>
  <c r="K225" i="1" s="1"/>
  <c r="J226" i="1" a="1"/>
  <c r="J226" i="1" s="1"/>
  <c r="K226" i="1" s="1"/>
  <c r="J227" i="1" a="1"/>
  <c r="J227" i="1" s="1"/>
  <c r="K227" i="1" s="1"/>
  <c r="J228" i="1" a="1"/>
  <c r="J228" i="1" s="1"/>
  <c r="K228" i="1" s="1"/>
  <c r="J229" i="1" a="1"/>
  <c r="J229" i="1" s="1"/>
  <c r="K229" i="1" s="1"/>
  <c r="J230" i="1" a="1"/>
  <c r="J230" i="1" s="1"/>
  <c r="K230" i="1" s="1"/>
  <c r="J231" i="1" a="1"/>
  <c r="J231" i="1" s="1"/>
  <c r="K231" i="1" s="1"/>
  <c r="J232" i="1" a="1"/>
  <c r="J232" i="1" s="1"/>
  <c r="K232" i="1" s="1"/>
  <c r="J233" i="1" a="1"/>
  <c r="J233" i="1" s="1"/>
  <c r="J234" i="1" a="1"/>
  <c r="J234" i="1" s="1"/>
  <c r="K234" i="1" s="1"/>
  <c r="J235" i="1" a="1"/>
  <c r="J235" i="1" s="1"/>
  <c r="K235" i="1" s="1"/>
  <c r="J236" i="1" a="1"/>
  <c r="J236" i="1" s="1"/>
  <c r="K236" i="1" s="1"/>
  <c r="J237" i="1" a="1"/>
  <c r="J237" i="1" s="1"/>
  <c r="J238" i="1" a="1"/>
  <c r="J238" i="1" s="1"/>
  <c r="K238" i="1" s="1"/>
  <c r="J239" i="1" a="1"/>
  <c r="J239" i="1" s="1"/>
  <c r="K239" i="1" s="1"/>
  <c r="J240" i="1" a="1"/>
  <c r="J240" i="1" s="1"/>
  <c r="K240" i="1" s="1"/>
  <c r="J241" i="1" a="1"/>
  <c r="J241" i="1" s="1"/>
  <c r="J242" i="1" a="1"/>
  <c r="J242" i="1" s="1"/>
  <c r="K242" i="1" s="1"/>
  <c r="J243" i="1" a="1"/>
  <c r="J243" i="1" s="1"/>
  <c r="K243" i="1" s="1"/>
  <c r="J244" i="1" a="1"/>
  <c r="J244" i="1" s="1"/>
  <c r="K244" i="1" s="1"/>
  <c r="J245" i="1" a="1"/>
  <c r="J245" i="1" s="1"/>
  <c r="K245" i="1" s="1"/>
  <c r="J246" i="1" a="1"/>
  <c r="J246" i="1" s="1"/>
  <c r="K246" i="1" s="1"/>
  <c r="J247" i="1" a="1"/>
  <c r="J247" i="1" s="1"/>
  <c r="K247" i="1" s="1"/>
  <c r="J248" i="1" a="1"/>
  <c r="J248" i="1" s="1"/>
  <c r="K248" i="1" s="1"/>
  <c r="J249" i="1" a="1"/>
  <c r="J249" i="1" s="1"/>
  <c r="K249" i="1" s="1"/>
  <c r="J250" i="1" a="1"/>
  <c r="J250" i="1" s="1"/>
  <c r="K250" i="1" s="1"/>
  <c r="J251" i="1" a="1"/>
  <c r="J251" i="1" s="1"/>
  <c r="K251" i="1" s="1"/>
  <c r="J252" i="1" a="1"/>
  <c r="J252" i="1" s="1"/>
  <c r="K252" i="1" s="1"/>
  <c r="J253" i="1" a="1"/>
  <c r="J253" i="1" s="1"/>
  <c r="K253" i="1" s="1"/>
  <c r="J254" i="1" a="1"/>
  <c r="J254" i="1" s="1"/>
  <c r="K254" i="1" s="1"/>
  <c r="J255" i="1" a="1"/>
  <c r="J255" i="1" s="1"/>
  <c r="K255" i="1" s="1"/>
  <c r="J256" i="1" a="1"/>
  <c r="J256" i="1" s="1"/>
  <c r="J257" i="1" a="1"/>
  <c r="J257" i="1" s="1"/>
  <c r="K257" i="1" s="1"/>
  <c r="J258" i="1" a="1"/>
  <c r="J258" i="1" s="1"/>
  <c r="K258" i="1" s="1"/>
  <c r="J259" i="1" a="1"/>
  <c r="J259" i="1" s="1"/>
  <c r="K259" i="1" s="1"/>
  <c r="J260" i="1" a="1"/>
  <c r="J260" i="1" s="1"/>
  <c r="K260" i="1" s="1"/>
  <c r="J261" i="1" a="1"/>
  <c r="J261" i="1" s="1"/>
  <c r="K261" i="1" s="1"/>
  <c r="J262" i="1" a="1"/>
  <c r="J262" i="1" s="1"/>
  <c r="J263" i="1" a="1"/>
  <c r="J263" i="1" s="1"/>
  <c r="K263" i="1" s="1"/>
  <c r="J264" i="1" a="1"/>
  <c r="J264" i="1" s="1"/>
  <c r="K264" i="1" s="1"/>
  <c r="J265" i="1" a="1"/>
  <c r="J265" i="1" s="1"/>
  <c r="K265" i="1" s="1"/>
  <c r="J266" i="1" a="1"/>
  <c r="J266" i="1" s="1"/>
  <c r="K266" i="1" s="1"/>
  <c r="J267" i="1" a="1"/>
  <c r="J267" i="1" s="1"/>
  <c r="K267" i="1" s="1"/>
  <c r="J268" i="1" a="1"/>
  <c r="J268" i="1" s="1"/>
  <c r="K268" i="1" s="1"/>
  <c r="J269" i="1" a="1"/>
  <c r="J269" i="1" s="1"/>
  <c r="K269" i="1" s="1"/>
  <c r="J270" i="1" a="1"/>
  <c r="J270" i="1" s="1"/>
  <c r="K270" i="1" s="1"/>
  <c r="J271" i="1" a="1"/>
  <c r="J271" i="1" s="1"/>
  <c r="K271" i="1" s="1"/>
  <c r="J272" i="1" a="1"/>
  <c r="J272" i="1" s="1"/>
  <c r="K272" i="1" s="1"/>
  <c r="J273" i="1" a="1"/>
  <c r="J273" i="1" s="1"/>
  <c r="K273" i="1" s="1"/>
  <c r="J274" i="1" a="1"/>
  <c r="J274" i="1" s="1"/>
  <c r="K274" i="1" s="1"/>
  <c r="J275" i="1" a="1"/>
  <c r="J275" i="1" s="1"/>
  <c r="K275" i="1" s="1"/>
  <c r="J276" i="1" a="1"/>
  <c r="J276" i="1" s="1"/>
  <c r="J277" i="1" a="1"/>
  <c r="J277" i="1" s="1"/>
  <c r="J278" i="1" a="1"/>
  <c r="J278" i="1" s="1"/>
  <c r="J279" i="1" a="1"/>
  <c r="J279" i="1" s="1"/>
  <c r="K279" i="1" s="1"/>
  <c r="J280" i="1" a="1"/>
  <c r="J280" i="1" s="1"/>
  <c r="K280" i="1" s="1"/>
  <c r="J281" i="1" a="1"/>
  <c r="J281" i="1" s="1"/>
  <c r="J282" i="1" a="1"/>
  <c r="J282" i="1" s="1"/>
  <c r="J283" i="1" a="1"/>
  <c r="J283" i="1" s="1"/>
  <c r="K283" i="1" s="1"/>
  <c r="J284" i="1" a="1"/>
  <c r="J284" i="1" s="1"/>
  <c r="J285" i="1" a="1"/>
  <c r="J285" i="1" s="1"/>
  <c r="K285" i="1" s="1"/>
  <c r="J286" i="1" a="1"/>
  <c r="J286" i="1" s="1"/>
  <c r="K286" i="1" s="1"/>
  <c r="J287" i="1" a="1"/>
  <c r="J287" i="1" s="1"/>
  <c r="K287" i="1" s="1"/>
  <c r="J288" i="1" a="1"/>
  <c r="J288" i="1" s="1"/>
  <c r="K288" i="1" s="1"/>
  <c r="J289" i="1" a="1"/>
  <c r="J289" i="1" s="1"/>
  <c r="K289" i="1" s="1"/>
  <c r="J290" i="1" a="1"/>
  <c r="J290" i="1" s="1"/>
  <c r="K290" i="1" s="1"/>
  <c r="J291" i="1" a="1"/>
  <c r="J291" i="1" s="1"/>
  <c r="K291" i="1" s="1"/>
  <c r="J292" i="1" a="1"/>
  <c r="J292" i="1" s="1"/>
  <c r="K292" i="1" s="1"/>
  <c r="J293" i="1" a="1"/>
  <c r="J293" i="1" s="1"/>
  <c r="K293" i="1" s="1"/>
  <c r="J294" i="1" a="1"/>
  <c r="J294" i="1" s="1"/>
  <c r="K294" i="1" s="1"/>
  <c r="J295" i="1" a="1"/>
  <c r="J295" i="1" s="1"/>
  <c r="K295" i="1" s="1"/>
  <c r="J296" i="1" a="1"/>
  <c r="J296" i="1" s="1"/>
  <c r="K296" i="1" s="1"/>
  <c r="J297" i="1" a="1"/>
  <c r="J297" i="1" s="1"/>
  <c r="J298" i="1" a="1"/>
  <c r="J298" i="1" s="1"/>
  <c r="K298" i="1" s="1"/>
  <c r="J299" i="1" a="1"/>
  <c r="J299" i="1" s="1"/>
  <c r="J300" i="1" a="1"/>
  <c r="J300" i="1" s="1"/>
  <c r="K300" i="1" s="1"/>
  <c r="J301" i="1" a="1"/>
  <c r="J301" i="1" s="1"/>
  <c r="J302" i="1" a="1"/>
  <c r="J302" i="1" s="1"/>
  <c r="J303" i="1" a="1"/>
  <c r="J303" i="1" s="1"/>
  <c r="K303" i="1" s="1"/>
  <c r="J304" i="1" a="1"/>
  <c r="J304" i="1" s="1"/>
  <c r="K304" i="1" s="1"/>
  <c r="J305" i="1" a="1"/>
  <c r="J305" i="1" s="1"/>
  <c r="K305" i="1" s="1"/>
  <c r="J306" i="1" a="1"/>
  <c r="J306" i="1" s="1"/>
  <c r="K306" i="1" s="1"/>
  <c r="J307" i="1" a="1"/>
  <c r="J307" i="1" s="1"/>
  <c r="K307" i="1" s="1"/>
  <c r="J308" i="1" a="1"/>
  <c r="J308" i="1" s="1"/>
  <c r="K308" i="1" s="1"/>
  <c r="J309" i="1" a="1"/>
  <c r="J309" i="1" s="1"/>
  <c r="J310" i="1" a="1"/>
  <c r="J310" i="1" s="1"/>
  <c r="K310" i="1" s="1"/>
  <c r="J311" i="1" a="1"/>
  <c r="J311" i="1" s="1"/>
  <c r="K311" i="1" s="1"/>
  <c r="J312" i="1" a="1"/>
  <c r="J312" i="1" s="1"/>
  <c r="K312" i="1" s="1"/>
  <c r="J313" i="1" a="1"/>
  <c r="J313" i="1" s="1"/>
  <c r="K313" i="1" s="1"/>
  <c r="J314" i="1" a="1"/>
  <c r="J314" i="1" s="1"/>
  <c r="K314" i="1" s="1"/>
  <c r="J315" i="1" a="1"/>
  <c r="J315" i="1" s="1"/>
  <c r="J316" i="1" a="1"/>
  <c r="J316" i="1" s="1"/>
  <c r="K316" i="1" s="1"/>
  <c r="J317" i="1" a="1"/>
  <c r="J317" i="1" s="1"/>
  <c r="J318" i="1" a="1"/>
  <c r="J318" i="1" s="1"/>
  <c r="K318" i="1" s="1"/>
  <c r="J319" i="1" a="1"/>
  <c r="J319" i="1" s="1"/>
  <c r="K319" i="1" s="1"/>
  <c r="J320" i="1" a="1"/>
  <c r="J320" i="1" s="1"/>
  <c r="K320" i="1" s="1"/>
  <c r="J321" i="1" a="1"/>
  <c r="J321" i="1" s="1"/>
  <c r="K321" i="1" s="1"/>
  <c r="J322" i="1" a="1"/>
  <c r="J322" i="1" s="1"/>
  <c r="K322" i="1" s="1"/>
  <c r="J323" i="1" a="1"/>
  <c r="J323" i="1" s="1"/>
  <c r="K323" i="1" s="1"/>
  <c r="J324" i="1" a="1"/>
  <c r="J324" i="1" s="1"/>
  <c r="K324" i="1" s="1"/>
  <c r="J325" i="1" a="1"/>
  <c r="J325" i="1" s="1"/>
  <c r="K325" i="1" s="1"/>
  <c r="J326" i="1" a="1"/>
  <c r="J326" i="1" s="1"/>
  <c r="K326" i="1" s="1"/>
  <c r="J327" i="1" a="1"/>
  <c r="J327" i="1" s="1"/>
  <c r="K327" i="1" s="1"/>
  <c r="J328" i="1" a="1"/>
  <c r="J328" i="1" s="1"/>
  <c r="K328" i="1" s="1"/>
  <c r="J329" i="1" a="1"/>
  <c r="J329" i="1" s="1"/>
  <c r="J330" i="1" a="1"/>
  <c r="J330" i="1" s="1"/>
  <c r="K330" i="1" s="1"/>
  <c r="J331" i="1" a="1"/>
  <c r="J331" i="1" s="1"/>
  <c r="K331" i="1" s="1"/>
  <c r="J332" i="1" a="1"/>
  <c r="J332" i="1" s="1"/>
  <c r="K332" i="1" s="1"/>
  <c r="J333" i="1" a="1"/>
  <c r="J333" i="1" s="1"/>
  <c r="K333" i="1" s="1"/>
  <c r="J334" i="1" a="1"/>
  <c r="J334" i="1" s="1"/>
  <c r="J335" i="1" a="1"/>
  <c r="J335" i="1" s="1"/>
  <c r="K335" i="1" s="1"/>
  <c r="J336" i="1" a="1"/>
  <c r="J336" i="1" s="1"/>
  <c r="K336" i="1" s="1"/>
  <c r="J337" i="1" a="1"/>
  <c r="J337" i="1" s="1"/>
  <c r="K337" i="1" s="1"/>
  <c r="J338" i="1" a="1"/>
  <c r="J338" i="1" s="1"/>
  <c r="J339" i="1" a="1"/>
  <c r="J339" i="1" s="1"/>
  <c r="K339" i="1" s="1"/>
  <c r="J340" i="1" a="1"/>
  <c r="J340" i="1" s="1"/>
  <c r="K340" i="1" s="1"/>
  <c r="J341" i="1" a="1"/>
  <c r="J341" i="1" s="1"/>
  <c r="K341" i="1" s="1"/>
  <c r="J342" i="1" a="1"/>
  <c r="J342" i="1" s="1"/>
  <c r="J343" i="1" a="1"/>
  <c r="J343" i="1" s="1"/>
  <c r="K343" i="1" s="1"/>
  <c r="J344" i="1" a="1"/>
  <c r="J344" i="1" s="1"/>
  <c r="J345" i="1" a="1"/>
  <c r="J345" i="1" s="1"/>
  <c r="K345" i="1" s="1"/>
  <c r="J346" i="1" a="1"/>
  <c r="J346" i="1" s="1"/>
  <c r="K346" i="1" s="1"/>
  <c r="J347" i="1" a="1"/>
  <c r="J347" i="1" s="1"/>
  <c r="K347" i="1" s="1"/>
  <c r="J348" i="1" a="1"/>
  <c r="J348" i="1" s="1"/>
  <c r="K348" i="1" s="1"/>
  <c r="J349" i="1" a="1"/>
  <c r="J349" i="1" s="1"/>
  <c r="K349" i="1" s="1"/>
  <c r="J350" i="1" a="1"/>
  <c r="J350" i="1" s="1"/>
  <c r="K350" i="1" s="1"/>
  <c r="J351" i="1" a="1"/>
  <c r="J351" i="1" s="1"/>
  <c r="K351" i="1" s="1"/>
  <c r="J352" i="1" a="1"/>
  <c r="J352" i="1" s="1"/>
  <c r="J353" i="1" a="1"/>
  <c r="J353" i="1" s="1"/>
  <c r="K353" i="1" s="1"/>
  <c r="J354" i="1" a="1"/>
  <c r="J354" i="1" s="1"/>
  <c r="K354" i="1" s="1"/>
  <c r="J355" i="1" a="1"/>
  <c r="J355" i="1" s="1"/>
  <c r="K355" i="1" s="1"/>
  <c r="J356" i="1" a="1"/>
  <c r="J356" i="1" s="1"/>
  <c r="K356" i="1" s="1"/>
  <c r="J357" i="1" a="1"/>
  <c r="J357" i="1" s="1"/>
  <c r="K357" i="1" s="1"/>
  <c r="J358" i="1" a="1"/>
  <c r="J358" i="1" s="1"/>
  <c r="J359" i="1" a="1"/>
  <c r="J359" i="1" s="1"/>
  <c r="J360" i="1" a="1"/>
  <c r="J360" i="1" s="1"/>
  <c r="K360" i="1" s="1"/>
  <c r="J361" i="1" a="1"/>
  <c r="J361" i="1" s="1"/>
  <c r="K361" i="1" s="1"/>
  <c r="J362" i="1" a="1"/>
  <c r="J362" i="1" s="1"/>
  <c r="K362" i="1" s="1"/>
  <c r="J363" i="1" a="1"/>
  <c r="J363" i="1" s="1"/>
  <c r="K363" i="1" s="1"/>
  <c r="J364" i="1" a="1"/>
  <c r="J364" i="1" s="1"/>
  <c r="K364" i="1" s="1"/>
  <c r="J365" i="1" a="1"/>
  <c r="J365" i="1" s="1"/>
  <c r="K365" i="1" s="1"/>
  <c r="J366" i="1" a="1"/>
  <c r="J366" i="1" s="1"/>
  <c r="J367" i="1" a="1"/>
  <c r="J367" i="1" s="1"/>
  <c r="K367" i="1" s="1"/>
  <c r="J368" i="1" a="1"/>
  <c r="J368" i="1" s="1"/>
  <c r="K368" i="1" s="1"/>
  <c r="J369" i="1" a="1"/>
  <c r="J369" i="1" s="1"/>
  <c r="K369" i="1" s="1"/>
  <c r="J370" i="1" a="1"/>
  <c r="J370" i="1" s="1"/>
  <c r="K370" i="1" s="1"/>
  <c r="J371" i="1" a="1"/>
  <c r="J371" i="1" s="1"/>
  <c r="J372" i="1" a="1"/>
  <c r="J372" i="1" s="1"/>
  <c r="K372" i="1" s="1"/>
  <c r="J373" i="1" a="1"/>
  <c r="J373" i="1" s="1"/>
  <c r="K373" i="1" s="1"/>
  <c r="J374" i="1" a="1"/>
  <c r="J374" i="1" s="1"/>
  <c r="K374" i="1" s="1"/>
  <c r="J375" i="1" a="1"/>
  <c r="J375" i="1" s="1"/>
  <c r="K375" i="1" s="1"/>
  <c r="J376" i="1" a="1"/>
  <c r="J376" i="1" s="1"/>
  <c r="K376" i="1" s="1"/>
  <c r="J377" i="1" a="1"/>
  <c r="J377" i="1" s="1"/>
  <c r="K377" i="1" s="1"/>
  <c r="J378" i="1" a="1"/>
  <c r="J378" i="1" s="1"/>
  <c r="K378" i="1" s="1"/>
  <c r="J379" i="1" a="1"/>
  <c r="J379" i="1" s="1"/>
  <c r="J380" i="1" a="1"/>
  <c r="J380" i="1" s="1"/>
  <c r="K380" i="1" s="1"/>
  <c r="J381" i="1" a="1"/>
  <c r="J381" i="1" s="1"/>
  <c r="K381" i="1" s="1"/>
  <c r="J382" i="1" a="1"/>
  <c r="J382" i="1" s="1"/>
  <c r="K382" i="1" s="1"/>
  <c r="J383" i="1" a="1"/>
  <c r="J383" i="1" s="1"/>
  <c r="K383" i="1" s="1"/>
  <c r="J384" i="1" a="1"/>
  <c r="J384" i="1" s="1"/>
  <c r="K384" i="1" s="1"/>
  <c r="J385" i="1" a="1"/>
  <c r="J385" i="1" s="1"/>
  <c r="J386" i="1" a="1"/>
  <c r="J386" i="1" s="1"/>
  <c r="K386" i="1" s="1"/>
  <c r="J387" i="1" a="1"/>
  <c r="J387" i="1" s="1"/>
  <c r="K387" i="1" s="1"/>
  <c r="J388" i="1" a="1"/>
  <c r="J388" i="1" s="1"/>
  <c r="J389" i="1" a="1"/>
  <c r="J389" i="1" s="1"/>
  <c r="K389" i="1" s="1"/>
  <c r="J390" i="1" a="1"/>
  <c r="J390" i="1" s="1"/>
  <c r="K390" i="1" s="1"/>
  <c r="J391" i="1" a="1"/>
  <c r="J391" i="1" s="1"/>
  <c r="J392" i="1" a="1"/>
  <c r="J392" i="1" s="1"/>
  <c r="K392" i="1" s="1"/>
  <c r="J393" i="1" a="1"/>
  <c r="J393" i="1" s="1"/>
  <c r="J394" i="1" a="1"/>
  <c r="J394" i="1" s="1"/>
  <c r="K394" i="1" s="1"/>
  <c r="J395" i="1" a="1"/>
  <c r="J395" i="1" s="1"/>
  <c r="K395" i="1" s="1"/>
  <c r="J396" i="1" a="1"/>
  <c r="J396" i="1" s="1"/>
  <c r="K396" i="1" s="1"/>
  <c r="J397" i="1" a="1"/>
  <c r="J397" i="1" s="1"/>
  <c r="K397" i="1" s="1"/>
  <c r="J398" i="1" a="1"/>
  <c r="J398" i="1" s="1"/>
  <c r="J399" i="1" a="1"/>
  <c r="J399" i="1" s="1"/>
  <c r="J400" i="1" a="1"/>
  <c r="J400" i="1" s="1"/>
  <c r="J401" i="1" a="1"/>
  <c r="J401" i="1" s="1"/>
  <c r="K401" i="1" s="1"/>
  <c r="J402" i="1" a="1"/>
  <c r="J402" i="1" s="1"/>
  <c r="K402" i="1" s="1"/>
  <c r="J403" i="1" a="1"/>
  <c r="J403" i="1" s="1"/>
  <c r="K403" i="1" s="1"/>
  <c r="J404" i="1" a="1"/>
  <c r="J404" i="1" s="1"/>
  <c r="K404" i="1" s="1"/>
  <c r="J405" i="1" a="1"/>
  <c r="J405" i="1" s="1"/>
  <c r="K405" i="1" s="1"/>
  <c r="J406" i="1" a="1"/>
  <c r="J406" i="1" s="1"/>
  <c r="K406" i="1" s="1"/>
  <c r="J407" i="1" a="1"/>
  <c r="J407" i="1" s="1"/>
  <c r="K407" i="1" s="1"/>
  <c r="J408" i="1" a="1"/>
  <c r="J408" i="1" s="1"/>
  <c r="K408" i="1" s="1"/>
  <c r="J409" i="1" a="1"/>
  <c r="J409" i="1" s="1"/>
  <c r="K409" i="1" s="1"/>
  <c r="J410" i="1" a="1"/>
  <c r="J410" i="1" s="1"/>
  <c r="K410" i="1" s="1"/>
  <c r="J411" i="1" a="1"/>
  <c r="J411" i="1" s="1"/>
  <c r="J412" i="1" a="1"/>
  <c r="J412" i="1" s="1"/>
  <c r="J413" i="1" a="1"/>
  <c r="J413" i="1" s="1"/>
  <c r="K413" i="1" s="1"/>
  <c r="J414" i="1" a="1"/>
  <c r="J414" i="1" s="1"/>
  <c r="K414" i="1" s="1"/>
  <c r="J415" i="1" a="1"/>
  <c r="J415" i="1" s="1"/>
  <c r="J416" i="1" a="1"/>
  <c r="J416" i="1" s="1"/>
  <c r="K416" i="1" s="1"/>
  <c r="J417" i="1" a="1"/>
  <c r="J417" i="1" s="1"/>
  <c r="J418" i="1" a="1"/>
  <c r="J418" i="1" s="1"/>
  <c r="K418" i="1" s="1"/>
  <c r="J419" i="1" a="1"/>
  <c r="J419" i="1" s="1"/>
  <c r="K419" i="1" s="1"/>
  <c r="J420" i="1" a="1"/>
  <c r="J420" i="1" s="1"/>
  <c r="K420" i="1" s="1"/>
  <c r="J421" i="1" a="1"/>
  <c r="J421" i="1" s="1"/>
  <c r="K421" i="1" s="1"/>
  <c r="J422" i="1" a="1"/>
  <c r="J422" i="1" s="1"/>
  <c r="K422" i="1" s="1"/>
  <c r="J423" i="1" a="1"/>
  <c r="J423" i="1" s="1"/>
  <c r="K423" i="1" s="1"/>
  <c r="J424" i="1" a="1"/>
  <c r="J424" i="1" s="1"/>
  <c r="K424" i="1" s="1"/>
  <c r="J425" i="1" a="1"/>
  <c r="J425" i="1" s="1"/>
  <c r="K425" i="1" s="1"/>
  <c r="J426" i="1" a="1"/>
  <c r="J426" i="1" s="1"/>
  <c r="K426" i="1" s="1"/>
  <c r="J427" i="1" a="1"/>
  <c r="J427" i="1" s="1"/>
  <c r="K427" i="1" s="1"/>
  <c r="J428" i="1" a="1"/>
  <c r="J428" i="1" s="1"/>
  <c r="K428" i="1" s="1"/>
  <c r="J429" i="1" a="1"/>
  <c r="J429" i="1" s="1"/>
  <c r="K429" i="1" s="1"/>
  <c r="J430" i="1" a="1"/>
  <c r="J430" i="1" s="1"/>
  <c r="K430" i="1" s="1"/>
  <c r="J431" i="1" a="1"/>
  <c r="J431" i="1" s="1"/>
  <c r="K431" i="1" s="1"/>
  <c r="J432" i="1" a="1"/>
  <c r="J432" i="1" s="1"/>
  <c r="K432" i="1" s="1"/>
  <c r="J433" i="1" a="1"/>
  <c r="J433" i="1" s="1"/>
  <c r="J434" i="1" a="1"/>
  <c r="J434" i="1" s="1"/>
  <c r="J435" i="1" a="1"/>
  <c r="J435" i="1" s="1"/>
  <c r="J436" i="1" a="1"/>
  <c r="J436" i="1" s="1"/>
  <c r="K436" i="1" s="1"/>
  <c r="J437" i="1" a="1"/>
  <c r="J437" i="1" s="1"/>
  <c r="K437" i="1" s="1"/>
  <c r="J438" i="1" a="1"/>
  <c r="J438" i="1" s="1"/>
  <c r="K438" i="1" s="1"/>
  <c r="J439" i="1" a="1"/>
  <c r="J439" i="1" s="1"/>
  <c r="K439" i="1" s="1"/>
  <c r="J440" i="1" a="1"/>
  <c r="J440" i="1" s="1"/>
  <c r="K440" i="1" s="1"/>
  <c r="J441" i="1" a="1"/>
  <c r="J441" i="1" s="1"/>
  <c r="K441" i="1" s="1"/>
  <c r="J442" i="1" a="1"/>
  <c r="J442" i="1" s="1"/>
  <c r="K442" i="1" s="1"/>
  <c r="J443" i="1" a="1"/>
  <c r="J443" i="1" s="1"/>
  <c r="J444" i="1" a="1"/>
  <c r="J444" i="1" s="1"/>
  <c r="K444" i="1" s="1"/>
  <c r="J445" i="1" a="1"/>
  <c r="J445" i="1" s="1"/>
  <c r="K445" i="1" s="1"/>
  <c r="J446" i="1" a="1"/>
  <c r="J446" i="1" s="1"/>
  <c r="K446" i="1" s="1"/>
  <c r="J447" i="1" a="1"/>
  <c r="J447" i="1" s="1"/>
  <c r="K447" i="1" s="1"/>
  <c r="J448" i="1" a="1"/>
  <c r="J448" i="1" s="1"/>
  <c r="K448" i="1" s="1"/>
  <c r="J449" i="1" a="1"/>
  <c r="J449" i="1" s="1"/>
  <c r="K449" i="1" s="1"/>
  <c r="J450" i="1" a="1"/>
  <c r="J450" i="1" s="1"/>
  <c r="K450" i="1" s="1"/>
  <c r="J451" i="1" a="1"/>
  <c r="J451" i="1" s="1"/>
  <c r="K451" i="1" s="1"/>
  <c r="J452" i="1" a="1"/>
  <c r="J452" i="1" s="1"/>
  <c r="K452" i="1" s="1"/>
  <c r="J453" i="1" a="1"/>
  <c r="J453" i="1" s="1"/>
  <c r="K453" i="1" s="1"/>
  <c r="J454" i="1" a="1"/>
  <c r="J454" i="1" s="1"/>
  <c r="K454" i="1" s="1"/>
  <c r="J455" i="1" a="1"/>
  <c r="J455" i="1" s="1"/>
  <c r="J456" i="1" a="1"/>
  <c r="J456" i="1" s="1"/>
  <c r="K456" i="1" s="1"/>
  <c r="J457" i="1" a="1"/>
  <c r="J457" i="1" s="1"/>
  <c r="K457" i="1" s="1"/>
  <c r="J458" i="1" a="1"/>
  <c r="J458" i="1" s="1"/>
  <c r="K458" i="1" s="1"/>
  <c r="J459" i="1" a="1"/>
  <c r="J459" i="1" s="1"/>
  <c r="J460" i="1" a="1"/>
  <c r="J460" i="1" s="1"/>
  <c r="K460" i="1" s="1"/>
  <c r="J461" i="1" a="1"/>
  <c r="J461" i="1" s="1"/>
  <c r="K461" i="1" s="1"/>
  <c r="J462" i="1" a="1"/>
  <c r="J462" i="1" s="1"/>
  <c r="K462" i="1" s="1"/>
  <c r="J463" i="1" a="1"/>
  <c r="J463" i="1" s="1"/>
  <c r="K463" i="1" s="1"/>
  <c r="J464" i="1" a="1"/>
  <c r="J464" i="1" s="1"/>
  <c r="K464" i="1" s="1"/>
  <c r="J465" i="1" a="1"/>
  <c r="J465" i="1" s="1"/>
  <c r="K465" i="1" s="1"/>
  <c r="J466" i="1" a="1"/>
  <c r="J466" i="1" s="1"/>
  <c r="J467" i="1" a="1"/>
  <c r="J467" i="1" s="1"/>
  <c r="J468" i="1" a="1"/>
  <c r="J468" i="1" s="1"/>
  <c r="J469" i="1" a="1"/>
  <c r="J469" i="1" s="1"/>
  <c r="K469" i="1" s="1"/>
  <c r="J470" i="1" a="1"/>
  <c r="J470" i="1" s="1"/>
  <c r="K470" i="1" s="1"/>
  <c r="J471" i="1" a="1"/>
  <c r="J471" i="1" s="1"/>
  <c r="K471" i="1" s="1"/>
  <c r="J472" i="1" a="1"/>
  <c r="J472" i="1" s="1"/>
  <c r="K472" i="1" s="1"/>
  <c r="J473" i="1" a="1"/>
  <c r="J473" i="1" s="1"/>
  <c r="J474" i="1" a="1"/>
  <c r="J474" i="1" s="1"/>
  <c r="K474" i="1" s="1"/>
  <c r="J475" i="1" a="1"/>
  <c r="J475" i="1" s="1"/>
  <c r="K475" i="1" s="1"/>
  <c r="J476" i="1" a="1"/>
  <c r="J476" i="1" s="1"/>
  <c r="K476" i="1" s="1"/>
  <c r="J477" i="1" a="1"/>
  <c r="J477" i="1" s="1"/>
  <c r="J478" i="1" a="1"/>
  <c r="J478" i="1" s="1"/>
  <c r="K478" i="1" s="1"/>
  <c r="J479" i="1" a="1"/>
  <c r="J479" i="1" s="1"/>
  <c r="K479" i="1" s="1"/>
  <c r="J480" i="1" a="1"/>
  <c r="J480" i="1" s="1"/>
  <c r="K480" i="1" s="1"/>
  <c r="J481" i="1" a="1"/>
  <c r="J481" i="1" s="1"/>
  <c r="K481" i="1" s="1"/>
  <c r="J482" i="1" a="1"/>
  <c r="J482" i="1" s="1"/>
  <c r="K482" i="1" s="1"/>
  <c r="J483" i="1" a="1"/>
  <c r="J483" i="1" s="1"/>
  <c r="K483" i="1" s="1"/>
  <c r="J484" i="1" a="1"/>
  <c r="J484" i="1" s="1"/>
  <c r="K484" i="1" s="1"/>
  <c r="J485" i="1" a="1"/>
  <c r="J485" i="1" s="1"/>
  <c r="K485" i="1" s="1"/>
  <c r="J486" i="1" a="1"/>
  <c r="J486" i="1" s="1"/>
  <c r="K486" i="1" s="1"/>
  <c r="J487" i="1" a="1"/>
  <c r="J487" i="1" s="1"/>
  <c r="K487" i="1" s="1"/>
  <c r="J488" i="1" a="1"/>
  <c r="J488" i="1" s="1"/>
  <c r="K488" i="1" s="1"/>
  <c r="J489" i="1" a="1"/>
  <c r="J489" i="1" s="1"/>
  <c r="K489" i="1" s="1"/>
  <c r="J490" i="1" a="1"/>
  <c r="J490" i="1" s="1"/>
  <c r="K490" i="1" s="1"/>
  <c r="J491" i="1" a="1"/>
  <c r="J491" i="1" s="1"/>
  <c r="K491" i="1" s="1"/>
  <c r="J492" i="1" a="1"/>
  <c r="J492" i="1" s="1"/>
  <c r="K492" i="1" s="1"/>
  <c r="J493" i="1" a="1"/>
  <c r="J493" i="1" s="1"/>
  <c r="J494" i="1" a="1"/>
  <c r="J494" i="1" s="1"/>
  <c r="K494" i="1" s="1"/>
  <c r="J495" i="1" a="1"/>
  <c r="J495" i="1" s="1"/>
  <c r="K495" i="1" s="1"/>
  <c r="J496" i="1" a="1"/>
  <c r="J496" i="1" s="1"/>
  <c r="K496" i="1" s="1"/>
  <c r="J497" i="1" a="1"/>
  <c r="J497" i="1" s="1"/>
  <c r="K497" i="1" s="1"/>
  <c r="J498" i="1" a="1"/>
  <c r="J498" i="1" s="1"/>
  <c r="K498" i="1" s="1"/>
  <c r="J499" i="1" a="1"/>
  <c r="J499" i="1" s="1"/>
  <c r="J500" i="1" a="1"/>
  <c r="J500" i="1" s="1"/>
  <c r="K500" i="1" s="1"/>
  <c r="J501" i="1" a="1"/>
  <c r="J501" i="1" s="1"/>
  <c r="J502" i="1" a="1"/>
  <c r="J502" i="1" s="1"/>
  <c r="K502" i="1" s="1"/>
  <c r="J503" i="1" a="1"/>
  <c r="J503" i="1" s="1"/>
  <c r="K503" i="1" s="1"/>
  <c r="J504" i="1" a="1"/>
  <c r="J504" i="1" s="1"/>
  <c r="K504" i="1" s="1"/>
  <c r="J505" i="1" a="1"/>
  <c r="J505" i="1" s="1"/>
  <c r="K505" i="1" s="1"/>
  <c r="J506" i="1" a="1"/>
  <c r="J506" i="1" s="1"/>
  <c r="K506" i="1" s="1"/>
  <c r="J507" i="1" a="1"/>
  <c r="J507" i="1" s="1"/>
  <c r="K507" i="1" s="1"/>
  <c r="J508" i="1" a="1"/>
  <c r="J508" i="1" s="1"/>
  <c r="K508" i="1" s="1"/>
  <c r="J509" i="1" a="1"/>
  <c r="J509" i="1" s="1"/>
  <c r="K509" i="1" s="1"/>
  <c r="J510" i="1" a="1"/>
  <c r="J510" i="1" s="1"/>
  <c r="K510" i="1" s="1"/>
  <c r="J511" i="1" a="1"/>
  <c r="J511" i="1" s="1"/>
  <c r="K511" i="1" s="1"/>
  <c r="J512" i="1" a="1"/>
  <c r="J512" i="1" s="1"/>
  <c r="K512" i="1" s="1"/>
  <c r="J513" i="1" a="1"/>
  <c r="J513" i="1" s="1"/>
  <c r="J514" i="1" a="1"/>
  <c r="J514" i="1" s="1"/>
  <c r="K514" i="1" s="1"/>
  <c r="J515" i="1" a="1"/>
  <c r="J515" i="1" s="1"/>
  <c r="K515" i="1" s="1"/>
  <c r="J516" i="1" a="1"/>
  <c r="J516" i="1" s="1"/>
  <c r="K516" i="1" s="1"/>
  <c r="J517" i="1" a="1"/>
  <c r="J517" i="1" s="1"/>
  <c r="K517" i="1" s="1"/>
  <c r="J518" i="1" a="1"/>
  <c r="J518" i="1" s="1"/>
  <c r="J519" i="1" a="1"/>
  <c r="J519" i="1" s="1"/>
  <c r="K519" i="1" s="1"/>
  <c r="J520" i="1" a="1"/>
  <c r="J520" i="1" s="1"/>
  <c r="K520" i="1" s="1"/>
  <c r="J521" i="1" a="1"/>
  <c r="J521" i="1" s="1"/>
  <c r="K521" i="1" s="1"/>
  <c r="J522" i="1" a="1"/>
  <c r="J522" i="1" s="1"/>
  <c r="K522" i="1" s="1"/>
  <c r="J523" i="1" a="1"/>
  <c r="J523" i="1" s="1"/>
  <c r="K523" i="1" s="1"/>
  <c r="J524" i="1" a="1"/>
  <c r="J524" i="1" s="1"/>
  <c r="K524" i="1" s="1"/>
  <c r="J525" i="1" a="1"/>
  <c r="J525" i="1" s="1"/>
  <c r="J526" i="1" a="1"/>
  <c r="J526" i="1" s="1"/>
  <c r="K526" i="1" s="1"/>
  <c r="J527" i="1" a="1"/>
  <c r="J527" i="1" s="1"/>
  <c r="K527" i="1" s="1"/>
  <c r="J528" i="1" a="1"/>
  <c r="J528" i="1" s="1"/>
  <c r="J529" i="1" a="1"/>
  <c r="J529" i="1" s="1"/>
  <c r="K529" i="1" s="1"/>
  <c r="J530" i="1" a="1"/>
  <c r="J530" i="1" s="1"/>
  <c r="K530" i="1" s="1"/>
  <c r="J531" i="1" a="1"/>
  <c r="J531" i="1" s="1"/>
  <c r="K531" i="1" s="1"/>
  <c r="J532" i="1" a="1"/>
  <c r="J532" i="1" s="1"/>
  <c r="J533" i="1" a="1"/>
  <c r="J533" i="1" s="1"/>
  <c r="J534" i="1" a="1"/>
  <c r="J534" i="1" s="1"/>
  <c r="J535" i="1" a="1"/>
  <c r="J535" i="1" s="1"/>
  <c r="K535" i="1" s="1"/>
  <c r="J536" i="1" a="1"/>
  <c r="J536" i="1" s="1"/>
  <c r="K536" i="1" s="1"/>
  <c r="J537" i="1" a="1"/>
  <c r="J537" i="1" s="1"/>
  <c r="K537" i="1" s="1"/>
  <c r="J538" i="1" a="1"/>
  <c r="J538" i="1" s="1"/>
  <c r="K538" i="1" s="1"/>
  <c r="J539" i="1" a="1"/>
  <c r="J539" i="1" s="1"/>
  <c r="K539" i="1" s="1"/>
  <c r="J540" i="1" a="1"/>
  <c r="J540" i="1" s="1"/>
  <c r="K540" i="1" s="1"/>
  <c r="J541" i="1" a="1"/>
  <c r="J541" i="1" s="1"/>
  <c r="J542" i="1" a="1"/>
  <c r="J542" i="1" s="1"/>
  <c r="K542" i="1" s="1"/>
  <c r="J543" i="1" a="1"/>
  <c r="J543" i="1" s="1"/>
  <c r="K543" i="1" s="1"/>
  <c r="J544" i="1" a="1"/>
  <c r="J544" i="1" s="1"/>
  <c r="K544" i="1" s="1"/>
  <c r="J545" i="1" a="1"/>
  <c r="J545" i="1" s="1"/>
  <c r="K545" i="1" s="1"/>
  <c r="J546" i="1" a="1"/>
  <c r="J546" i="1" s="1"/>
  <c r="K546" i="1" s="1"/>
  <c r="J547" i="1" a="1"/>
  <c r="J547" i="1" s="1"/>
  <c r="K547" i="1" s="1"/>
  <c r="J548" i="1" a="1"/>
  <c r="J548" i="1" s="1"/>
  <c r="K548" i="1" s="1"/>
  <c r="J549" i="1" a="1"/>
  <c r="J549" i="1" s="1"/>
  <c r="K549" i="1" s="1"/>
  <c r="J550" i="1" a="1"/>
  <c r="J550" i="1" s="1"/>
  <c r="J551" i="1" a="1"/>
  <c r="J551" i="1" s="1"/>
  <c r="J552" i="1" a="1"/>
  <c r="J552" i="1" s="1"/>
  <c r="K552" i="1" s="1"/>
  <c r="J553" i="1" a="1"/>
  <c r="J553" i="1" s="1"/>
  <c r="K553" i="1" s="1"/>
  <c r="J554" i="1" a="1"/>
  <c r="J554" i="1" s="1"/>
  <c r="K554" i="1" s="1"/>
  <c r="J555" i="1" a="1"/>
  <c r="J555" i="1" s="1"/>
  <c r="K555" i="1" s="1"/>
  <c r="J556" i="1" a="1"/>
  <c r="J556" i="1" s="1"/>
  <c r="K556" i="1" s="1"/>
  <c r="J557" i="1" a="1"/>
  <c r="J557" i="1" s="1"/>
  <c r="K557" i="1" s="1"/>
  <c r="J558" i="1" a="1"/>
  <c r="J558" i="1" s="1"/>
  <c r="K558" i="1" s="1"/>
  <c r="J559" i="1" a="1"/>
  <c r="J559" i="1" s="1"/>
  <c r="K559" i="1" s="1"/>
  <c r="J560" i="1" a="1"/>
  <c r="J560" i="1" s="1"/>
  <c r="J561" i="1" a="1"/>
  <c r="J561" i="1" s="1"/>
  <c r="K561" i="1" s="1"/>
  <c r="J562" i="1" a="1"/>
  <c r="J562" i="1" s="1"/>
  <c r="K562" i="1" s="1"/>
  <c r="J563" i="1" a="1"/>
  <c r="J563" i="1" s="1"/>
  <c r="K563" i="1" s="1"/>
  <c r="J564" i="1" a="1"/>
  <c r="J564" i="1" s="1"/>
  <c r="K564" i="1" s="1"/>
  <c r="J565" i="1" a="1"/>
  <c r="J565" i="1" s="1"/>
  <c r="K565" i="1" s="1"/>
  <c r="J566" i="1" a="1"/>
  <c r="J566" i="1" s="1"/>
  <c r="J567" i="1" a="1"/>
  <c r="J567" i="1" s="1"/>
  <c r="K567" i="1" s="1"/>
  <c r="J568" i="1" a="1"/>
  <c r="J568" i="1" s="1"/>
  <c r="K568" i="1" s="1"/>
  <c r="J569" i="1" a="1"/>
  <c r="J569" i="1" s="1"/>
  <c r="K569" i="1" s="1"/>
  <c r="J570" i="1" a="1"/>
  <c r="J570" i="1" s="1"/>
  <c r="K570" i="1" s="1"/>
  <c r="J571" i="1" a="1"/>
  <c r="J571" i="1" s="1"/>
  <c r="K571" i="1" s="1"/>
  <c r="J572" i="1" a="1"/>
  <c r="J572" i="1" s="1"/>
  <c r="K572" i="1" s="1"/>
  <c r="J573" i="1" a="1"/>
  <c r="J573" i="1" s="1"/>
  <c r="J574" i="1" a="1"/>
  <c r="J574" i="1" s="1"/>
  <c r="J575" i="1" a="1"/>
  <c r="J575" i="1" s="1"/>
  <c r="K575" i="1" s="1"/>
  <c r="J576" i="1" a="1"/>
  <c r="J576" i="1" s="1"/>
  <c r="K576" i="1" s="1"/>
  <c r="J577" i="1" a="1"/>
  <c r="J577" i="1" s="1"/>
  <c r="J578" i="1" a="1"/>
  <c r="J578" i="1" s="1"/>
  <c r="K578" i="1" s="1"/>
  <c r="J579" i="1" a="1"/>
  <c r="J579" i="1" s="1"/>
  <c r="K579" i="1" s="1"/>
  <c r="J580" i="1" a="1"/>
  <c r="J580" i="1" s="1"/>
  <c r="K580" i="1" s="1"/>
  <c r="J581" i="1" a="1"/>
  <c r="J581" i="1" s="1"/>
  <c r="K581" i="1" s="1"/>
  <c r="J582" i="1" a="1"/>
  <c r="J582" i="1" s="1"/>
  <c r="K582" i="1" s="1"/>
  <c r="J583" i="1" a="1"/>
  <c r="J583" i="1" s="1"/>
  <c r="J584" i="1" a="1"/>
  <c r="J584" i="1" s="1"/>
  <c r="J585" i="1" a="1"/>
  <c r="J585" i="1" s="1"/>
  <c r="K585" i="1" s="1"/>
  <c r="J586" i="1" a="1"/>
  <c r="J586" i="1" s="1"/>
  <c r="K586" i="1" s="1"/>
  <c r="J587" i="1" a="1"/>
  <c r="J587" i="1" s="1"/>
  <c r="K587" i="1" s="1"/>
  <c r="J588" i="1" a="1"/>
  <c r="J588" i="1" s="1"/>
  <c r="K588" i="1" s="1"/>
  <c r="J589" i="1" a="1"/>
  <c r="J589" i="1" s="1"/>
  <c r="J590" i="1" a="1"/>
  <c r="J590" i="1" s="1"/>
  <c r="K590" i="1" s="1"/>
  <c r="J591" i="1" a="1"/>
  <c r="J591" i="1" s="1"/>
  <c r="K591" i="1" s="1"/>
  <c r="J592" i="1" a="1"/>
  <c r="J592" i="1" s="1"/>
  <c r="K592" i="1" s="1"/>
  <c r="J593" i="1" a="1"/>
  <c r="J593" i="1" s="1"/>
  <c r="K593" i="1" s="1"/>
  <c r="J594" i="1" a="1"/>
  <c r="J594" i="1" s="1"/>
  <c r="K594" i="1" s="1"/>
  <c r="J595" i="1" a="1"/>
  <c r="J595" i="1" s="1"/>
  <c r="K595" i="1" s="1"/>
  <c r="J596" i="1" a="1"/>
  <c r="J596" i="1" s="1"/>
  <c r="K596" i="1" s="1"/>
  <c r="J597" i="1" a="1"/>
  <c r="J597" i="1" s="1"/>
  <c r="J598" i="1" a="1"/>
  <c r="J598" i="1" s="1"/>
  <c r="K598" i="1" s="1"/>
  <c r="J599" i="1" a="1"/>
  <c r="J599" i="1" s="1"/>
  <c r="K599" i="1" s="1"/>
  <c r="J600" i="1" a="1"/>
  <c r="J600" i="1" s="1"/>
  <c r="K600" i="1" s="1"/>
  <c r="J601" i="1" a="1"/>
  <c r="J601" i="1" s="1"/>
  <c r="K601" i="1" s="1"/>
  <c r="J602" i="1" a="1"/>
  <c r="J602" i="1" s="1"/>
  <c r="K602" i="1" s="1"/>
  <c r="J603" i="1" a="1"/>
  <c r="J603" i="1" s="1"/>
  <c r="J604" i="1" a="1"/>
  <c r="J604" i="1" s="1"/>
  <c r="K604" i="1" s="1"/>
  <c r="J605" i="1" a="1"/>
  <c r="J605" i="1" s="1"/>
  <c r="K605" i="1" s="1"/>
  <c r="J606" i="1" a="1"/>
  <c r="J606" i="1" s="1"/>
  <c r="J607" i="1" a="1"/>
  <c r="J607" i="1" s="1"/>
  <c r="J608" i="1" a="1"/>
  <c r="J608" i="1" s="1"/>
  <c r="K608" i="1" s="1"/>
  <c r="J609" i="1" a="1"/>
  <c r="J609" i="1" s="1"/>
  <c r="K609" i="1" s="1"/>
  <c r="J610" i="1" a="1"/>
  <c r="J610" i="1" s="1"/>
  <c r="K610" i="1" s="1"/>
  <c r="J611" i="1" a="1"/>
  <c r="J611" i="1" s="1"/>
  <c r="K611" i="1" s="1"/>
  <c r="J612" i="1" a="1"/>
  <c r="J612" i="1" s="1"/>
  <c r="K612" i="1" s="1"/>
  <c r="J613" i="1" a="1"/>
  <c r="J613" i="1" s="1"/>
  <c r="K613" i="1" s="1"/>
  <c r="J614" i="1" a="1"/>
  <c r="J614" i="1" s="1"/>
  <c r="K614" i="1" s="1"/>
  <c r="J615" i="1" a="1"/>
  <c r="J615" i="1" s="1"/>
  <c r="K615" i="1" s="1"/>
  <c r="J616" i="1" a="1"/>
  <c r="J616" i="1" s="1"/>
  <c r="K616" i="1" s="1"/>
  <c r="J617" i="1" a="1"/>
  <c r="J617" i="1" s="1"/>
  <c r="K617" i="1" s="1"/>
  <c r="J618" i="1" a="1"/>
  <c r="J618" i="1" s="1"/>
  <c r="K618" i="1" s="1"/>
  <c r="J619" i="1" a="1"/>
  <c r="J619" i="1" s="1"/>
  <c r="K619" i="1" s="1"/>
  <c r="J620" i="1" a="1"/>
  <c r="J620" i="1" s="1"/>
  <c r="K620" i="1" s="1"/>
  <c r="J621" i="1" a="1"/>
  <c r="J621" i="1" s="1"/>
  <c r="K621" i="1" s="1"/>
  <c r="J622" i="1" a="1"/>
  <c r="J622" i="1" s="1"/>
  <c r="K622" i="1" s="1"/>
  <c r="J623" i="1" a="1"/>
  <c r="J623" i="1" s="1"/>
  <c r="K623" i="1" s="1"/>
  <c r="J624" i="1" a="1"/>
  <c r="J624" i="1" s="1"/>
  <c r="K624" i="1" s="1"/>
  <c r="J625" i="1" a="1"/>
  <c r="J625" i="1" s="1"/>
  <c r="K625" i="1" s="1"/>
  <c r="J626" i="1" a="1"/>
  <c r="J626" i="1" s="1"/>
  <c r="K626" i="1" s="1"/>
  <c r="J627" i="1" a="1"/>
  <c r="J627" i="1" s="1"/>
  <c r="K627" i="1" s="1"/>
  <c r="J628" i="1" a="1"/>
  <c r="J628" i="1" s="1"/>
  <c r="K628" i="1" s="1"/>
  <c r="J629" i="1" a="1"/>
  <c r="J629" i="1" s="1"/>
  <c r="K629" i="1" s="1"/>
  <c r="J630" i="1" a="1"/>
  <c r="J630" i="1" s="1"/>
  <c r="K630" i="1" s="1"/>
  <c r="J631" i="1" a="1"/>
  <c r="J631" i="1" s="1"/>
  <c r="K631" i="1" s="1"/>
  <c r="J632" i="1" a="1"/>
  <c r="J632" i="1" s="1"/>
  <c r="J633" i="1" a="1"/>
  <c r="J633" i="1" s="1"/>
  <c r="K633" i="1" s="1"/>
  <c r="J634" i="1" a="1"/>
  <c r="J634" i="1" s="1"/>
  <c r="K634" i="1" s="1"/>
  <c r="J635" i="1" a="1"/>
  <c r="J635" i="1" s="1"/>
  <c r="K635" i="1" s="1"/>
  <c r="J636" i="1" a="1"/>
  <c r="J636" i="1" s="1"/>
  <c r="J637" i="1" a="1"/>
  <c r="J637" i="1" s="1"/>
  <c r="K637" i="1" s="1"/>
  <c r="J638" i="1" a="1"/>
  <c r="J638" i="1" s="1"/>
  <c r="K638" i="1" s="1"/>
  <c r="J639" i="1" a="1"/>
  <c r="J639" i="1" s="1"/>
  <c r="J640" i="1" a="1"/>
  <c r="J640" i="1" s="1"/>
  <c r="K640" i="1" s="1"/>
  <c r="J641" i="1" a="1"/>
  <c r="J641" i="1" s="1"/>
  <c r="K641" i="1" s="1"/>
  <c r="J642" i="1" a="1"/>
  <c r="J642" i="1" s="1"/>
  <c r="K642" i="1" s="1"/>
  <c r="J643" i="1" a="1"/>
  <c r="J643" i="1" s="1"/>
  <c r="K643" i="1" s="1"/>
  <c r="J644" i="1" a="1"/>
  <c r="J644" i="1" s="1"/>
  <c r="K644" i="1" s="1"/>
  <c r="J645" i="1" a="1"/>
  <c r="J645" i="1" s="1"/>
  <c r="J646" i="1" a="1"/>
  <c r="J646" i="1" s="1"/>
  <c r="K646" i="1" s="1"/>
  <c r="J647" i="1" a="1"/>
  <c r="J647" i="1" s="1"/>
  <c r="K647" i="1" s="1"/>
  <c r="J648" i="1" a="1"/>
  <c r="J648" i="1" s="1"/>
  <c r="K648" i="1" s="1"/>
  <c r="J649" i="1" a="1"/>
  <c r="J649" i="1" s="1"/>
  <c r="K649" i="1" s="1"/>
  <c r="J650" i="1" a="1"/>
  <c r="J650" i="1" s="1"/>
  <c r="K650" i="1" s="1"/>
  <c r="J651" i="1" a="1"/>
  <c r="J651" i="1" s="1"/>
  <c r="K651" i="1" s="1"/>
  <c r="J652" i="1" a="1"/>
  <c r="J652" i="1" s="1"/>
  <c r="K652" i="1" s="1"/>
  <c r="J653" i="1" a="1"/>
  <c r="J653" i="1" s="1"/>
  <c r="K653" i="1" s="1"/>
  <c r="J654" i="1" a="1"/>
  <c r="J654" i="1" s="1"/>
  <c r="J655" i="1" a="1"/>
  <c r="J655" i="1" s="1"/>
  <c r="J656" i="1" a="1"/>
  <c r="J656" i="1" s="1"/>
  <c r="K656" i="1" s="1"/>
  <c r="J657" i="1" a="1"/>
  <c r="J657" i="1" s="1"/>
  <c r="K657" i="1" s="1"/>
  <c r="J658" i="1" a="1"/>
  <c r="J658" i="1" s="1"/>
  <c r="K658" i="1" s="1"/>
  <c r="J659" i="1" a="1"/>
  <c r="J659" i="1" s="1"/>
  <c r="K659" i="1" s="1"/>
  <c r="J660" i="1" a="1"/>
  <c r="J660" i="1" s="1"/>
  <c r="K660" i="1" s="1"/>
  <c r="J661" i="1" a="1"/>
  <c r="J661" i="1" s="1"/>
  <c r="K661" i="1" s="1"/>
  <c r="J662" i="1" a="1"/>
  <c r="J662" i="1" s="1"/>
  <c r="K662" i="1" s="1"/>
  <c r="J663" i="1" a="1"/>
  <c r="J663" i="1" s="1"/>
  <c r="K663" i="1" s="1"/>
  <c r="J664" i="1" a="1"/>
  <c r="J664" i="1" s="1"/>
  <c r="J665" i="1" a="1"/>
  <c r="J665" i="1" s="1"/>
  <c r="K665" i="1" s="1"/>
  <c r="J666" i="1" a="1"/>
  <c r="J666" i="1" s="1"/>
  <c r="K666" i="1" s="1"/>
  <c r="J667" i="1" a="1"/>
  <c r="J667" i="1" s="1"/>
  <c r="K667" i="1" s="1"/>
  <c r="J668" i="1" a="1"/>
  <c r="J668" i="1" s="1"/>
  <c r="K668" i="1" s="1"/>
  <c r="J669" i="1" a="1"/>
  <c r="J669" i="1" s="1"/>
  <c r="J670" i="1" a="1"/>
  <c r="J670" i="1" s="1"/>
  <c r="K670" i="1" s="1"/>
  <c r="J671" i="1" a="1"/>
  <c r="J671" i="1" s="1"/>
  <c r="K671" i="1" s="1"/>
  <c r="J672" i="1" a="1"/>
  <c r="J672" i="1" s="1"/>
  <c r="K672" i="1" s="1"/>
  <c r="J673" i="1" a="1"/>
  <c r="J673" i="1" s="1"/>
  <c r="K673" i="1" s="1"/>
  <c r="J674" i="1" a="1"/>
  <c r="J674" i="1" s="1"/>
  <c r="K674" i="1" s="1"/>
  <c r="J675" i="1" a="1"/>
  <c r="J675" i="1" s="1"/>
  <c r="K675" i="1" s="1"/>
  <c r="J676" i="1" a="1"/>
  <c r="J676" i="1" s="1"/>
  <c r="K676" i="1" s="1"/>
  <c r="J677" i="1" a="1"/>
  <c r="J677" i="1" s="1"/>
  <c r="J678" i="1" a="1"/>
  <c r="J678" i="1" s="1"/>
  <c r="K678" i="1" s="1"/>
  <c r="J679" i="1" a="1"/>
  <c r="J679" i="1" s="1"/>
  <c r="K679" i="1" s="1"/>
  <c r="J680" i="1" a="1"/>
  <c r="J680" i="1" s="1"/>
  <c r="K680" i="1" s="1"/>
  <c r="J681" i="1" a="1"/>
  <c r="J681" i="1" s="1"/>
  <c r="K681" i="1" s="1"/>
  <c r="J682" i="1" a="1"/>
  <c r="J682" i="1" s="1"/>
  <c r="K682" i="1" s="1"/>
  <c r="J683" i="1" a="1"/>
  <c r="J683" i="1" s="1"/>
  <c r="K683" i="1" s="1"/>
  <c r="J684" i="1" a="1"/>
  <c r="J684" i="1" s="1"/>
  <c r="K684" i="1" s="1"/>
  <c r="J685" i="1" a="1"/>
  <c r="J685" i="1" s="1"/>
  <c r="K685" i="1" s="1"/>
  <c r="J686" i="1" a="1"/>
  <c r="J686" i="1" s="1"/>
  <c r="K686" i="1" s="1"/>
  <c r="J687" i="1" a="1"/>
  <c r="J687" i="1" s="1"/>
  <c r="K687" i="1" s="1"/>
  <c r="J688" i="1" a="1"/>
  <c r="J688" i="1" s="1"/>
  <c r="K688" i="1" s="1"/>
  <c r="J689" i="1" a="1"/>
  <c r="J689" i="1" s="1"/>
  <c r="K689" i="1" s="1"/>
  <c r="J690" i="1" a="1"/>
  <c r="J690" i="1" s="1"/>
  <c r="K690" i="1" s="1"/>
  <c r="J691" i="1" a="1"/>
  <c r="J691" i="1" s="1"/>
  <c r="K691" i="1" s="1"/>
  <c r="J692" i="1" a="1"/>
  <c r="J692" i="1" s="1"/>
  <c r="K692" i="1" s="1"/>
  <c r="J693" i="1" a="1"/>
  <c r="J693" i="1" s="1"/>
  <c r="K693" i="1" s="1"/>
  <c r="J694" i="1" a="1"/>
  <c r="J694" i="1" s="1"/>
  <c r="K694" i="1" s="1"/>
  <c r="J695" i="1" a="1"/>
  <c r="J695" i="1" s="1"/>
  <c r="K695" i="1" s="1"/>
  <c r="J696" i="1" a="1"/>
  <c r="J696" i="1" s="1"/>
  <c r="K696" i="1" s="1"/>
  <c r="J697" i="1" a="1"/>
  <c r="J697" i="1" s="1"/>
  <c r="J698" i="1" a="1"/>
  <c r="J698" i="1" s="1"/>
  <c r="K698" i="1" s="1"/>
  <c r="J699" i="1" a="1"/>
  <c r="J699" i="1" s="1"/>
  <c r="K699" i="1" s="1"/>
  <c r="J700" i="1" a="1"/>
  <c r="J700" i="1" s="1"/>
  <c r="K700" i="1" s="1"/>
  <c r="J701" i="1" a="1"/>
  <c r="J701" i="1" s="1"/>
  <c r="J702" i="1" a="1"/>
  <c r="J702" i="1" s="1"/>
  <c r="J703" i="1" a="1"/>
  <c r="J703" i="1" s="1"/>
  <c r="K703" i="1" s="1"/>
  <c r="J704" i="1" a="1"/>
  <c r="J704" i="1" s="1"/>
  <c r="K704" i="1" s="1"/>
  <c r="J705" i="1" a="1"/>
  <c r="J705" i="1" s="1"/>
  <c r="K705" i="1" s="1"/>
  <c r="J706" i="1" a="1"/>
  <c r="J706" i="1" s="1"/>
  <c r="K706" i="1" s="1"/>
  <c r="J707" i="1" a="1"/>
  <c r="J707" i="1" s="1"/>
  <c r="K707" i="1" s="1"/>
  <c r="J708" i="1" a="1"/>
  <c r="J708" i="1" s="1"/>
  <c r="K708" i="1" s="1"/>
  <c r="J709" i="1" a="1"/>
  <c r="J709" i="1" s="1"/>
  <c r="K709" i="1" s="1"/>
  <c r="J710" i="1" a="1"/>
  <c r="J710" i="1" s="1"/>
  <c r="K710" i="1" s="1"/>
  <c r="J711" i="1" a="1"/>
  <c r="J711" i="1" s="1"/>
  <c r="J712" i="1" a="1"/>
  <c r="J712" i="1" s="1"/>
  <c r="K712" i="1" s="1"/>
  <c r="J713" i="1" a="1"/>
  <c r="J713" i="1" s="1"/>
  <c r="K713" i="1" s="1"/>
  <c r="J714" i="1" a="1"/>
  <c r="J714" i="1" s="1"/>
  <c r="J715" i="1" a="1"/>
  <c r="J715" i="1" s="1"/>
  <c r="J716" i="1" a="1"/>
  <c r="J716" i="1" s="1"/>
  <c r="K716" i="1" s="1"/>
  <c r="J717" i="1" a="1"/>
  <c r="J717" i="1" s="1"/>
  <c r="J718" i="1" a="1"/>
  <c r="J718" i="1" s="1"/>
  <c r="K718" i="1" s="1"/>
  <c r="J719" i="1" a="1"/>
  <c r="J719" i="1" s="1"/>
  <c r="K719" i="1" s="1"/>
  <c r="J720" i="1" a="1"/>
  <c r="J720" i="1" s="1"/>
  <c r="K720" i="1" s="1"/>
  <c r="J721" i="1" a="1"/>
  <c r="J721" i="1" s="1"/>
  <c r="J722" i="1" a="1"/>
  <c r="J722" i="1" s="1"/>
  <c r="K722" i="1" s="1"/>
  <c r="J723" i="1" a="1"/>
  <c r="J723" i="1" s="1"/>
  <c r="J724" i="1" a="1"/>
  <c r="J724" i="1" s="1"/>
  <c r="K724" i="1" s="1"/>
  <c r="J725" i="1" a="1"/>
  <c r="J725" i="1" s="1"/>
  <c r="K725" i="1" s="1"/>
  <c r="J726" i="1" a="1"/>
  <c r="J726" i="1" s="1"/>
  <c r="K726" i="1" s="1"/>
  <c r="J727" i="1" a="1"/>
  <c r="J727" i="1" s="1"/>
  <c r="J728" i="1" a="1"/>
  <c r="J728" i="1" s="1"/>
  <c r="K728" i="1" s="1"/>
  <c r="J729" i="1" a="1"/>
  <c r="J729" i="1" s="1"/>
  <c r="J730" i="1" a="1"/>
  <c r="J730" i="1" s="1"/>
  <c r="J731" i="1" a="1"/>
  <c r="J731" i="1" s="1"/>
  <c r="K731" i="1" s="1"/>
  <c r="J732" i="1" a="1"/>
  <c r="J732" i="1" s="1"/>
  <c r="K732" i="1" s="1"/>
  <c r="J733" i="1" a="1"/>
  <c r="J733" i="1" s="1"/>
  <c r="K733" i="1" s="1"/>
  <c r="J734" i="1" a="1"/>
  <c r="J734" i="1" s="1"/>
  <c r="K734" i="1" s="1"/>
  <c r="J735" i="1" a="1"/>
  <c r="J735" i="1" s="1"/>
  <c r="K735" i="1" s="1"/>
  <c r="J736" i="1" a="1"/>
  <c r="J736" i="1" s="1"/>
  <c r="K736" i="1" s="1"/>
  <c r="J737" i="1" a="1"/>
  <c r="J737" i="1" s="1"/>
  <c r="K737" i="1" s="1"/>
  <c r="J738" i="1" a="1"/>
  <c r="J738" i="1" s="1"/>
  <c r="K738" i="1" s="1"/>
  <c r="J739" i="1" a="1"/>
  <c r="J739" i="1" s="1"/>
  <c r="K739" i="1" s="1"/>
  <c r="J740" i="1" a="1"/>
  <c r="J740" i="1" s="1"/>
  <c r="J741" i="1" a="1"/>
  <c r="J741" i="1" s="1"/>
  <c r="K741" i="1" s="1"/>
  <c r="J742" i="1" a="1"/>
  <c r="J742" i="1" s="1"/>
  <c r="K742" i="1" s="1"/>
  <c r="J743" i="1" a="1"/>
  <c r="J743" i="1" s="1"/>
  <c r="K743" i="1" s="1"/>
  <c r="J744" i="1" a="1"/>
  <c r="J744" i="1" s="1"/>
  <c r="K744" i="1" s="1"/>
  <c r="J745" i="1" a="1"/>
  <c r="J745" i="1" s="1"/>
  <c r="K745" i="1" s="1"/>
  <c r="J746" i="1" a="1"/>
  <c r="J746" i="1" s="1"/>
  <c r="K746" i="1" s="1"/>
  <c r="J747" i="1" a="1"/>
  <c r="J747" i="1" s="1"/>
  <c r="K747" i="1" s="1"/>
  <c r="J748" i="1" a="1"/>
  <c r="J748" i="1" s="1"/>
  <c r="J749" i="1" a="1"/>
  <c r="J749" i="1" s="1"/>
  <c r="K749" i="1" s="1"/>
  <c r="J750" i="1" a="1"/>
  <c r="J750" i="1" s="1"/>
  <c r="K750" i="1" s="1"/>
  <c r="J751" i="1" a="1"/>
  <c r="J751" i="1" s="1"/>
  <c r="K751" i="1" s="1"/>
  <c r="J752" i="1" a="1"/>
  <c r="J752" i="1" s="1"/>
  <c r="K752" i="1" s="1"/>
  <c r="J753" i="1" a="1"/>
  <c r="J753" i="1" s="1"/>
  <c r="J754" i="1" a="1"/>
  <c r="J754" i="1" s="1"/>
  <c r="K754" i="1" s="1"/>
  <c r="J755" i="1" a="1"/>
  <c r="J755" i="1" s="1"/>
  <c r="K755" i="1" s="1"/>
  <c r="J756" i="1" a="1"/>
  <c r="J756" i="1" s="1"/>
  <c r="K756" i="1" s="1"/>
  <c r="J757" i="1" a="1"/>
  <c r="J757" i="1" s="1"/>
  <c r="K757" i="1" s="1"/>
  <c r="J758" i="1" a="1"/>
  <c r="J758" i="1" s="1"/>
  <c r="K758" i="1" s="1"/>
  <c r="J759" i="1" a="1"/>
  <c r="J759" i="1" s="1"/>
  <c r="K759" i="1" s="1"/>
  <c r="J760" i="1" a="1"/>
  <c r="J760" i="1" s="1"/>
  <c r="K760" i="1" s="1"/>
  <c r="J761" i="1" a="1"/>
  <c r="J761" i="1" s="1"/>
  <c r="J762" i="1" a="1"/>
  <c r="J762" i="1" s="1"/>
  <c r="J763" i="1" a="1"/>
  <c r="J763" i="1" s="1"/>
  <c r="K763" i="1" s="1"/>
  <c r="J764" i="1" a="1"/>
  <c r="J764" i="1" s="1"/>
  <c r="J765" i="1" a="1"/>
  <c r="J765" i="1" s="1"/>
  <c r="J766" i="1" a="1"/>
  <c r="J766" i="1" s="1"/>
  <c r="K766" i="1" s="1"/>
  <c r="J767" i="1" a="1"/>
  <c r="J767" i="1" s="1"/>
  <c r="K767" i="1" s="1"/>
  <c r="J768" i="1" a="1"/>
  <c r="J768" i="1" s="1"/>
  <c r="K768" i="1" s="1"/>
  <c r="J769" i="1" a="1"/>
  <c r="J769" i="1" s="1"/>
  <c r="K769" i="1" s="1"/>
  <c r="J770" i="1" a="1"/>
  <c r="J770" i="1" s="1"/>
  <c r="K770" i="1" s="1"/>
  <c r="J771" i="1" a="1"/>
  <c r="J771" i="1" s="1"/>
  <c r="K771" i="1" s="1"/>
  <c r="J772" i="1" a="1"/>
  <c r="J772" i="1" s="1"/>
  <c r="K772" i="1" s="1"/>
  <c r="J773" i="1" a="1"/>
  <c r="J773" i="1" s="1"/>
  <c r="J774" i="1" a="1"/>
  <c r="J774" i="1" s="1"/>
  <c r="K774" i="1" s="1"/>
  <c r="J775" i="1" a="1"/>
  <c r="J775" i="1" s="1"/>
  <c r="K775" i="1" s="1"/>
  <c r="J776" i="1" a="1"/>
  <c r="J776" i="1" s="1"/>
  <c r="K776" i="1" s="1"/>
  <c r="J777" i="1" a="1"/>
  <c r="J777" i="1" s="1"/>
  <c r="K777" i="1" s="1"/>
  <c r="J778" i="1" a="1"/>
  <c r="J778" i="1" s="1"/>
  <c r="K778" i="1" s="1"/>
  <c r="J779" i="1" a="1"/>
  <c r="J779" i="1" s="1"/>
  <c r="K779" i="1" s="1"/>
  <c r="J780" i="1" a="1"/>
  <c r="J780" i="1" s="1"/>
  <c r="K780" i="1" s="1"/>
  <c r="J781" i="1" a="1"/>
  <c r="J781" i="1" s="1"/>
  <c r="K781" i="1" s="1"/>
  <c r="J782" i="1" a="1"/>
  <c r="J782" i="1" s="1"/>
  <c r="K782" i="1" s="1"/>
  <c r="J783" i="1" a="1"/>
  <c r="J783" i="1" s="1"/>
  <c r="K783" i="1" s="1"/>
  <c r="J784" i="1" a="1"/>
  <c r="J784" i="1" s="1"/>
  <c r="K784" i="1" s="1"/>
  <c r="J785" i="1" a="1"/>
  <c r="J785" i="1" s="1"/>
  <c r="K785" i="1" s="1"/>
  <c r="J786" i="1" a="1"/>
  <c r="J786" i="1" s="1"/>
  <c r="K786" i="1" s="1"/>
  <c r="J787" i="1" a="1"/>
  <c r="J787" i="1" s="1"/>
  <c r="K787" i="1" s="1"/>
  <c r="J788" i="1" a="1"/>
  <c r="J788" i="1" s="1"/>
  <c r="K788" i="1" s="1"/>
  <c r="J789" i="1" a="1"/>
  <c r="J789" i="1" s="1"/>
  <c r="K789" i="1" s="1"/>
  <c r="J790" i="1" a="1"/>
  <c r="J790" i="1" s="1"/>
  <c r="J791" i="1" a="1"/>
  <c r="J791" i="1" s="1"/>
  <c r="K791" i="1" s="1"/>
  <c r="J792" i="1" a="1"/>
  <c r="J792" i="1" s="1"/>
  <c r="K792" i="1" s="1"/>
  <c r="J793" i="1" a="1"/>
  <c r="J793" i="1" s="1"/>
  <c r="K793" i="1" s="1"/>
  <c r="J794" i="1" a="1"/>
  <c r="J794" i="1" s="1"/>
  <c r="K794" i="1" s="1"/>
  <c r="J795" i="1" a="1"/>
  <c r="J795" i="1" s="1"/>
  <c r="K795" i="1" s="1"/>
  <c r="J796" i="1" a="1"/>
  <c r="J796" i="1" s="1"/>
  <c r="K796" i="1" s="1"/>
  <c r="J797" i="1" a="1"/>
  <c r="J797" i="1" s="1"/>
  <c r="K797" i="1" s="1"/>
  <c r="J798" i="1" a="1"/>
  <c r="J798" i="1" s="1"/>
  <c r="K798" i="1" s="1"/>
  <c r="J799" i="1" a="1"/>
  <c r="J799" i="1" s="1"/>
  <c r="J800" i="1" a="1"/>
  <c r="J800" i="1" s="1"/>
  <c r="K800" i="1" s="1"/>
  <c r="J801" i="1" a="1"/>
  <c r="J801" i="1" s="1"/>
  <c r="K801" i="1" s="1"/>
  <c r="J802" i="1" a="1"/>
  <c r="J802" i="1" s="1"/>
  <c r="K802" i="1" s="1"/>
  <c r="J803" i="1" a="1"/>
  <c r="J803" i="1" s="1"/>
  <c r="K803" i="1" s="1"/>
  <c r="J804" i="1" a="1"/>
  <c r="J804" i="1" s="1"/>
  <c r="K804" i="1" s="1"/>
  <c r="J805" i="1" a="1"/>
  <c r="J805" i="1" s="1"/>
  <c r="K805" i="1" s="1"/>
  <c r="J806" i="1" a="1"/>
  <c r="J806" i="1" s="1"/>
  <c r="K806" i="1" s="1"/>
  <c r="J807" i="1" a="1"/>
  <c r="J807" i="1" s="1"/>
  <c r="K807" i="1" s="1"/>
  <c r="J808" i="1" a="1"/>
  <c r="J808" i="1" s="1"/>
  <c r="K808" i="1" s="1"/>
  <c r="J809" i="1" a="1"/>
  <c r="J809" i="1" s="1"/>
  <c r="J810" i="1" a="1"/>
  <c r="J810" i="1" s="1"/>
  <c r="J811" i="1" a="1"/>
  <c r="J811" i="1" s="1"/>
  <c r="K811" i="1" s="1"/>
  <c r="J812" i="1" a="1"/>
  <c r="J812" i="1" s="1"/>
  <c r="K812" i="1" s="1"/>
  <c r="J813" i="1" a="1"/>
  <c r="J813" i="1" s="1"/>
  <c r="K813" i="1" s="1"/>
  <c r="J814" i="1" a="1"/>
  <c r="J814" i="1" s="1"/>
  <c r="K814" i="1" s="1"/>
  <c r="J815" i="1" a="1"/>
  <c r="J815" i="1" s="1"/>
  <c r="K815" i="1" s="1"/>
  <c r="J816" i="1" a="1"/>
  <c r="J816" i="1" s="1"/>
  <c r="K816" i="1" s="1"/>
  <c r="J817" i="1" a="1"/>
  <c r="J817" i="1" s="1"/>
  <c r="J818" i="1" a="1"/>
  <c r="J818" i="1" s="1"/>
  <c r="K818" i="1" s="1"/>
  <c r="J819" i="1" a="1"/>
  <c r="J819" i="1" s="1"/>
  <c r="K819" i="1" s="1"/>
  <c r="J820" i="1" a="1"/>
  <c r="J820" i="1" s="1"/>
  <c r="J821" i="1" a="1"/>
  <c r="J821" i="1" s="1"/>
  <c r="K821" i="1" s="1"/>
  <c r="J822" i="1" a="1"/>
  <c r="J822" i="1" s="1"/>
  <c r="K822" i="1" s="1"/>
  <c r="J823" i="1" a="1"/>
  <c r="J823" i="1" s="1"/>
  <c r="K823" i="1" s="1"/>
  <c r="J824" i="1" a="1"/>
  <c r="J824" i="1" s="1"/>
  <c r="K824" i="1" s="1"/>
  <c r="J825" i="1" a="1"/>
  <c r="J825" i="1" s="1"/>
  <c r="K825" i="1" s="1"/>
  <c r="J826" i="1" a="1"/>
  <c r="J826" i="1" s="1"/>
  <c r="K826" i="1" s="1"/>
  <c r="J827" i="1" a="1"/>
  <c r="J827" i="1" s="1"/>
  <c r="K827" i="1" s="1"/>
  <c r="J828" i="1" a="1"/>
  <c r="J828" i="1" s="1"/>
  <c r="K828" i="1" s="1"/>
  <c r="J829" i="1" a="1"/>
  <c r="J829" i="1" s="1"/>
  <c r="K829" i="1" s="1"/>
  <c r="J830" i="1" a="1"/>
  <c r="J830" i="1" s="1"/>
  <c r="K830" i="1" s="1"/>
  <c r="J831" i="1" a="1"/>
  <c r="J831" i="1" s="1"/>
  <c r="K831" i="1" s="1"/>
  <c r="J832" i="1" a="1"/>
  <c r="J832" i="1" s="1"/>
  <c r="K832" i="1" s="1"/>
  <c r="J833" i="1" a="1"/>
  <c r="J833" i="1" s="1"/>
  <c r="K833" i="1" s="1"/>
  <c r="J834" i="1" a="1"/>
  <c r="J834" i="1" s="1"/>
  <c r="K834" i="1" s="1"/>
  <c r="J835" i="1" a="1"/>
  <c r="J835" i="1" s="1"/>
  <c r="K835" i="1" s="1"/>
  <c r="J836" i="1" a="1"/>
  <c r="J836" i="1" s="1"/>
  <c r="K836" i="1" s="1"/>
  <c r="J837" i="1" a="1"/>
  <c r="J837" i="1" s="1"/>
  <c r="K837" i="1" s="1"/>
  <c r="J838" i="1" a="1"/>
  <c r="J838" i="1" s="1"/>
  <c r="K838" i="1" s="1"/>
  <c r="J839" i="1" a="1"/>
  <c r="J839" i="1" s="1"/>
  <c r="K839" i="1" s="1"/>
  <c r="J840" i="1" a="1"/>
  <c r="J840" i="1" s="1"/>
  <c r="K840" i="1" s="1"/>
  <c r="J841" i="1" a="1"/>
  <c r="J841" i="1" s="1"/>
  <c r="J842" i="1" a="1"/>
  <c r="J842" i="1" s="1"/>
  <c r="J843" i="1" a="1"/>
  <c r="J843" i="1" s="1"/>
  <c r="K843" i="1" s="1"/>
  <c r="J844" i="1" a="1"/>
  <c r="J844" i="1" s="1"/>
  <c r="K844" i="1" s="1"/>
  <c r="J845" i="1" a="1"/>
  <c r="J845" i="1" s="1"/>
  <c r="K845" i="1" s="1"/>
  <c r="J846" i="1" a="1"/>
  <c r="J846" i="1" s="1"/>
  <c r="K846" i="1" s="1"/>
  <c r="J847" i="1" a="1"/>
  <c r="J847" i="1" s="1"/>
  <c r="K847" i="1" s="1"/>
  <c r="J848" i="1" a="1"/>
  <c r="J848" i="1" s="1"/>
  <c r="K848" i="1" s="1"/>
  <c r="J849" i="1" a="1"/>
  <c r="J849" i="1" s="1"/>
  <c r="K849" i="1" s="1"/>
  <c r="J850" i="1" a="1"/>
  <c r="J850" i="1" s="1"/>
  <c r="K850" i="1" s="1"/>
  <c r="J851" i="1" a="1"/>
  <c r="J851" i="1" s="1"/>
  <c r="K851" i="1" s="1"/>
  <c r="J852" i="1" a="1"/>
  <c r="J852" i="1" s="1"/>
  <c r="K852" i="1" s="1"/>
  <c r="J853" i="1" a="1"/>
  <c r="J853" i="1" s="1"/>
  <c r="K853" i="1" s="1"/>
  <c r="J854" i="1" a="1"/>
  <c r="J854" i="1" s="1"/>
  <c r="K854" i="1" s="1"/>
  <c r="J855" i="1" a="1"/>
  <c r="J855" i="1" s="1"/>
  <c r="K855" i="1" s="1"/>
  <c r="J856" i="1" a="1"/>
  <c r="J856" i="1" s="1"/>
  <c r="K856" i="1" s="1"/>
  <c r="J857" i="1" a="1"/>
  <c r="J857" i="1" s="1"/>
  <c r="K857" i="1" s="1"/>
  <c r="J858" i="1" a="1"/>
  <c r="J858" i="1" s="1"/>
  <c r="K858" i="1" s="1"/>
  <c r="J859" i="1" a="1"/>
  <c r="J859" i="1" s="1"/>
  <c r="K859" i="1" s="1"/>
  <c r="J860" i="1" a="1"/>
  <c r="J860" i="1" s="1"/>
  <c r="K860" i="1" s="1"/>
  <c r="J861" i="1" a="1"/>
  <c r="J861" i="1" s="1"/>
  <c r="J862" i="1" a="1"/>
  <c r="J862" i="1" s="1"/>
  <c r="J863" i="1" a="1"/>
  <c r="J863" i="1" s="1"/>
  <c r="K863" i="1" s="1"/>
  <c r="J864" i="1" a="1"/>
  <c r="J864" i="1" s="1"/>
  <c r="K864" i="1" s="1"/>
  <c r="J865" i="1" a="1"/>
  <c r="J865" i="1" s="1"/>
  <c r="K865" i="1" s="1"/>
  <c r="J866" i="1" a="1"/>
  <c r="J866" i="1" s="1"/>
  <c r="K866" i="1" s="1"/>
  <c r="J867" i="1" a="1"/>
  <c r="J867" i="1" s="1"/>
  <c r="J868" i="1" a="1"/>
  <c r="J868" i="1" s="1"/>
  <c r="K868" i="1" s="1"/>
  <c r="J869" i="1" a="1"/>
  <c r="J869" i="1" s="1"/>
  <c r="K869" i="1" s="1"/>
  <c r="J870" i="1" a="1"/>
  <c r="J870" i="1" s="1"/>
  <c r="K870" i="1" s="1"/>
  <c r="J871" i="1" a="1"/>
  <c r="J871" i="1" s="1"/>
  <c r="K871" i="1" s="1"/>
  <c r="J872" i="1" a="1"/>
  <c r="J872" i="1" s="1"/>
  <c r="J873" i="1" a="1"/>
  <c r="J873" i="1" s="1"/>
  <c r="K873" i="1" s="1"/>
  <c r="J874" i="1" a="1"/>
  <c r="J874" i="1" s="1"/>
  <c r="K874" i="1" s="1"/>
  <c r="J875" i="1" a="1"/>
  <c r="J875" i="1" s="1"/>
  <c r="K875" i="1" s="1"/>
  <c r="J876" i="1" a="1"/>
  <c r="J876" i="1" s="1"/>
  <c r="J877" i="1" a="1"/>
  <c r="J877" i="1" s="1"/>
  <c r="J878" i="1" a="1"/>
  <c r="J878" i="1" s="1"/>
  <c r="K878" i="1" s="1"/>
  <c r="J879" i="1" a="1"/>
  <c r="J879" i="1" s="1"/>
  <c r="K879" i="1" s="1"/>
  <c r="J880" i="1" a="1"/>
  <c r="J880" i="1" s="1"/>
  <c r="K880" i="1" s="1"/>
  <c r="J881" i="1" a="1"/>
  <c r="J881" i="1" s="1"/>
  <c r="K881" i="1" s="1"/>
  <c r="J882" i="1" a="1"/>
  <c r="J882" i="1" s="1"/>
  <c r="K882" i="1" s="1"/>
  <c r="J883" i="1" a="1"/>
  <c r="J883" i="1" s="1"/>
  <c r="K883" i="1" s="1"/>
  <c r="J884" i="1" a="1"/>
  <c r="J884" i="1" s="1"/>
  <c r="K884" i="1" s="1"/>
  <c r="J885" i="1" a="1"/>
  <c r="J885" i="1" s="1"/>
  <c r="K885" i="1" s="1"/>
  <c r="J886" i="1" a="1"/>
  <c r="J886" i="1" s="1"/>
  <c r="K886" i="1" s="1"/>
  <c r="J887" i="1" a="1"/>
  <c r="J887" i="1" s="1"/>
  <c r="K887" i="1" s="1"/>
  <c r="J888" i="1" a="1"/>
  <c r="J888" i="1" s="1"/>
  <c r="K888" i="1" s="1"/>
  <c r="J889" i="1" a="1"/>
  <c r="J889" i="1" s="1"/>
  <c r="J890" i="1" a="1"/>
  <c r="J890" i="1" s="1"/>
  <c r="K890" i="1" s="1"/>
  <c r="J891" i="1" a="1"/>
  <c r="J891" i="1" s="1"/>
  <c r="K891" i="1" s="1"/>
  <c r="J892" i="1" a="1"/>
  <c r="J892" i="1" s="1"/>
  <c r="K892" i="1" s="1"/>
  <c r="J893" i="1" a="1"/>
  <c r="J893" i="1" s="1"/>
  <c r="K893" i="1" s="1"/>
  <c r="J894" i="1" a="1"/>
  <c r="J894" i="1" s="1"/>
  <c r="K894" i="1" s="1"/>
  <c r="J895" i="1" a="1"/>
  <c r="J895" i="1" s="1"/>
  <c r="K895" i="1" s="1"/>
  <c r="J896" i="1" a="1"/>
  <c r="J896" i="1" s="1"/>
  <c r="K896" i="1" s="1"/>
  <c r="J897" i="1" a="1"/>
  <c r="J897" i="1" s="1"/>
  <c r="K897" i="1" s="1"/>
  <c r="J898" i="1" a="1"/>
  <c r="J898" i="1" s="1"/>
  <c r="K898" i="1" s="1"/>
  <c r="J899" i="1" a="1"/>
  <c r="J899" i="1" s="1"/>
  <c r="K899" i="1" s="1"/>
  <c r="J900" i="1" a="1"/>
  <c r="J900" i="1" s="1"/>
  <c r="K900" i="1" s="1"/>
  <c r="J901" i="1" a="1"/>
  <c r="J901" i="1" s="1"/>
  <c r="K901" i="1" s="1"/>
  <c r="J902" i="1" a="1"/>
  <c r="J902" i="1" s="1"/>
  <c r="K902" i="1" s="1"/>
  <c r="J903" i="1" a="1"/>
  <c r="J903" i="1" s="1"/>
  <c r="K903" i="1" s="1"/>
  <c r="J904" i="1" a="1"/>
  <c r="J904" i="1" s="1"/>
  <c r="K904" i="1" s="1"/>
  <c r="J905" i="1" a="1"/>
  <c r="J905" i="1" s="1"/>
  <c r="J906" i="1" a="1"/>
  <c r="J906" i="1" s="1"/>
  <c r="K906" i="1" s="1"/>
  <c r="J907" i="1" a="1"/>
  <c r="J907" i="1" s="1"/>
  <c r="K907" i="1" s="1"/>
  <c r="J908" i="1" a="1"/>
  <c r="J908" i="1" s="1"/>
  <c r="K908" i="1" s="1"/>
  <c r="J909" i="1" a="1"/>
  <c r="J909" i="1" s="1"/>
  <c r="K909" i="1" s="1"/>
  <c r="J910" i="1" a="1"/>
  <c r="J910" i="1" s="1"/>
  <c r="K910" i="1" s="1"/>
  <c r="J911" i="1" a="1"/>
  <c r="J911" i="1" s="1"/>
  <c r="K911" i="1" s="1"/>
  <c r="J912" i="1" a="1"/>
  <c r="J912" i="1" s="1"/>
  <c r="K912" i="1" s="1"/>
  <c r="J913" i="1" a="1"/>
  <c r="J913" i="1" s="1"/>
  <c r="K913" i="1" s="1"/>
  <c r="J914" i="1" a="1"/>
  <c r="J914" i="1" s="1"/>
  <c r="K914" i="1" s="1"/>
  <c r="J915" i="1" a="1"/>
  <c r="J915" i="1" s="1"/>
  <c r="K915" i="1" s="1"/>
  <c r="J916" i="1" a="1"/>
  <c r="J916" i="1" s="1"/>
  <c r="K916" i="1" s="1"/>
  <c r="J917" i="1" a="1"/>
  <c r="J917" i="1" s="1"/>
  <c r="K917" i="1" s="1"/>
  <c r="J918" i="1" a="1"/>
  <c r="J918" i="1" s="1"/>
  <c r="K918" i="1" s="1"/>
  <c r="J919" i="1" a="1"/>
  <c r="J919" i="1" s="1"/>
  <c r="K919" i="1" s="1"/>
  <c r="J920" i="1" a="1"/>
  <c r="J920" i="1" s="1"/>
  <c r="K920" i="1" s="1"/>
  <c r="J921" i="1" a="1"/>
  <c r="J921" i="1" s="1"/>
  <c r="K921" i="1" s="1"/>
  <c r="J922" i="1" a="1"/>
  <c r="J922" i="1" s="1"/>
  <c r="K922" i="1" s="1"/>
  <c r="J923" i="1" a="1"/>
  <c r="J923" i="1" s="1"/>
  <c r="K923" i="1" s="1"/>
  <c r="J924" i="1" a="1"/>
  <c r="J924" i="1" s="1"/>
  <c r="K924" i="1" s="1"/>
  <c r="J925" i="1" a="1"/>
  <c r="J925" i="1" s="1"/>
  <c r="K925" i="1" s="1"/>
  <c r="J926" i="1" a="1"/>
  <c r="J926" i="1" s="1"/>
  <c r="K926" i="1" s="1"/>
  <c r="J927" i="1" a="1"/>
  <c r="J927" i="1" s="1"/>
  <c r="K927" i="1" s="1"/>
  <c r="J928" i="1" a="1"/>
  <c r="J928" i="1" s="1"/>
  <c r="K928" i="1" s="1"/>
  <c r="J929" i="1" a="1"/>
  <c r="J929" i="1" s="1"/>
  <c r="K929" i="1" s="1"/>
  <c r="J930" i="1" a="1"/>
  <c r="J930" i="1" s="1"/>
  <c r="K930" i="1" s="1"/>
  <c r="J931" i="1" a="1"/>
  <c r="J931" i="1" s="1"/>
  <c r="K931" i="1" s="1"/>
  <c r="J932" i="1" a="1"/>
  <c r="J932" i="1" s="1"/>
  <c r="K932" i="1" s="1"/>
  <c r="J933" i="1" a="1"/>
  <c r="J933" i="1" s="1"/>
  <c r="K933" i="1" s="1"/>
  <c r="J934" i="1" a="1"/>
  <c r="J934" i="1" s="1"/>
  <c r="J935" i="1" a="1"/>
  <c r="J935" i="1" s="1"/>
  <c r="K935" i="1" s="1"/>
  <c r="J936" i="1" a="1"/>
  <c r="J936" i="1" s="1"/>
  <c r="K936" i="1" s="1"/>
  <c r="J937" i="1" a="1"/>
  <c r="J937" i="1" s="1"/>
  <c r="K937" i="1" s="1"/>
  <c r="J938" i="1" a="1"/>
  <c r="J938" i="1" s="1"/>
  <c r="K938" i="1" s="1"/>
  <c r="J939" i="1" a="1"/>
  <c r="J939" i="1" s="1"/>
  <c r="J940" i="1" a="1"/>
  <c r="J940" i="1" s="1"/>
  <c r="K940" i="1" s="1"/>
  <c r="J941" i="1" a="1"/>
  <c r="J941" i="1" s="1"/>
  <c r="J942" i="1" a="1"/>
  <c r="J942" i="1" s="1"/>
  <c r="K942" i="1" s="1"/>
  <c r="J943" i="1" a="1"/>
  <c r="J943" i="1" s="1"/>
  <c r="K943" i="1" s="1"/>
  <c r="J944" i="1" a="1"/>
  <c r="J944" i="1" s="1"/>
  <c r="K944" i="1" s="1"/>
  <c r="J945" i="1" a="1"/>
  <c r="J945" i="1" s="1"/>
  <c r="K945" i="1" s="1"/>
  <c r="J946" i="1" a="1"/>
  <c r="J946" i="1" s="1"/>
  <c r="K946" i="1" s="1"/>
  <c r="J947" i="1" a="1"/>
  <c r="J947" i="1" s="1"/>
  <c r="K947" i="1" s="1"/>
  <c r="J948" i="1" a="1"/>
  <c r="J948" i="1" s="1"/>
  <c r="K948" i="1" s="1"/>
  <c r="J949" i="1" a="1"/>
  <c r="J949" i="1" s="1"/>
  <c r="J950" i="1" a="1"/>
  <c r="J950" i="1" s="1"/>
  <c r="K950" i="1" s="1"/>
  <c r="J951" i="1" a="1"/>
  <c r="J951" i="1" s="1"/>
  <c r="K951" i="1" s="1"/>
  <c r="J952" i="1" a="1"/>
  <c r="J952" i="1" s="1"/>
  <c r="K952" i="1" s="1"/>
  <c r="J953" i="1" a="1"/>
  <c r="J953" i="1" s="1"/>
  <c r="K953" i="1" s="1"/>
  <c r="J954" i="1" a="1"/>
  <c r="J954" i="1" s="1"/>
  <c r="J955" i="1" a="1"/>
  <c r="J955" i="1" s="1"/>
  <c r="K955" i="1" s="1"/>
  <c r="J956" i="1" a="1"/>
  <c r="J956" i="1" s="1"/>
  <c r="J957" i="1" a="1"/>
  <c r="J957" i="1" s="1"/>
  <c r="K957" i="1" s="1"/>
  <c r="J958" i="1" a="1"/>
  <c r="J958" i="1" s="1"/>
  <c r="K958" i="1" s="1"/>
  <c r="J959" i="1" a="1"/>
  <c r="J959" i="1" s="1"/>
  <c r="K959" i="1" s="1"/>
  <c r="J960" i="1" a="1"/>
  <c r="J960" i="1" s="1"/>
  <c r="K960" i="1" s="1"/>
  <c r="J961" i="1" a="1"/>
  <c r="J961" i="1" s="1"/>
  <c r="K961" i="1" s="1"/>
  <c r="J962" i="1" a="1"/>
  <c r="J962" i="1" s="1"/>
  <c r="J963" i="1" a="1"/>
  <c r="J963" i="1" s="1"/>
  <c r="K963" i="1" s="1"/>
  <c r="J964" i="1" a="1"/>
  <c r="J964" i="1" s="1"/>
  <c r="K964" i="1" s="1"/>
  <c r="J965" i="1" a="1"/>
  <c r="J965" i="1" s="1"/>
  <c r="K965" i="1" s="1"/>
  <c r="J966" i="1" a="1"/>
  <c r="J966" i="1" s="1"/>
  <c r="K966" i="1" s="1"/>
  <c r="J967" i="1" a="1"/>
  <c r="J967" i="1" s="1"/>
  <c r="J968" i="1" a="1"/>
  <c r="J968" i="1" s="1"/>
  <c r="J969" i="1" a="1"/>
  <c r="J969" i="1" s="1"/>
  <c r="K969" i="1" s="1"/>
  <c r="J970" i="1" a="1"/>
  <c r="J970" i="1" s="1"/>
  <c r="K970" i="1" s="1"/>
  <c r="J971" i="1" a="1"/>
  <c r="J971" i="1" s="1"/>
  <c r="J972" i="1" a="1"/>
  <c r="J972" i="1" s="1"/>
  <c r="K972" i="1" s="1"/>
  <c r="J973" i="1" a="1"/>
  <c r="J973" i="1" s="1"/>
  <c r="J974" i="1" a="1"/>
  <c r="J974" i="1" s="1"/>
  <c r="K974" i="1" s="1"/>
  <c r="J975" i="1" a="1"/>
  <c r="J975" i="1" s="1"/>
  <c r="K975" i="1" s="1"/>
  <c r="J976" i="1" a="1"/>
  <c r="J976" i="1" s="1"/>
  <c r="K976" i="1" s="1"/>
  <c r="J977" i="1" a="1"/>
  <c r="J977" i="1" s="1"/>
  <c r="K977" i="1" s="1"/>
  <c r="J978" i="1" a="1"/>
  <c r="J978" i="1" s="1"/>
  <c r="K978" i="1" s="1"/>
  <c r="J979" i="1" a="1"/>
  <c r="J979" i="1" s="1"/>
  <c r="J980" i="1" a="1"/>
  <c r="J980" i="1" s="1"/>
  <c r="K980" i="1" s="1"/>
  <c r="J981" i="1" a="1"/>
  <c r="J981" i="1" s="1"/>
  <c r="K981" i="1" s="1"/>
  <c r="J982" i="1" a="1"/>
  <c r="J982" i="1" s="1"/>
  <c r="J983" i="1" a="1"/>
  <c r="J983" i="1" s="1"/>
  <c r="K983" i="1" s="1"/>
  <c r="J984" i="1" a="1"/>
  <c r="J984" i="1" s="1"/>
  <c r="K984" i="1" s="1"/>
  <c r="J985" i="1" a="1"/>
  <c r="J985" i="1" s="1"/>
  <c r="J986" i="1" a="1"/>
  <c r="J986" i="1" s="1"/>
  <c r="K986" i="1" s="1"/>
  <c r="J987" i="1" a="1"/>
  <c r="J987" i="1" s="1"/>
  <c r="K987" i="1" s="1"/>
  <c r="J988" i="1" a="1"/>
  <c r="J988" i="1" s="1"/>
  <c r="K988" i="1" s="1"/>
  <c r="J989" i="1" a="1"/>
  <c r="J989" i="1" s="1"/>
  <c r="J990" i="1" a="1"/>
  <c r="J990" i="1" s="1"/>
  <c r="K990" i="1" s="1"/>
  <c r="J991" i="1" a="1"/>
  <c r="J991" i="1" s="1"/>
  <c r="K991" i="1" s="1"/>
  <c r="J992" i="1" a="1"/>
  <c r="J992" i="1" s="1"/>
  <c r="K992" i="1" s="1"/>
  <c r="J993" i="1" a="1"/>
  <c r="J993" i="1" s="1"/>
  <c r="K993" i="1" s="1"/>
  <c r="J994" i="1" a="1"/>
  <c r="J994" i="1" s="1"/>
  <c r="J995" i="1" a="1"/>
  <c r="J995" i="1" s="1"/>
  <c r="K995" i="1" s="1"/>
  <c r="J996" i="1" a="1"/>
  <c r="J996" i="1" s="1"/>
  <c r="K996" i="1" s="1"/>
  <c r="J997" i="1" a="1"/>
  <c r="J997" i="1" s="1"/>
  <c r="K997" i="1" s="1"/>
  <c r="J998" i="1" a="1"/>
  <c r="J998" i="1" s="1"/>
  <c r="K998" i="1" s="1"/>
  <c r="J999" i="1" a="1"/>
  <c r="J999" i="1" s="1"/>
  <c r="K999" i="1" s="1"/>
  <c r="J1000" i="1" a="1"/>
  <c r="J1000" i="1" s="1"/>
  <c r="K1000" i="1" s="1"/>
  <c r="J1001" i="1" a="1"/>
  <c r="J1001" i="1" s="1"/>
  <c r="K1001" i="1" s="1"/>
  <c r="J1002" i="1" a="1"/>
  <c r="J1002" i="1" s="1"/>
  <c r="K1002" i="1" s="1"/>
  <c r="J1003" i="1" a="1"/>
  <c r="J1003" i="1" s="1"/>
  <c r="K1003" i="1" s="1"/>
  <c r="J1004" i="1" a="1"/>
  <c r="J1004" i="1" s="1"/>
  <c r="K1004" i="1" s="1"/>
  <c r="J1005" i="1" a="1"/>
  <c r="J1005" i="1" s="1"/>
  <c r="K1005" i="1" s="1"/>
  <c r="J1006" i="1" a="1"/>
  <c r="J1006" i="1" s="1"/>
  <c r="K1006" i="1" s="1"/>
  <c r="J1007" i="1" a="1"/>
  <c r="J1007" i="1" s="1"/>
  <c r="J1008" i="1" a="1"/>
  <c r="J1008" i="1" s="1"/>
  <c r="K1008" i="1" s="1"/>
  <c r="J1009" i="1" a="1"/>
  <c r="J1009" i="1" s="1"/>
  <c r="K1009" i="1" s="1"/>
  <c r="J1010" i="1" a="1"/>
  <c r="J1010" i="1" s="1"/>
  <c r="K1010" i="1" s="1"/>
  <c r="J1011" i="1" a="1"/>
  <c r="J1011" i="1" s="1"/>
  <c r="K1011" i="1" s="1"/>
  <c r="J1012" i="1" a="1"/>
  <c r="J1012" i="1" s="1"/>
  <c r="K1012" i="1" s="1"/>
  <c r="J1013" i="1" a="1"/>
  <c r="J1013" i="1" s="1"/>
  <c r="K1013" i="1" s="1"/>
  <c r="J1014" i="1" a="1"/>
  <c r="J1014" i="1" s="1"/>
  <c r="K1014" i="1" s="1"/>
  <c r="J1015" i="1" a="1"/>
  <c r="J1015" i="1" s="1"/>
  <c r="K1015" i="1" s="1"/>
  <c r="J1016" i="1" a="1"/>
  <c r="J1016" i="1" s="1"/>
  <c r="K1016" i="1" s="1"/>
  <c r="J1017" i="1" a="1"/>
  <c r="J1017" i="1" s="1"/>
  <c r="K1017" i="1" s="1"/>
  <c r="J1018" i="1" a="1"/>
  <c r="J1018" i="1" s="1"/>
  <c r="K1018" i="1" s="1"/>
  <c r="J1019" i="1" a="1"/>
  <c r="J1019" i="1" s="1"/>
  <c r="K1019" i="1" s="1"/>
  <c r="J1020" i="1" a="1"/>
  <c r="J1020" i="1" s="1"/>
  <c r="K1020" i="1" s="1"/>
  <c r="J1021" i="1" a="1"/>
  <c r="J1021" i="1" s="1"/>
  <c r="K1021" i="1" s="1"/>
  <c r="J1022" i="1" a="1"/>
  <c r="J1022" i="1" s="1"/>
  <c r="K1022" i="1" s="1"/>
  <c r="J1023" i="1" a="1"/>
  <c r="J1023" i="1" s="1"/>
  <c r="K1023" i="1" s="1"/>
  <c r="J1024" i="1" a="1"/>
  <c r="J1024" i="1" s="1"/>
  <c r="J1025" i="1" a="1"/>
  <c r="J1025" i="1" s="1"/>
  <c r="K1025" i="1" s="1"/>
  <c r="J1026" i="1" a="1"/>
  <c r="J1026" i="1" s="1"/>
  <c r="K1026" i="1" s="1"/>
  <c r="J1027" i="1" a="1"/>
  <c r="J1027" i="1" s="1"/>
  <c r="K1027" i="1" s="1"/>
  <c r="J1028" i="1" a="1"/>
  <c r="J1028" i="1" s="1"/>
  <c r="K1028" i="1" s="1"/>
  <c r="J1029" i="1" a="1"/>
  <c r="J1029" i="1" s="1"/>
  <c r="K1029" i="1" s="1"/>
  <c r="J1030" i="1" a="1"/>
  <c r="J1030" i="1" s="1"/>
  <c r="K1030" i="1" s="1"/>
  <c r="J1031" i="1" a="1"/>
  <c r="J1031" i="1" s="1"/>
  <c r="K1031" i="1" s="1"/>
  <c r="J1032" i="1" a="1"/>
  <c r="J1032" i="1" s="1"/>
  <c r="K1032" i="1" s="1"/>
  <c r="J1033" i="1" a="1"/>
  <c r="J1033" i="1" s="1"/>
  <c r="K1033" i="1" s="1"/>
  <c r="J1034" i="1" a="1"/>
  <c r="J1034" i="1" s="1"/>
  <c r="K1034" i="1" s="1"/>
  <c r="J1035" i="1" a="1"/>
  <c r="J1035" i="1" s="1"/>
  <c r="K1035" i="1" s="1"/>
  <c r="J1036" i="1" a="1"/>
  <c r="J1036" i="1" s="1"/>
  <c r="K1036" i="1" s="1"/>
  <c r="J1037" i="1" a="1"/>
  <c r="J1037" i="1" s="1"/>
  <c r="K1037" i="1" s="1"/>
  <c r="J1038" i="1" a="1"/>
  <c r="J1038" i="1" s="1"/>
  <c r="J1039" i="1" a="1"/>
  <c r="J1039" i="1" s="1"/>
  <c r="K1039" i="1" s="1"/>
  <c r="J1040" i="1" a="1"/>
  <c r="J1040" i="1" s="1"/>
  <c r="K1040" i="1" s="1"/>
  <c r="J1041" i="1" a="1"/>
  <c r="J1041" i="1" s="1"/>
  <c r="K1041" i="1" s="1"/>
  <c r="J1042" i="1" a="1"/>
  <c r="J1042" i="1" s="1"/>
  <c r="K1042" i="1" s="1"/>
  <c r="J1043" i="1" a="1"/>
  <c r="J1043" i="1" s="1"/>
  <c r="K1043" i="1" s="1"/>
  <c r="J1044" i="1" a="1"/>
  <c r="J1044" i="1" s="1"/>
  <c r="K1044" i="1" s="1"/>
  <c r="J1045" i="1" a="1"/>
  <c r="J1045" i="1" s="1"/>
  <c r="K1045" i="1" s="1"/>
  <c r="J1046" i="1" a="1"/>
  <c r="J1046" i="1" s="1"/>
  <c r="J1047" i="1" a="1"/>
  <c r="J1047" i="1" s="1"/>
  <c r="K1047" i="1" s="1"/>
  <c r="J1048" i="1" a="1"/>
  <c r="J1048" i="1" s="1"/>
  <c r="K1048" i="1" s="1"/>
  <c r="J1049" i="1" a="1"/>
  <c r="J1049" i="1" s="1"/>
  <c r="K1049" i="1" s="1"/>
  <c r="J1050" i="1" a="1"/>
  <c r="J1050" i="1" s="1"/>
  <c r="K1050" i="1" s="1"/>
  <c r="J1051" i="1" a="1"/>
  <c r="J1051" i="1" s="1"/>
  <c r="K1051" i="1" s="1"/>
  <c r="J1052" i="1" a="1"/>
  <c r="J1052" i="1" s="1"/>
  <c r="J1053" i="1" a="1"/>
  <c r="J1053" i="1" s="1"/>
  <c r="K1053" i="1" s="1"/>
  <c r="J1054" i="1" a="1"/>
  <c r="J1054" i="1" s="1"/>
  <c r="K1054" i="1" s="1"/>
  <c r="J1055" i="1" a="1"/>
  <c r="J1055" i="1" s="1"/>
  <c r="K1055" i="1" s="1"/>
  <c r="J1056" i="1" a="1"/>
  <c r="J1056" i="1" s="1"/>
  <c r="K1056" i="1" s="1"/>
  <c r="J1057" i="1" a="1"/>
  <c r="J1057" i="1" s="1"/>
  <c r="K1057" i="1" s="1"/>
  <c r="J1058" i="1" a="1"/>
  <c r="J1058" i="1" s="1"/>
  <c r="K1058" i="1" s="1"/>
  <c r="J1059" i="1" a="1"/>
  <c r="J1059" i="1" s="1"/>
  <c r="K1059" i="1" s="1"/>
  <c r="J1060" i="1" a="1"/>
  <c r="J1060" i="1" s="1"/>
  <c r="K1060" i="1" s="1"/>
  <c r="J1061" i="1" a="1"/>
  <c r="J1061" i="1" s="1"/>
  <c r="K1061" i="1" s="1"/>
  <c r="J1062" i="1" a="1"/>
  <c r="J1062" i="1" s="1"/>
  <c r="K1062" i="1" s="1"/>
  <c r="J1063" i="1" a="1"/>
  <c r="J1063" i="1" s="1"/>
  <c r="K1063" i="1" s="1"/>
  <c r="J1064" i="1" a="1"/>
  <c r="J1064" i="1" s="1"/>
  <c r="K1064" i="1" s="1"/>
  <c r="J1065" i="1" a="1"/>
  <c r="J1065" i="1" s="1"/>
  <c r="K1065" i="1" s="1"/>
  <c r="J1066" i="1" a="1"/>
  <c r="J1066" i="1" s="1"/>
  <c r="K1066" i="1" s="1"/>
  <c r="J1067" i="1" a="1"/>
  <c r="J1067" i="1" s="1"/>
  <c r="J1068" i="1" a="1"/>
  <c r="J1068" i="1" s="1"/>
  <c r="J1069" i="1" a="1"/>
  <c r="J1069" i="1" s="1"/>
  <c r="K1069" i="1" s="1"/>
  <c r="J1070" i="1" a="1"/>
  <c r="J1070" i="1" s="1"/>
  <c r="K1070" i="1" s="1"/>
  <c r="J1071" i="1" a="1"/>
  <c r="J1071" i="1" s="1"/>
  <c r="K1071" i="1" s="1"/>
  <c r="J1072" i="1" a="1"/>
  <c r="J1072" i="1" s="1"/>
  <c r="J1073" i="1" a="1"/>
  <c r="J1073" i="1" s="1"/>
  <c r="K1073" i="1" s="1"/>
  <c r="J1074" i="1" a="1"/>
  <c r="J1074" i="1" s="1"/>
  <c r="K1074" i="1" s="1"/>
  <c r="J1075" i="1" a="1"/>
  <c r="J1075" i="1" s="1"/>
  <c r="K1075" i="1" s="1"/>
  <c r="J1076" i="1" a="1"/>
  <c r="J1076" i="1" s="1"/>
  <c r="K1076" i="1" s="1"/>
  <c r="J1077" i="1" a="1"/>
  <c r="J1077" i="1" s="1"/>
  <c r="K1077" i="1" s="1"/>
  <c r="J1078" i="1" a="1"/>
  <c r="J1078" i="1" s="1"/>
  <c r="K1078" i="1" s="1"/>
  <c r="J1079" i="1" a="1"/>
  <c r="J1079" i="1" s="1"/>
  <c r="J1080" i="1" a="1"/>
  <c r="J1080" i="1" s="1"/>
  <c r="K1080" i="1" s="1"/>
  <c r="J1081" i="1" a="1"/>
  <c r="J1081" i="1" s="1"/>
  <c r="K1081" i="1" s="1"/>
  <c r="J1082" i="1" a="1"/>
  <c r="J1082" i="1" s="1"/>
  <c r="K1082" i="1" s="1"/>
  <c r="J1083" i="1" a="1"/>
  <c r="J1083" i="1" s="1"/>
  <c r="K1083" i="1" s="1"/>
  <c r="J1084" i="1" a="1"/>
  <c r="J1084" i="1" s="1"/>
  <c r="K1084" i="1" s="1"/>
  <c r="J1085" i="1" a="1"/>
  <c r="J1085" i="1" s="1"/>
  <c r="K1085" i="1" s="1"/>
  <c r="J1086" i="1" a="1"/>
  <c r="J1086" i="1" s="1"/>
  <c r="K1086" i="1" s="1"/>
  <c r="J1087" i="1" a="1"/>
  <c r="J1087" i="1" s="1"/>
  <c r="K1087" i="1" s="1"/>
  <c r="J1088" i="1" a="1"/>
  <c r="J1088" i="1" s="1"/>
  <c r="K1088" i="1" s="1"/>
  <c r="J1089" i="1" a="1"/>
  <c r="J1089" i="1" s="1"/>
  <c r="K1089" i="1" s="1"/>
  <c r="J1090" i="1" a="1"/>
  <c r="J1090" i="1" s="1"/>
  <c r="J1091" i="1" a="1"/>
  <c r="J1091" i="1" s="1"/>
  <c r="K1091" i="1" s="1"/>
  <c r="J1092" i="1" a="1"/>
  <c r="J1092" i="1" s="1"/>
  <c r="K1092" i="1" s="1"/>
  <c r="J1093" i="1" a="1"/>
  <c r="J1093" i="1" s="1"/>
  <c r="K1093" i="1" s="1"/>
  <c r="J1094" i="1" a="1"/>
  <c r="J1094" i="1" s="1"/>
  <c r="K1094" i="1" s="1"/>
  <c r="J1095" i="1" a="1"/>
  <c r="J1095" i="1" s="1"/>
  <c r="K1095" i="1" s="1"/>
  <c r="J1096" i="1" a="1"/>
  <c r="J1096" i="1" s="1"/>
  <c r="K1096" i="1" s="1"/>
  <c r="J1097" i="1" a="1"/>
  <c r="J1097" i="1" s="1"/>
  <c r="K1097" i="1" s="1"/>
  <c r="J1098" i="1" a="1"/>
  <c r="J1098" i="1" s="1"/>
  <c r="K1098" i="1" s="1"/>
  <c r="J1099" i="1" a="1"/>
  <c r="J1099" i="1" s="1"/>
  <c r="K1099" i="1" s="1"/>
  <c r="J1100" i="1" a="1"/>
  <c r="J1100" i="1" s="1"/>
  <c r="J1101" i="1" a="1"/>
  <c r="J1101" i="1" s="1"/>
  <c r="K1101" i="1" s="1"/>
  <c r="J1102" i="1" a="1"/>
  <c r="J1102" i="1" s="1"/>
  <c r="K1102" i="1" s="1"/>
  <c r="J1103" i="1" a="1"/>
  <c r="J1103" i="1" s="1"/>
  <c r="K1103" i="1" s="1"/>
  <c r="J1104" i="1" a="1"/>
  <c r="J1104" i="1" s="1"/>
  <c r="K1104" i="1" s="1"/>
  <c r="J1105" i="1" a="1"/>
  <c r="J1105" i="1" s="1"/>
  <c r="K1105" i="1" s="1"/>
  <c r="J1106" i="1" a="1"/>
  <c r="J1106" i="1" s="1"/>
  <c r="K1106" i="1" s="1"/>
  <c r="J1107" i="1" a="1"/>
  <c r="J1107" i="1" s="1"/>
  <c r="K1107" i="1" s="1"/>
  <c r="J1108" i="1" a="1"/>
  <c r="J1108" i="1" s="1"/>
  <c r="K1108" i="1" s="1"/>
  <c r="J1109" i="1" a="1"/>
  <c r="J1109" i="1" s="1"/>
  <c r="K1109" i="1" s="1"/>
  <c r="J1110" i="1" a="1"/>
  <c r="J1110" i="1" s="1"/>
  <c r="K1110" i="1" s="1"/>
  <c r="J1111" i="1" a="1"/>
  <c r="J1111" i="1" s="1"/>
  <c r="K1111" i="1" s="1"/>
  <c r="J1112" i="1" a="1"/>
  <c r="J1112" i="1" s="1"/>
  <c r="K1112" i="1" s="1"/>
  <c r="J1113" i="1" a="1"/>
  <c r="J1113" i="1" s="1"/>
  <c r="K1113" i="1" s="1"/>
  <c r="J1114" i="1" a="1"/>
  <c r="J1114" i="1" s="1"/>
  <c r="J1115" i="1" a="1"/>
  <c r="J1115" i="1" s="1"/>
  <c r="J1116" i="1" a="1"/>
  <c r="J1116" i="1" s="1"/>
  <c r="K1116" i="1" s="1"/>
  <c r="J1117" i="1" a="1"/>
  <c r="J1117" i="1" s="1"/>
  <c r="K1117" i="1" s="1"/>
  <c r="J1118" i="1" a="1"/>
  <c r="J1118" i="1" s="1"/>
  <c r="K1118" i="1" s="1"/>
  <c r="J1119" i="1" a="1"/>
  <c r="J1119" i="1" s="1"/>
  <c r="K1119" i="1" s="1"/>
  <c r="J1120" i="1" a="1"/>
  <c r="J1120" i="1" s="1"/>
  <c r="K1120" i="1" s="1"/>
  <c r="J1121" i="1" a="1"/>
  <c r="J1121" i="1" s="1"/>
  <c r="J1122" i="1" a="1"/>
  <c r="J1122" i="1" s="1"/>
  <c r="K1122" i="1" s="1"/>
  <c r="J1123" i="1" a="1"/>
  <c r="J1123" i="1" s="1"/>
  <c r="K1123" i="1" s="1"/>
  <c r="J1124" i="1" a="1"/>
  <c r="J1124" i="1" s="1"/>
  <c r="K1124" i="1" s="1"/>
  <c r="J1125" i="1" a="1"/>
  <c r="J1125" i="1" s="1"/>
  <c r="K1125" i="1" s="1"/>
  <c r="J1126" i="1" a="1"/>
  <c r="J1126" i="1" s="1"/>
  <c r="K1126" i="1" s="1"/>
  <c r="J1127" i="1" a="1"/>
  <c r="J1127" i="1" s="1"/>
  <c r="K1127" i="1" s="1"/>
  <c r="J1128" i="1" a="1"/>
  <c r="J1128" i="1" s="1"/>
  <c r="J1129" i="1" a="1"/>
  <c r="J1129" i="1" s="1"/>
  <c r="J1130" i="1" a="1"/>
  <c r="J1130" i="1" s="1"/>
  <c r="K1130" i="1" s="1"/>
  <c r="J1131" i="1" a="1"/>
  <c r="J1131" i="1" s="1"/>
  <c r="K1131" i="1" s="1"/>
  <c r="J1132" i="1" a="1"/>
  <c r="J1132" i="1" s="1"/>
  <c r="K1132" i="1" s="1"/>
  <c r="J1133" i="1" a="1"/>
  <c r="J1133" i="1" s="1"/>
  <c r="K1133" i="1" s="1"/>
  <c r="J1134" i="1" a="1"/>
  <c r="J1134" i="1" s="1"/>
  <c r="K1134" i="1" s="1"/>
  <c r="J1135" i="1" a="1"/>
  <c r="J1135" i="1" s="1"/>
  <c r="K1135" i="1" s="1"/>
  <c r="J1136" i="1" a="1"/>
  <c r="J1136" i="1" s="1"/>
  <c r="K1136" i="1" s="1"/>
  <c r="J1137" i="1" a="1"/>
  <c r="J1137" i="1" s="1"/>
  <c r="K1137" i="1" s="1"/>
  <c r="J1138" i="1" a="1"/>
  <c r="J1138" i="1" s="1"/>
  <c r="K1138" i="1" s="1"/>
  <c r="J1139" i="1" a="1"/>
  <c r="J1139" i="1" s="1"/>
  <c r="K1139" i="1" s="1"/>
  <c r="J1140" i="1" a="1"/>
  <c r="J1140" i="1" s="1"/>
  <c r="K1140" i="1" s="1"/>
  <c r="J1141" i="1" a="1"/>
  <c r="J1141" i="1" s="1"/>
  <c r="K1141" i="1" s="1"/>
  <c r="J1142" i="1" a="1"/>
  <c r="J1142" i="1" s="1"/>
  <c r="K1142" i="1" s="1"/>
  <c r="J1143" i="1" a="1"/>
  <c r="J1143" i="1" s="1"/>
  <c r="K1143" i="1" s="1"/>
  <c r="J1144" i="1" a="1"/>
  <c r="J1144" i="1" s="1"/>
  <c r="K1144" i="1" s="1"/>
  <c r="J1145" i="1" a="1"/>
  <c r="J1145" i="1" s="1"/>
  <c r="J1146" i="1" a="1"/>
  <c r="J1146" i="1" s="1"/>
  <c r="K1146" i="1" s="1"/>
  <c r="J1147" i="1" a="1"/>
  <c r="J1147" i="1" s="1"/>
  <c r="K1147" i="1" s="1"/>
  <c r="J1148" i="1" a="1"/>
  <c r="J1148" i="1" s="1"/>
  <c r="K1148" i="1" s="1"/>
  <c r="J1149" i="1" a="1"/>
  <c r="J1149" i="1" s="1"/>
  <c r="K1149" i="1" s="1"/>
  <c r="J1150" i="1" a="1"/>
  <c r="J1150" i="1" s="1"/>
  <c r="J1151" i="1" a="1"/>
  <c r="J1151" i="1" s="1"/>
  <c r="J1152" i="1" a="1"/>
  <c r="J1152" i="1" s="1"/>
  <c r="K1152" i="1" s="1"/>
  <c r="J1153" i="1" a="1"/>
  <c r="J1153" i="1" s="1"/>
  <c r="K1153" i="1" s="1"/>
  <c r="J1154" i="1" a="1"/>
  <c r="J1154" i="1" s="1"/>
  <c r="K1154" i="1" s="1"/>
  <c r="J1155" i="1" a="1"/>
  <c r="J1155" i="1" s="1"/>
  <c r="K1155" i="1" s="1"/>
  <c r="J1156" i="1" a="1"/>
  <c r="J1156" i="1" s="1"/>
  <c r="K1156" i="1" s="1"/>
  <c r="J1157" i="1" a="1"/>
  <c r="J1157" i="1" s="1"/>
  <c r="K1157" i="1" s="1"/>
  <c r="J1158" i="1" a="1"/>
  <c r="J1158" i="1" s="1"/>
  <c r="K1158" i="1" s="1"/>
  <c r="J1159" i="1" a="1"/>
  <c r="J1159" i="1" s="1"/>
  <c r="K1159" i="1" s="1"/>
  <c r="J1160" i="1" a="1"/>
  <c r="J1160" i="1" s="1"/>
  <c r="K1160" i="1" s="1"/>
  <c r="J1161" i="1" a="1"/>
  <c r="J1161" i="1" s="1"/>
  <c r="K1161" i="1" s="1"/>
  <c r="J1162" i="1" a="1"/>
  <c r="J1162" i="1" s="1"/>
  <c r="K1162" i="1" s="1"/>
  <c r="J1163" i="1" a="1"/>
  <c r="J1163" i="1" s="1"/>
  <c r="K1163" i="1" s="1"/>
  <c r="J1164" i="1" a="1"/>
  <c r="J1164" i="1" s="1"/>
  <c r="K1164" i="1" s="1"/>
  <c r="J1165" i="1" a="1"/>
  <c r="J1165" i="1" s="1"/>
  <c r="K1165" i="1" s="1"/>
  <c r="J1166" i="1" a="1"/>
  <c r="J1166" i="1" s="1"/>
  <c r="J1167" i="1" a="1"/>
  <c r="J1167" i="1" s="1"/>
  <c r="J1168" i="1" a="1"/>
  <c r="J1168" i="1" s="1"/>
  <c r="K1168" i="1" s="1"/>
  <c r="J1169" i="1" a="1"/>
  <c r="J1169" i="1" s="1"/>
  <c r="K1169" i="1" s="1"/>
  <c r="J1170" i="1" a="1"/>
  <c r="J1170" i="1" s="1"/>
  <c r="K1170" i="1" s="1"/>
  <c r="J1171" i="1" a="1"/>
  <c r="J1171" i="1" s="1"/>
  <c r="K1171" i="1" s="1"/>
  <c r="J1172" i="1" a="1"/>
  <c r="J1172" i="1" s="1"/>
  <c r="K1172" i="1" s="1"/>
  <c r="J1173" i="1" a="1"/>
  <c r="J1173" i="1" s="1"/>
  <c r="K1173" i="1" s="1"/>
  <c r="J1174" i="1" a="1"/>
  <c r="J1174" i="1" s="1"/>
  <c r="J1175" i="1" a="1"/>
  <c r="J1175" i="1" s="1"/>
  <c r="J1176" i="1" a="1"/>
  <c r="J1176" i="1" s="1"/>
  <c r="K1176" i="1" s="1"/>
  <c r="J1177" i="1" a="1"/>
  <c r="J1177" i="1" s="1"/>
  <c r="K1177" i="1" s="1"/>
  <c r="J1178" i="1" a="1"/>
  <c r="J1178" i="1" s="1"/>
  <c r="K1178" i="1" s="1"/>
  <c r="J1179" i="1" a="1"/>
  <c r="J1179" i="1" s="1"/>
  <c r="K1179" i="1" s="1"/>
  <c r="J1180" i="1" a="1"/>
  <c r="J1180" i="1" s="1"/>
  <c r="K1180" i="1" s="1"/>
  <c r="J1181" i="1" a="1"/>
  <c r="J1181" i="1" s="1"/>
  <c r="K1181" i="1" s="1"/>
  <c r="J1182" i="1" a="1"/>
  <c r="J1182" i="1" s="1"/>
  <c r="K1182" i="1" s="1"/>
  <c r="J1183" i="1" a="1"/>
  <c r="J1183" i="1" s="1"/>
  <c r="K1183" i="1" s="1"/>
  <c r="J1184" i="1" a="1"/>
  <c r="J1184" i="1" s="1"/>
  <c r="J1185" i="1" a="1"/>
  <c r="J1185" i="1" s="1"/>
  <c r="K1185" i="1" s="1"/>
  <c r="J1186" i="1" a="1"/>
  <c r="J1186" i="1" s="1"/>
  <c r="J1187" i="1" a="1"/>
  <c r="J1187" i="1" s="1"/>
  <c r="K1187" i="1" s="1"/>
  <c r="J1188" i="1" a="1"/>
  <c r="J1188" i="1" s="1"/>
  <c r="K1188" i="1" s="1"/>
  <c r="J1189" i="1" a="1"/>
  <c r="J1189" i="1" s="1"/>
  <c r="K1189" i="1" s="1"/>
  <c r="J1190" i="1" a="1"/>
  <c r="J1190" i="1" s="1"/>
  <c r="J1191" i="1" a="1"/>
  <c r="J1191" i="1" s="1"/>
  <c r="J1192" i="1" a="1"/>
  <c r="J1192" i="1" s="1"/>
  <c r="J1193" i="1" a="1"/>
  <c r="J1193" i="1" s="1"/>
  <c r="K1193" i="1" s="1"/>
  <c r="J1194" i="1" a="1"/>
  <c r="J1194" i="1" s="1"/>
  <c r="K1194" i="1" s="1"/>
  <c r="J1195" i="1" a="1"/>
  <c r="J1195" i="1" s="1"/>
  <c r="K1195" i="1" s="1"/>
  <c r="J1196" i="1" a="1"/>
  <c r="J1196" i="1" s="1"/>
  <c r="K1196" i="1" s="1"/>
  <c r="J1197" i="1" a="1"/>
  <c r="J1197" i="1" s="1"/>
  <c r="K1197" i="1" s="1"/>
  <c r="J1198" i="1" a="1"/>
  <c r="J1198" i="1" s="1"/>
  <c r="K1198" i="1" s="1"/>
  <c r="J1199" i="1" a="1"/>
  <c r="J1199" i="1" s="1"/>
  <c r="J1200" i="1" a="1"/>
  <c r="J1200" i="1" s="1"/>
  <c r="K1200" i="1" s="1"/>
  <c r="J1201" i="1" a="1"/>
  <c r="J1201" i="1" s="1"/>
  <c r="J1202" i="1" a="1"/>
  <c r="J1202" i="1" s="1"/>
  <c r="K1202" i="1" s="1"/>
  <c r="J1203" i="1" a="1"/>
  <c r="J1203" i="1" s="1"/>
  <c r="J1204" i="1" a="1"/>
  <c r="J1204" i="1" s="1"/>
  <c r="K1204" i="1" s="1"/>
  <c r="J1205" i="1" a="1"/>
  <c r="J1205" i="1" s="1"/>
  <c r="K1205" i="1" s="1"/>
  <c r="J1206" i="1" a="1"/>
  <c r="J1206" i="1" s="1"/>
  <c r="K1206" i="1" s="1"/>
  <c r="J1207" i="1" a="1"/>
  <c r="J1207" i="1" s="1"/>
  <c r="K1207" i="1" s="1"/>
  <c r="J1208" i="1" a="1"/>
  <c r="J1208" i="1" s="1"/>
  <c r="K1208" i="1" s="1"/>
  <c r="J1209" i="1" a="1"/>
  <c r="J1209" i="1" s="1"/>
  <c r="K1209" i="1" s="1"/>
  <c r="J1210" i="1" a="1"/>
  <c r="J1210" i="1" s="1"/>
  <c r="K1210" i="1" s="1"/>
  <c r="J1211" i="1" a="1"/>
  <c r="J1211" i="1" s="1"/>
  <c r="K1211" i="1" s="1"/>
  <c r="J1212" i="1" a="1"/>
  <c r="J1212" i="1" s="1"/>
  <c r="K1212" i="1" s="1"/>
  <c r="J1213" i="1" a="1"/>
  <c r="J1213" i="1" s="1"/>
  <c r="K1213" i="1" s="1"/>
  <c r="J1214" i="1" a="1"/>
  <c r="J1214" i="1" s="1"/>
  <c r="K1214" i="1" s="1"/>
  <c r="J1215" i="1" a="1"/>
  <c r="J1215" i="1" s="1"/>
  <c r="K1215" i="1" s="1"/>
  <c r="J1216" i="1" a="1"/>
  <c r="J1216" i="1" s="1"/>
  <c r="K1216" i="1" s="1"/>
  <c r="J1217" i="1" a="1"/>
  <c r="J1217" i="1" s="1"/>
  <c r="K1217" i="1" s="1"/>
  <c r="J1218" i="1" a="1"/>
  <c r="J1218" i="1" s="1"/>
  <c r="K1218" i="1" s="1"/>
  <c r="J1219" i="1" a="1"/>
  <c r="J1219" i="1" s="1"/>
  <c r="K1219" i="1" s="1"/>
  <c r="J1220" i="1" a="1"/>
  <c r="J1220" i="1" s="1"/>
  <c r="K1220" i="1" s="1"/>
  <c r="J1221" i="1" a="1"/>
  <c r="J1221" i="1" s="1"/>
  <c r="K1221" i="1" s="1"/>
  <c r="J1222" i="1" a="1"/>
  <c r="J1222" i="1" s="1"/>
  <c r="K1222" i="1" s="1"/>
  <c r="J1223" i="1" a="1"/>
  <c r="J1223" i="1" s="1"/>
  <c r="J1224" i="1" a="1"/>
  <c r="J1224" i="1" s="1"/>
  <c r="K1224" i="1" s="1"/>
  <c r="J1225" i="1" a="1"/>
  <c r="J1225" i="1" s="1"/>
  <c r="K1225" i="1" s="1"/>
  <c r="J1226" i="1" a="1"/>
  <c r="J1226" i="1" s="1"/>
  <c r="K1226" i="1" s="1"/>
  <c r="J1227" i="1" a="1"/>
  <c r="J1227" i="1" s="1"/>
  <c r="K1227" i="1" s="1"/>
  <c r="J1228" i="1" a="1"/>
  <c r="J1228" i="1" s="1"/>
  <c r="K1228" i="1" s="1"/>
  <c r="J1229" i="1" a="1"/>
  <c r="J1229" i="1" s="1"/>
  <c r="K1229" i="1" s="1"/>
  <c r="J1230" i="1" a="1"/>
  <c r="J1230" i="1" s="1"/>
  <c r="K1230" i="1" s="1"/>
  <c r="J1231" i="1" a="1"/>
  <c r="J1231" i="1" s="1"/>
  <c r="K1231" i="1" s="1"/>
  <c r="J1232" i="1" a="1"/>
  <c r="J1232" i="1" s="1"/>
  <c r="K1232" i="1" s="1"/>
  <c r="J1233" i="1" a="1"/>
  <c r="J1233" i="1" s="1"/>
  <c r="K1233" i="1" s="1"/>
  <c r="J1234" i="1" a="1"/>
  <c r="J1234" i="1" s="1"/>
  <c r="J1235" i="1" a="1"/>
  <c r="J1235" i="1" s="1"/>
  <c r="K1235" i="1" s="1"/>
  <c r="J1236" i="1" a="1"/>
  <c r="J1236" i="1" s="1"/>
  <c r="K1236" i="1" s="1"/>
  <c r="J1237" i="1" a="1"/>
  <c r="J1237" i="1" s="1"/>
  <c r="K1237" i="1" s="1"/>
  <c r="J1238" i="1" a="1"/>
  <c r="J1238" i="1" s="1"/>
  <c r="K1238" i="1" s="1"/>
  <c r="J1239" i="1" a="1"/>
  <c r="J1239" i="1" s="1"/>
  <c r="J1240" i="1" a="1"/>
  <c r="J1240" i="1" s="1"/>
  <c r="K1240" i="1" s="1"/>
  <c r="J1241" i="1" a="1"/>
  <c r="J1241" i="1" s="1"/>
  <c r="K1241" i="1" s="1"/>
  <c r="J1242" i="1" a="1"/>
  <c r="J1242" i="1" s="1"/>
  <c r="K1242" i="1" s="1"/>
  <c r="J1243" i="1" a="1"/>
  <c r="J1243" i="1" s="1"/>
  <c r="K1243" i="1" s="1"/>
  <c r="J1244" i="1" a="1"/>
  <c r="J1244" i="1" s="1"/>
  <c r="K1244" i="1" s="1"/>
  <c r="J1245" i="1" a="1"/>
  <c r="J1245" i="1" s="1"/>
  <c r="K1245" i="1" s="1"/>
  <c r="J1246" i="1" a="1"/>
  <c r="J1246" i="1" s="1"/>
  <c r="K1246" i="1" s="1"/>
  <c r="J1247" i="1" a="1"/>
  <c r="J1247" i="1" s="1"/>
  <c r="K1247" i="1" s="1"/>
  <c r="J1248" i="1" a="1"/>
  <c r="J1248" i="1" s="1"/>
  <c r="K1248" i="1" s="1"/>
  <c r="J1249" i="1" a="1"/>
  <c r="J1249" i="1" s="1"/>
  <c r="K1249" i="1" s="1"/>
  <c r="J1250" i="1" a="1"/>
  <c r="J1250" i="1" s="1"/>
  <c r="K1250" i="1" s="1"/>
  <c r="J1251" i="1" a="1"/>
  <c r="J1251" i="1" s="1"/>
  <c r="K1251" i="1" s="1"/>
  <c r="J1252" i="1" a="1"/>
  <c r="J1252" i="1" s="1"/>
  <c r="K1252" i="1" s="1"/>
  <c r="J1253" i="1" a="1"/>
  <c r="J1253" i="1" s="1"/>
  <c r="K1253" i="1" s="1"/>
  <c r="J1254" i="1" a="1"/>
  <c r="J1254" i="1" s="1"/>
  <c r="K1254" i="1" s="1"/>
  <c r="J1255" i="1" a="1"/>
  <c r="J1255" i="1" s="1"/>
  <c r="K1255" i="1" s="1"/>
  <c r="J1256" i="1" a="1"/>
  <c r="J1256" i="1" s="1"/>
  <c r="K1256" i="1" s="1"/>
  <c r="J1257" i="1" a="1"/>
  <c r="J1257" i="1" s="1"/>
  <c r="K1257" i="1" s="1"/>
  <c r="J1258" i="1" a="1"/>
  <c r="J1258" i="1" s="1"/>
  <c r="J1259" i="1" a="1"/>
  <c r="J1259" i="1" s="1"/>
  <c r="J1260" i="1" a="1"/>
  <c r="J1260" i="1" s="1"/>
  <c r="K1260" i="1" s="1"/>
  <c r="J1261" i="1" a="1"/>
  <c r="J1261" i="1" s="1"/>
  <c r="K1261" i="1" s="1"/>
  <c r="J1262" i="1" a="1"/>
  <c r="J1262" i="1" s="1"/>
  <c r="K1262" i="1" s="1"/>
  <c r="J1263" i="1" a="1"/>
  <c r="J1263" i="1" s="1"/>
  <c r="K1263" i="1" s="1"/>
  <c r="J1264" i="1" a="1"/>
  <c r="J1264" i="1" s="1"/>
  <c r="K1264" i="1" s="1"/>
  <c r="J1265" i="1" a="1"/>
  <c r="J1265" i="1" s="1"/>
  <c r="K1265" i="1" s="1"/>
  <c r="J1266" i="1" a="1"/>
  <c r="J1266" i="1" s="1"/>
  <c r="K1266" i="1" s="1"/>
  <c r="J1267" i="1" a="1"/>
  <c r="J1267" i="1" s="1"/>
  <c r="K1267" i="1" s="1"/>
  <c r="J1268" i="1" a="1"/>
  <c r="J1268" i="1" s="1"/>
  <c r="K1268" i="1" s="1"/>
  <c r="J1269" i="1" a="1"/>
  <c r="J1269" i="1" s="1"/>
  <c r="K1269" i="1" s="1"/>
  <c r="J1270" i="1" a="1"/>
  <c r="J1270" i="1" s="1"/>
  <c r="K1270" i="1" s="1"/>
  <c r="J1271" i="1" a="1"/>
  <c r="J1271" i="1" s="1"/>
  <c r="J1272" i="1" a="1"/>
  <c r="J1272" i="1" s="1"/>
  <c r="K1272" i="1" s="1"/>
  <c r="J1273" i="1" a="1"/>
  <c r="J1273" i="1" s="1"/>
  <c r="K1273" i="1" s="1"/>
  <c r="J1274" i="1" a="1"/>
  <c r="J1274" i="1" s="1"/>
  <c r="K1274" i="1" s="1"/>
  <c r="J1275" i="1" a="1"/>
  <c r="J1275" i="1" s="1"/>
  <c r="K1275" i="1" s="1"/>
  <c r="J1276" i="1" a="1"/>
  <c r="J1276" i="1" s="1"/>
  <c r="J1277" i="1" a="1"/>
  <c r="J1277" i="1" s="1"/>
  <c r="J1278" i="1" a="1"/>
  <c r="J1278" i="1" s="1"/>
  <c r="K1278" i="1" s="1"/>
  <c r="J1279" i="1" a="1"/>
  <c r="J1279" i="1" s="1"/>
  <c r="K1279" i="1" s="1"/>
  <c r="J1280" i="1" a="1"/>
  <c r="J1280" i="1" s="1"/>
  <c r="K1280" i="1" s="1"/>
  <c r="J1281" i="1" a="1"/>
  <c r="J1281" i="1" s="1"/>
  <c r="K1281" i="1" s="1"/>
  <c r="J1282" i="1" a="1"/>
  <c r="J1282" i="1" s="1"/>
  <c r="K1282" i="1" s="1"/>
  <c r="J1283" i="1" a="1"/>
  <c r="J1283" i="1" s="1"/>
  <c r="K1283" i="1" s="1"/>
  <c r="J1284" i="1" a="1"/>
  <c r="J1284" i="1" s="1"/>
  <c r="J1285" i="1" a="1"/>
  <c r="J1285" i="1" s="1"/>
  <c r="K1285" i="1" s="1"/>
  <c r="J1286" i="1" a="1"/>
  <c r="J1286" i="1" s="1"/>
  <c r="K1286" i="1" s="1"/>
  <c r="J1287" i="1" a="1"/>
  <c r="J1287" i="1" s="1"/>
  <c r="K1287" i="1" s="1"/>
  <c r="J1288" i="1" a="1"/>
  <c r="J1288" i="1" s="1"/>
  <c r="K1288" i="1" s="1"/>
  <c r="J1289" i="1" a="1"/>
  <c r="J1289" i="1" s="1"/>
  <c r="K1289" i="1" s="1"/>
  <c r="J1290" i="1" a="1"/>
  <c r="J1290" i="1" s="1"/>
  <c r="K1290" i="1" s="1"/>
  <c r="J1291" i="1" a="1"/>
  <c r="J1291" i="1" s="1"/>
  <c r="K1291" i="1" s="1"/>
  <c r="J1292" i="1" a="1"/>
  <c r="J1292" i="1" s="1"/>
  <c r="K1292" i="1" s="1"/>
  <c r="J1293" i="1" a="1"/>
  <c r="J1293" i="1" s="1"/>
  <c r="J1294" i="1" a="1"/>
  <c r="J1294" i="1" s="1"/>
  <c r="K1294" i="1" s="1"/>
  <c r="J1295" i="1" a="1"/>
  <c r="J1295" i="1" s="1"/>
  <c r="K1295" i="1" s="1"/>
  <c r="J1296" i="1" a="1"/>
  <c r="J1296" i="1" s="1"/>
  <c r="J1297" i="1" a="1"/>
  <c r="J1297" i="1" s="1"/>
  <c r="K1297" i="1" s="1"/>
  <c r="J1298" i="1" a="1"/>
  <c r="J1298" i="1" s="1"/>
  <c r="K1298" i="1" s="1"/>
  <c r="J1299" i="1" a="1"/>
  <c r="J1299" i="1" s="1"/>
  <c r="K1299" i="1" s="1"/>
  <c r="J1300" i="1" a="1"/>
  <c r="J1300" i="1" s="1"/>
  <c r="K1300" i="1" s="1"/>
  <c r="J1301" i="1" a="1"/>
  <c r="J1301" i="1" s="1"/>
  <c r="K1301" i="1" s="1"/>
  <c r="J1302" i="1" a="1"/>
  <c r="J1302" i="1" s="1"/>
  <c r="K1302" i="1" s="1"/>
  <c r="J1303" i="1" a="1"/>
  <c r="J1303" i="1" s="1"/>
  <c r="K1303" i="1" s="1"/>
  <c r="J1304" i="1" a="1"/>
  <c r="J1304" i="1" s="1"/>
  <c r="K1304" i="1" s="1"/>
  <c r="J1305" i="1" a="1"/>
  <c r="J1305" i="1" s="1"/>
  <c r="K1305" i="1" s="1"/>
  <c r="J1306" i="1" a="1"/>
  <c r="J1306" i="1" s="1"/>
  <c r="K1306" i="1" s="1"/>
  <c r="J1307" i="1" a="1"/>
  <c r="J1307" i="1" s="1"/>
  <c r="K1307" i="1" s="1"/>
  <c r="J1308" i="1" a="1"/>
  <c r="J1308" i="1" s="1"/>
  <c r="K1308" i="1" s="1"/>
  <c r="J1309" i="1" a="1"/>
  <c r="J1309" i="1" s="1"/>
  <c r="K1309" i="1" s="1"/>
  <c r="J1310" i="1" a="1"/>
  <c r="J1310" i="1" s="1"/>
  <c r="K1310" i="1" s="1"/>
  <c r="J1311" i="1" a="1"/>
  <c r="J1311" i="1" s="1"/>
  <c r="K1311" i="1" s="1"/>
  <c r="J1312" i="1" a="1"/>
  <c r="J1312" i="1" s="1"/>
  <c r="K1312" i="1" s="1"/>
  <c r="J1313" i="1" a="1"/>
  <c r="J1313" i="1" s="1"/>
  <c r="K1313" i="1" s="1"/>
  <c r="J1314" i="1" a="1"/>
  <c r="J1314" i="1" s="1"/>
  <c r="K1314" i="1" s="1"/>
  <c r="J1315" i="1" a="1"/>
  <c r="J1315" i="1" s="1"/>
  <c r="K1315" i="1" s="1"/>
  <c r="J1316" i="1" a="1"/>
  <c r="J1316" i="1" s="1"/>
  <c r="K1316" i="1" s="1"/>
  <c r="J1317" i="1" a="1"/>
  <c r="J1317" i="1" s="1"/>
  <c r="K1317" i="1" s="1"/>
  <c r="J1318" i="1" a="1"/>
  <c r="J1318" i="1" s="1"/>
  <c r="K1318" i="1" s="1"/>
  <c r="J1319" i="1" a="1"/>
  <c r="J1319" i="1" s="1"/>
  <c r="K1319" i="1" s="1"/>
  <c r="J1320" i="1" a="1"/>
  <c r="J1320" i="1" s="1"/>
  <c r="K1320" i="1" s="1"/>
  <c r="J1321" i="1" a="1"/>
  <c r="J1321" i="1" s="1"/>
  <c r="J1322" i="1" a="1"/>
  <c r="J1322" i="1" s="1"/>
  <c r="K1322" i="1" s="1"/>
  <c r="J1323" i="1" a="1"/>
  <c r="J1323" i="1" s="1"/>
  <c r="K1323" i="1" s="1"/>
  <c r="J1324" i="1" a="1"/>
  <c r="J1324" i="1" s="1"/>
  <c r="K1324" i="1" s="1"/>
  <c r="J1325" i="1" a="1"/>
  <c r="J1325" i="1" s="1"/>
  <c r="K1325" i="1" s="1"/>
  <c r="J1326" i="1" a="1"/>
  <c r="J1326" i="1" s="1"/>
  <c r="K1326" i="1" s="1"/>
  <c r="J1327" i="1" a="1"/>
  <c r="J1327" i="1" s="1"/>
  <c r="J1328" i="1" a="1"/>
  <c r="J1328" i="1" s="1"/>
  <c r="K1328" i="1" s="1"/>
  <c r="J1329" i="1" a="1"/>
  <c r="J1329" i="1" s="1"/>
  <c r="J1330" i="1" a="1"/>
  <c r="J1330" i="1" s="1"/>
  <c r="J1331" i="1" a="1"/>
  <c r="J1331" i="1" s="1"/>
  <c r="K1331" i="1" s="1"/>
  <c r="J1332" i="1" a="1"/>
  <c r="J1332" i="1" s="1"/>
  <c r="K1332" i="1" s="1"/>
  <c r="J1333" i="1" a="1"/>
  <c r="J1333" i="1" s="1"/>
  <c r="K1333" i="1" s="1"/>
  <c r="J1334" i="1" a="1"/>
  <c r="J1334" i="1" s="1"/>
  <c r="J1335" i="1" a="1"/>
  <c r="J1335" i="1" s="1"/>
  <c r="K1335" i="1" s="1"/>
  <c r="J1336" i="1" a="1"/>
  <c r="J1336" i="1" s="1"/>
  <c r="K1336" i="1" s="1"/>
  <c r="J1337" i="1" a="1"/>
  <c r="J1337" i="1" s="1"/>
  <c r="K1337" i="1" s="1"/>
  <c r="J1338" i="1" a="1"/>
  <c r="J1338" i="1" s="1"/>
  <c r="K1338" i="1" s="1"/>
  <c r="J1339" i="1" a="1"/>
  <c r="J1339" i="1" s="1"/>
  <c r="K1339" i="1" s="1"/>
  <c r="J1340" i="1" a="1"/>
  <c r="J1340" i="1" s="1"/>
  <c r="K1340" i="1" s="1"/>
  <c r="J1341" i="1" a="1"/>
  <c r="J1341" i="1" s="1"/>
  <c r="J1342" i="1" a="1"/>
  <c r="J1342" i="1" s="1"/>
  <c r="K1342" i="1" s="1"/>
  <c r="J1343" i="1" a="1"/>
  <c r="J1343" i="1" s="1"/>
  <c r="K1343" i="1" s="1"/>
  <c r="J1344" i="1" a="1"/>
  <c r="J1344" i="1" s="1"/>
  <c r="J1345" i="1" a="1"/>
  <c r="J1345" i="1" s="1"/>
  <c r="K1345" i="1" s="1"/>
  <c r="J1346" i="1" a="1"/>
  <c r="J1346" i="1" s="1"/>
  <c r="J1347" i="1" a="1"/>
  <c r="J1347" i="1" s="1"/>
  <c r="K1347" i="1" s="1"/>
  <c r="J1348" i="1" a="1"/>
  <c r="J1348" i="1" s="1"/>
  <c r="K1348" i="1" s="1"/>
  <c r="J1349" i="1" a="1"/>
  <c r="J1349" i="1" s="1"/>
  <c r="J1350" i="1" a="1"/>
  <c r="J1350" i="1" s="1"/>
  <c r="K1350" i="1" s="1"/>
  <c r="J1351" i="1" a="1"/>
  <c r="J1351" i="1" s="1"/>
  <c r="K1351" i="1" s="1"/>
  <c r="J1352" i="1" a="1"/>
  <c r="J1352" i="1" s="1"/>
  <c r="K1352" i="1" s="1"/>
  <c r="J1353" i="1" a="1"/>
  <c r="J1353" i="1" s="1"/>
  <c r="J1354" i="1" a="1"/>
  <c r="J1354" i="1" s="1"/>
  <c r="K1354" i="1" s="1"/>
  <c r="J1355" i="1" a="1"/>
  <c r="J1355" i="1" s="1"/>
  <c r="K1355" i="1" s="1"/>
  <c r="J1356" i="1" a="1"/>
  <c r="J1356" i="1" s="1"/>
  <c r="K1356" i="1" s="1"/>
  <c r="J1357" i="1" a="1"/>
  <c r="J1357" i="1" s="1"/>
  <c r="K1357" i="1" s="1"/>
  <c r="J1358" i="1" a="1"/>
  <c r="J1358" i="1" s="1"/>
  <c r="K1358" i="1" s="1"/>
  <c r="J1359" i="1" a="1"/>
  <c r="J1359" i="1" s="1"/>
  <c r="K1359" i="1" s="1"/>
  <c r="J1360" i="1" a="1"/>
  <c r="J1360" i="1" s="1"/>
  <c r="K1360" i="1" s="1"/>
  <c r="J1361" i="1" a="1"/>
  <c r="J1361" i="1" s="1"/>
  <c r="J1362" i="1" a="1"/>
  <c r="J1362" i="1" s="1"/>
  <c r="K1362" i="1" s="1"/>
  <c r="J1363" i="1" a="1"/>
  <c r="J1363" i="1" s="1"/>
  <c r="K1363" i="1" s="1"/>
  <c r="J1364" i="1" a="1"/>
  <c r="J1364" i="1" s="1"/>
  <c r="K1364" i="1" s="1"/>
  <c r="J1365" i="1" a="1"/>
  <c r="J1365" i="1" s="1"/>
  <c r="K1365" i="1" s="1"/>
  <c r="J1366" i="1" a="1"/>
  <c r="J1366" i="1" s="1"/>
  <c r="J1367" i="1" a="1"/>
  <c r="J1367" i="1" s="1"/>
  <c r="K1367" i="1" s="1"/>
  <c r="J1368" i="1" a="1"/>
  <c r="J1368" i="1" s="1"/>
  <c r="K1368" i="1" s="1"/>
  <c r="J1369" i="1" a="1"/>
  <c r="J1369" i="1" s="1"/>
  <c r="K1369" i="1" s="1"/>
  <c r="J1370" i="1" a="1"/>
  <c r="J1370" i="1" s="1"/>
  <c r="K1370" i="1" s="1"/>
  <c r="J1371" i="1" a="1"/>
  <c r="J1371" i="1" s="1"/>
  <c r="K1371" i="1" s="1"/>
  <c r="J1372" i="1" a="1"/>
  <c r="J1372" i="1" s="1"/>
  <c r="J1373" i="1" a="1"/>
  <c r="J1373" i="1" s="1"/>
  <c r="K1373" i="1" s="1"/>
  <c r="J1374" i="1" a="1"/>
  <c r="J1374" i="1" s="1"/>
  <c r="J1375" i="1" a="1"/>
  <c r="J1375" i="1" s="1"/>
  <c r="J1376" i="1" a="1"/>
  <c r="J1376" i="1" s="1"/>
  <c r="J1377" i="1" a="1"/>
  <c r="J1377" i="1" s="1"/>
  <c r="K1377" i="1" s="1"/>
  <c r="J1378" i="1" a="1"/>
  <c r="J1378" i="1" s="1"/>
  <c r="K1378" i="1" s="1"/>
  <c r="J1379" i="1" a="1"/>
  <c r="J1379" i="1" s="1"/>
  <c r="J1380" i="1" a="1"/>
  <c r="J1380" i="1" s="1"/>
  <c r="J1381" i="1" a="1"/>
  <c r="J1381" i="1" s="1"/>
  <c r="K1381" i="1" s="1"/>
  <c r="J1382" i="1" a="1"/>
  <c r="J1382" i="1" s="1"/>
  <c r="K1382" i="1" s="1"/>
  <c r="J1383" i="1" a="1"/>
  <c r="J1383" i="1" s="1"/>
  <c r="K1383" i="1" s="1"/>
  <c r="J1384" i="1" a="1"/>
  <c r="J1384" i="1" s="1"/>
  <c r="K1384" i="1" s="1"/>
  <c r="J1385" i="1" a="1"/>
  <c r="J1385" i="1" s="1"/>
  <c r="K1385" i="1" s="1"/>
  <c r="J1386" i="1" a="1"/>
  <c r="J1386" i="1" s="1"/>
  <c r="K1386" i="1" s="1"/>
  <c r="J1387" i="1" a="1"/>
  <c r="J1387" i="1" s="1"/>
  <c r="K1387" i="1" s="1"/>
  <c r="J1388" i="1" a="1"/>
  <c r="J1388" i="1" s="1"/>
  <c r="K1388" i="1" s="1"/>
  <c r="J1389" i="1" a="1"/>
  <c r="J1389" i="1" s="1"/>
  <c r="K1389" i="1" s="1"/>
  <c r="J1390" i="1" a="1"/>
  <c r="J1390" i="1" s="1"/>
  <c r="K1390" i="1" s="1"/>
  <c r="J1391" i="1" a="1"/>
  <c r="J1391" i="1" s="1"/>
  <c r="K1391" i="1" s="1"/>
  <c r="J1392" i="1" a="1"/>
  <c r="J1392" i="1" s="1"/>
  <c r="K1392" i="1" s="1"/>
  <c r="J1393" i="1" a="1"/>
  <c r="J1393" i="1" s="1"/>
  <c r="K1393" i="1" s="1"/>
  <c r="J1394" i="1" a="1"/>
  <c r="J1394" i="1" s="1"/>
  <c r="K1394" i="1" s="1"/>
  <c r="J1395" i="1" a="1"/>
  <c r="J1395" i="1" s="1"/>
  <c r="K1395" i="1" s="1"/>
  <c r="J1396" i="1" a="1"/>
  <c r="J1396" i="1" s="1"/>
  <c r="K1396" i="1" s="1"/>
  <c r="J1397" i="1" a="1"/>
  <c r="J1397" i="1" s="1"/>
  <c r="J1398" i="1" a="1"/>
  <c r="J1398" i="1" s="1"/>
  <c r="K1398" i="1" s="1"/>
  <c r="J1399" i="1" a="1"/>
  <c r="J1399" i="1" s="1"/>
  <c r="K1399" i="1" s="1"/>
  <c r="J1400" i="1" a="1"/>
  <c r="J1400" i="1" s="1"/>
  <c r="K1400" i="1" s="1"/>
  <c r="J1401" i="1" a="1"/>
  <c r="J1401" i="1" s="1"/>
  <c r="K1401" i="1" s="1"/>
  <c r="J1402" i="1" a="1"/>
  <c r="J1402" i="1" s="1"/>
  <c r="K1402" i="1" s="1"/>
  <c r="J1403" i="1" a="1"/>
  <c r="J1403" i="1" s="1"/>
  <c r="K1403" i="1" s="1"/>
  <c r="J1404" i="1" a="1"/>
  <c r="J1404" i="1" s="1"/>
  <c r="J1405" i="1" a="1"/>
  <c r="J1405" i="1" s="1"/>
  <c r="J1406" i="1" a="1"/>
  <c r="J1406" i="1" s="1"/>
  <c r="K1406" i="1" s="1"/>
  <c r="J1407" i="1" a="1"/>
  <c r="J1407" i="1" s="1"/>
  <c r="K1407" i="1" s="1"/>
  <c r="J1408" i="1" a="1"/>
  <c r="J1408" i="1" s="1"/>
  <c r="K1408" i="1" s="1"/>
  <c r="J1409" i="1" a="1"/>
  <c r="J1409" i="1" s="1"/>
  <c r="J1410" i="1" a="1"/>
  <c r="J1410" i="1" s="1"/>
  <c r="K1410" i="1" s="1"/>
  <c r="J1411" i="1" a="1"/>
  <c r="J1411" i="1" s="1"/>
  <c r="K1411" i="1" s="1"/>
  <c r="J1412" i="1" a="1"/>
  <c r="J1412" i="1" s="1"/>
  <c r="K1412" i="1" s="1"/>
  <c r="J1413" i="1" a="1"/>
  <c r="J1413" i="1" s="1"/>
  <c r="J1414" i="1" a="1"/>
  <c r="J1414" i="1" s="1"/>
  <c r="K1414" i="1" s="1"/>
  <c r="J1415" i="1" a="1"/>
  <c r="J1415" i="1" s="1"/>
  <c r="K1415" i="1" s="1"/>
  <c r="J1416" i="1" a="1"/>
  <c r="J1416" i="1" s="1"/>
  <c r="K1416" i="1" s="1"/>
  <c r="J1417" i="1" a="1"/>
  <c r="J1417" i="1" s="1"/>
  <c r="K1417" i="1" s="1"/>
  <c r="J1418" i="1" a="1"/>
  <c r="J1418" i="1" s="1"/>
  <c r="K1418" i="1" s="1"/>
  <c r="J1419" i="1" a="1"/>
  <c r="J1419" i="1" s="1"/>
  <c r="K1419" i="1" s="1"/>
  <c r="J1420" i="1" a="1"/>
  <c r="J1420" i="1" s="1"/>
  <c r="J1421" i="1" a="1"/>
  <c r="J1421" i="1" s="1"/>
  <c r="K1421" i="1" s="1"/>
  <c r="J1422" i="1" a="1"/>
  <c r="J1422" i="1" s="1"/>
  <c r="K1422" i="1" s="1"/>
  <c r="J1423" i="1" a="1"/>
  <c r="J1423" i="1" s="1"/>
  <c r="J1424" i="1" a="1"/>
  <c r="J1424" i="1" s="1"/>
  <c r="K1424" i="1" s="1"/>
  <c r="J1425" i="1" a="1"/>
  <c r="J1425" i="1" s="1"/>
  <c r="K1425" i="1" s="1"/>
  <c r="J1426" i="1" a="1"/>
  <c r="J1426" i="1" s="1"/>
  <c r="J1427" i="1" a="1"/>
  <c r="J1427" i="1" s="1"/>
  <c r="K1427" i="1" s="1"/>
  <c r="J1428" i="1" a="1"/>
  <c r="J1428" i="1" s="1"/>
  <c r="K1428" i="1" s="1"/>
  <c r="J1429" i="1" a="1"/>
  <c r="J1429" i="1" s="1"/>
  <c r="K1429" i="1" s="1"/>
  <c r="J1430" i="1" a="1"/>
  <c r="J1430" i="1" s="1"/>
  <c r="K1430" i="1" s="1"/>
  <c r="J1431" i="1" a="1"/>
  <c r="J1431" i="1" s="1"/>
  <c r="K1431" i="1" s="1"/>
  <c r="J1432" i="1" a="1"/>
  <c r="J1432" i="1" s="1"/>
  <c r="K1432" i="1" s="1"/>
  <c r="J1433" i="1" a="1"/>
  <c r="J1433" i="1" s="1"/>
  <c r="K1433" i="1" s="1"/>
  <c r="J1434" i="1" a="1"/>
  <c r="J1434" i="1" s="1"/>
  <c r="K1434" i="1" s="1"/>
  <c r="J1435" i="1" a="1"/>
  <c r="J1435" i="1" s="1"/>
  <c r="K1435" i="1" s="1"/>
  <c r="J1436" i="1" a="1"/>
  <c r="J1436" i="1" s="1"/>
  <c r="K1436" i="1" s="1"/>
  <c r="J1437" i="1" a="1"/>
  <c r="J1437" i="1" s="1"/>
  <c r="K1437" i="1" s="1"/>
  <c r="J1438" i="1" a="1"/>
  <c r="J1438" i="1" s="1"/>
  <c r="K1438" i="1" s="1"/>
  <c r="J1439" i="1" a="1"/>
  <c r="J1439" i="1" s="1"/>
  <c r="K1439" i="1" s="1"/>
  <c r="J1440" i="1" a="1"/>
  <c r="J1440" i="1" s="1"/>
  <c r="K1440" i="1" s="1"/>
  <c r="J1441" i="1" a="1"/>
  <c r="J1441" i="1" s="1"/>
  <c r="J1442" i="1" a="1"/>
  <c r="J1442" i="1" s="1"/>
  <c r="K1442" i="1" s="1"/>
  <c r="J1443" i="1" a="1"/>
  <c r="J1443" i="1" s="1"/>
  <c r="K1443" i="1" s="1"/>
  <c r="J1444" i="1" a="1"/>
  <c r="J1444" i="1" s="1"/>
  <c r="K1444" i="1" s="1"/>
  <c r="J1445" i="1" a="1"/>
  <c r="J1445" i="1" s="1"/>
  <c r="K1445" i="1" s="1"/>
  <c r="J1446" i="1" a="1"/>
  <c r="J1446" i="1" s="1"/>
  <c r="K1446" i="1" s="1"/>
  <c r="J1447" i="1" a="1"/>
  <c r="J1447" i="1" s="1"/>
  <c r="K1447" i="1" s="1"/>
  <c r="J1448" i="1" a="1"/>
  <c r="J1448" i="1" s="1"/>
  <c r="K1448" i="1" s="1"/>
  <c r="J1449" i="1" a="1"/>
  <c r="J1449" i="1" s="1"/>
  <c r="K1449" i="1" s="1"/>
  <c r="J1450" i="1" a="1"/>
  <c r="J1450" i="1" s="1"/>
  <c r="K1450" i="1" s="1"/>
  <c r="J1451" i="1" a="1"/>
  <c r="J1451" i="1" s="1"/>
  <c r="K1451" i="1" s="1"/>
  <c r="J1452" i="1" a="1"/>
  <c r="J1452" i="1" s="1"/>
  <c r="K1452" i="1" s="1"/>
  <c r="J1453" i="1" a="1"/>
  <c r="J1453" i="1" s="1"/>
  <c r="K1453" i="1" s="1"/>
  <c r="J1454" i="1" a="1"/>
  <c r="J1454" i="1" s="1"/>
  <c r="K1454" i="1" s="1"/>
  <c r="J1455" i="1" a="1"/>
  <c r="J1455" i="1" s="1"/>
  <c r="K1455" i="1" s="1"/>
  <c r="J1456" i="1" a="1"/>
  <c r="J1456" i="1" s="1"/>
  <c r="K1456" i="1" s="1"/>
  <c r="J1457" i="1" a="1"/>
  <c r="J1457" i="1" s="1"/>
  <c r="K1457" i="1" s="1"/>
  <c r="J1458" i="1" a="1"/>
  <c r="J1458" i="1" s="1"/>
  <c r="J1459" i="1" a="1"/>
  <c r="J1459" i="1" s="1"/>
  <c r="J1460" i="1" a="1"/>
  <c r="J1460" i="1" s="1"/>
  <c r="K1460" i="1" s="1"/>
  <c r="J1461" i="1" a="1"/>
  <c r="J1461" i="1" s="1"/>
  <c r="K1461" i="1" s="1"/>
  <c r="J1462" i="1" a="1"/>
  <c r="J1462" i="1" s="1"/>
  <c r="K1462" i="1" s="1"/>
  <c r="J1463" i="1" a="1"/>
  <c r="J1463" i="1" s="1"/>
  <c r="K1463" i="1" s="1"/>
  <c r="J1464" i="1" a="1"/>
  <c r="J1464" i="1" s="1"/>
  <c r="K1464" i="1" s="1"/>
  <c r="J1465" i="1" a="1"/>
  <c r="J1465" i="1" s="1"/>
  <c r="K1465" i="1" s="1"/>
  <c r="J1466" i="1" a="1"/>
  <c r="J1466" i="1" s="1"/>
  <c r="K1466" i="1" s="1"/>
  <c r="J1467" i="1" a="1"/>
  <c r="J1467" i="1" s="1"/>
  <c r="K1467" i="1" s="1"/>
  <c r="J1468" i="1" a="1"/>
  <c r="J1468" i="1" s="1"/>
  <c r="K1468" i="1" s="1"/>
  <c r="J1469" i="1" a="1"/>
  <c r="J1469" i="1" s="1"/>
  <c r="K1469" i="1" s="1"/>
  <c r="J1470" i="1" a="1"/>
  <c r="J1470" i="1" s="1"/>
  <c r="K1470" i="1" s="1"/>
  <c r="J1471" i="1" a="1"/>
  <c r="J1471" i="1" s="1"/>
  <c r="K1471" i="1" s="1"/>
  <c r="J1472" i="1" a="1"/>
  <c r="J1472" i="1" s="1"/>
  <c r="K1472" i="1" s="1"/>
  <c r="J1473" i="1" a="1"/>
  <c r="J1473" i="1" s="1"/>
  <c r="K1473" i="1" s="1"/>
  <c r="J1474" i="1" a="1"/>
  <c r="J1474" i="1" s="1"/>
  <c r="K1474" i="1" s="1"/>
  <c r="J1475" i="1" a="1"/>
  <c r="J1475" i="1" s="1"/>
  <c r="K1475" i="1" s="1"/>
  <c r="J1476" i="1" a="1"/>
  <c r="J1476" i="1" s="1"/>
  <c r="K1476" i="1" s="1"/>
  <c r="J1477" i="1" a="1"/>
  <c r="J1477" i="1" s="1"/>
  <c r="K1477" i="1" s="1"/>
  <c r="J1478" i="1" a="1"/>
  <c r="J1478" i="1" s="1"/>
  <c r="K1478" i="1" s="1"/>
  <c r="J1479" i="1" a="1"/>
  <c r="J1479" i="1" s="1"/>
  <c r="J1480" i="1" a="1"/>
  <c r="J1480" i="1" s="1"/>
  <c r="K1480" i="1" s="1"/>
  <c r="J1481" i="1" a="1"/>
  <c r="J1481" i="1" s="1"/>
  <c r="K1481" i="1" s="1"/>
  <c r="J1482" i="1" a="1"/>
  <c r="J1482" i="1" s="1"/>
  <c r="K1482" i="1" s="1"/>
  <c r="J1483" i="1" a="1"/>
  <c r="J1483" i="1" s="1"/>
  <c r="K1483" i="1" s="1"/>
  <c r="J1484" i="1" a="1"/>
  <c r="J1484" i="1" s="1"/>
  <c r="K1484" i="1" s="1"/>
  <c r="J1485" i="1" a="1"/>
  <c r="J1485" i="1" s="1"/>
  <c r="K1485" i="1" s="1"/>
  <c r="J1486" i="1" a="1"/>
  <c r="J1486" i="1" s="1"/>
  <c r="J1487" i="1" a="1"/>
  <c r="J1487" i="1" s="1"/>
  <c r="K1487" i="1" s="1"/>
  <c r="J1488" i="1" a="1"/>
  <c r="J1488" i="1" s="1"/>
  <c r="K1488" i="1" s="1"/>
  <c r="J1489" i="1" a="1"/>
  <c r="J1489" i="1" s="1"/>
  <c r="K1489" i="1" s="1"/>
  <c r="J1490" i="1" a="1"/>
  <c r="J1490" i="1" s="1"/>
  <c r="K1490" i="1" s="1"/>
  <c r="J1491" i="1" a="1"/>
  <c r="J1491" i="1" s="1"/>
  <c r="K1491" i="1" s="1"/>
  <c r="J1492" i="1" a="1"/>
  <c r="J1492" i="1" s="1"/>
  <c r="K1492" i="1" s="1"/>
  <c r="J1493" i="1" a="1"/>
  <c r="J1493" i="1" s="1"/>
  <c r="K1493" i="1" s="1"/>
  <c r="J1494" i="1" a="1"/>
  <c r="J1494" i="1" s="1"/>
  <c r="J1495" i="1" a="1"/>
  <c r="J1495" i="1" s="1"/>
  <c r="K1495" i="1" s="1"/>
  <c r="J1496" i="1" a="1"/>
  <c r="J1496" i="1" s="1"/>
  <c r="K1496" i="1" s="1"/>
  <c r="J1497" i="1" a="1"/>
  <c r="J1497" i="1" s="1"/>
  <c r="K1497" i="1" s="1"/>
  <c r="J1498" i="1" a="1"/>
  <c r="J1498" i="1" s="1"/>
  <c r="K1498" i="1" s="1"/>
  <c r="J1499" i="1" a="1"/>
  <c r="J1499" i="1" s="1"/>
  <c r="K1499" i="1" s="1"/>
  <c r="J1500" i="1" a="1"/>
  <c r="J1500" i="1" s="1"/>
  <c r="K1500" i="1" s="1"/>
  <c r="J1501" i="1" a="1"/>
  <c r="J1501" i="1" s="1"/>
  <c r="K1501" i="1" s="1"/>
  <c r="J1502" i="1" a="1"/>
  <c r="J1502" i="1" s="1"/>
  <c r="K1502" i="1" s="1"/>
  <c r="J1503" i="1" a="1"/>
  <c r="J1503" i="1" s="1"/>
  <c r="J1504" i="1" a="1"/>
  <c r="J1504" i="1" s="1"/>
  <c r="K1504" i="1" s="1"/>
  <c r="J1505" i="1" a="1"/>
  <c r="J1505" i="1" s="1"/>
  <c r="K1505" i="1" s="1"/>
  <c r="J1506" i="1" a="1"/>
  <c r="J1506" i="1" s="1"/>
  <c r="K1506" i="1" s="1"/>
  <c r="J1507" i="1" a="1"/>
  <c r="J1507" i="1" s="1"/>
  <c r="K1507" i="1" s="1"/>
  <c r="J1508" i="1" a="1"/>
  <c r="J1508" i="1" s="1"/>
  <c r="K1508" i="1" s="1"/>
  <c r="J1509" i="1" a="1"/>
  <c r="J1509" i="1" s="1"/>
  <c r="K1509" i="1" s="1"/>
  <c r="J1510" i="1" a="1"/>
  <c r="J1510" i="1" s="1"/>
  <c r="K1510" i="1" s="1"/>
  <c r="J1511" i="1" a="1"/>
  <c r="J1511" i="1" s="1"/>
  <c r="K1511" i="1" s="1"/>
  <c r="J1512" i="1" a="1"/>
  <c r="J1512" i="1" s="1"/>
  <c r="J1513" i="1" a="1"/>
  <c r="J1513" i="1" s="1"/>
  <c r="K1513" i="1" s="1"/>
  <c r="J1514" i="1" a="1"/>
  <c r="J1514" i="1" s="1"/>
  <c r="K1514" i="1" s="1"/>
  <c r="J1515" i="1" a="1"/>
  <c r="J1515" i="1" s="1"/>
  <c r="J1516" i="1" a="1"/>
  <c r="J1516" i="1" s="1"/>
  <c r="J1517" i="1" a="1"/>
  <c r="J1517" i="1" s="1"/>
  <c r="K1517" i="1" s="1"/>
  <c r="J1518" i="1" a="1"/>
  <c r="J1518" i="1" s="1"/>
  <c r="K1518" i="1" s="1"/>
  <c r="J1519" i="1" a="1"/>
  <c r="J1519" i="1" s="1"/>
  <c r="K1519" i="1" s="1"/>
  <c r="J1520" i="1" a="1"/>
  <c r="J1520" i="1" s="1"/>
  <c r="K1520" i="1" s="1"/>
  <c r="J1521" i="1" a="1"/>
  <c r="J1521" i="1" s="1"/>
  <c r="J1522" i="1" a="1"/>
  <c r="J1522" i="1" s="1"/>
  <c r="K1522" i="1" s="1"/>
  <c r="J1523" i="1" a="1"/>
  <c r="J1523" i="1" s="1"/>
  <c r="J1524" i="1" a="1"/>
  <c r="J1524" i="1" s="1"/>
  <c r="K1524" i="1" s="1"/>
  <c r="J1525" i="1" a="1"/>
  <c r="J1525" i="1" s="1"/>
  <c r="K1525" i="1" s="1"/>
  <c r="J1526" i="1" a="1"/>
  <c r="J1526" i="1" s="1"/>
  <c r="K1526" i="1" s="1"/>
  <c r="J1527" i="1" a="1"/>
  <c r="J1527" i="1" s="1"/>
  <c r="J1528" i="1" a="1"/>
  <c r="J1528" i="1" s="1"/>
  <c r="K1528" i="1" s="1"/>
  <c r="J1529" i="1" a="1"/>
  <c r="J1529" i="1" s="1"/>
  <c r="K1529" i="1" s="1"/>
  <c r="J1530" i="1" a="1"/>
  <c r="J1530" i="1" s="1"/>
  <c r="K1530" i="1" s="1"/>
  <c r="J1531" i="1" a="1"/>
  <c r="J1531" i="1" s="1"/>
  <c r="K1531" i="1" s="1"/>
  <c r="J1532" i="1" a="1"/>
  <c r="J1532" i="1" s="1"/>
  <c r="K1532" i="1" s="1"/>
  <c r="J1533" i="1" a="1"/>
  <c r="J1533" i="1" s="1"/>
  <c r="K1533" i="1" s="1"/>
  <c r="J1534" i="1" a="1"/>
  <c r="J1534" i="1" s="1"/>
  <c r="K1534" i="1" s="1"/>
  <c r="J1535" i="1" a="1"/>
  <c r="J1535" i="1" s="1"/>
  <c r="K1535" i="1" s="1"/>
  <c r="J1536" i="1" a="1"/>
  <c r="J1536" i="1" s="1"/>
  <c r="K1536" i="1" s="1"/>
  <c r="J1537" i="1" a="1"/>
  <c r="J1537" i="1" s="1"/>
  <c r="K1537" i="1" s="1"/>
  <c r="J1538" i="1" a="1"/>
  <c r="J1538" i="1" s="1"/>
  <c r="K1538" i="1" s="1"/>
  <c r="J1539" i="1" a="1"/>
  <c r="J1539" i="1" s="1"/>
  <c r="K1539" i="1" s="1"/>
  <c r="J1540" i="1" a="1"/>
  <c r="J1540" i="1" s="1"/>
  <c r="K1540" i="1" s="1"/>
  <c r="J1541" i="1" a="1"/>
  <c r="J1541" i="1" s="1"/>
  <c r="K1541" i="1" s="1"/>
  <c r="J1542" i="1" a="1"/>
  <c r="J1542" i="1" s="1"/>
  <c r="K1542" i="1" s="1"/>
  <c r="J1543" i="1" a="1"/>
  <c r="J1543" i="1" s="1"/>
  <c r="K1543" i="1" s="1"/>
  <c r="J1544" i="1" a="1"/>
  <c r="J1544" i="1" s="1"/>
  <c r="J1545" i="1" a="1"/>
  <c r="J1545" i="1" s="1"/>
  <c r="K1545" i="1" s="1"/>
  <c r="J1546" i="1" a="1"/>
  <c r="J1546" i="1" s="1"/>
  <c r="K1546" i="1" s="1"/>
  <c r="J1547" i="1" a="1"/>
  <c r="J1547" i="1" s="1"/>
  <c r="K1547" i="1" s="1"/>
  <c r="J1548" i="1" a="1"/>
  <c r="J1548" i="1" s="1"/>
  <c r="K1548" i="1" s="1"/>
  <c r="J1549" i="1" a="1"/>
  <c r="J1549" i="1" s="1"/>
  <c r="J1550" i="1" a="1"/>
  <c r="J1550" i="1" s="1"/>
  <c r="K1550" i="1" s="1"/>
  <c r="J1551" i="1" a="1"/>
  <c r="J1551" i="1" s="1"/>
  <c r="J1552" i="1" a="1"/>
  <c r="J1552" i="1" s="1"/>
  <c r="K1552" i="1" s="1"/>
  <c r="J1553" i="1" a="1"/>
  <c r="J1553" i="1" s="1"/>
  <c r="K1553" i="1" s="1"/>
  <c r="J1554" i="1" a="1"/>
  <c r="J1554" i="1" s="1"/>
  <c r="K1554" i="1" s="1"/>
  <c r="J1555" i="1" a="1"/>
  <c r="J1555" i="1" s="1"/>
  <c r="K1555" i="1" s="1"/>
  <c r="J1556" i="1" a="1"/>
  <c r="J1556" i="1" s="1"/>
  <c r="J1557" i="1" a="1"/>
  <c r="J1557" i="1" s="1"/>
  <c r="K1557" i="1" s="1"/>
  <c r="J1558" i="1" a="1"/>
  <c r="J1558" i="1" s="1"/>
  <c r="K1558" i="1" s="1"/>
  <c r="J1559" i="1" a="1"/>
  <c r="J1559" i="1" s="1"/>
  <c r="K1559" i="1" s="1"/>
  <c r="J1560" i="1" a="1"/>
  <c r="J1560" i="1" s="1"/>
  <c r="K1560" i="1" s="1"/>
  <c r="J1561" i="1" a="1"/>
  <c r="J1561" i="1" s="1"/>
  <c r="K1561" i="1" s="1"/>
  <c r="J1562" i="1" a="1"/>
  <c r="J1562" i="1" s="1"/>
  <c r="K1562" i="1" s="1"/>
  <c r="J1563" i="1" a="1"/>
  <c r="J1563" i="1" s="1"/>
  <c r="K1563" i="1" s="1"/>
  <c r="J1564" i="1" a="1"/>
  <c r="J1564" i="1" s="1"/>
  <c r="J1565" i="1" a="1"/>
  <c r="J1565" i="1" s="1"/>
  <c r="K1565" i="1" s="1"/>
  <c r="J1566" i="1" a="1"/>
  <c r="J1566" i="1" s="1"/>
  <c r="K1566" i="1" s="1"/>
  <c r="J1567" i="1" a="1"/>
  <c r="J1567" i="1" s="1"/>
  <c r="K1567" i="1" s="1"/>
  <c r="J1568" i="1" a="1"/>
  <c r="J1568" i="1" s="1"/>
  <c r="J1569" i="1" a="1"/>
  <c r="J1569" i="1" s="1"/>
  <c r="K1569" i="1" s="1"/>
  <c r="J1570" i="1" a="1"/>
  <c r="J1570" i="1" s="1"/>
  <c r="K1570" i="1" s="1"/>
  <c r="J1571" i="1" a="1"/>
  <c r="J1571" i="1" s="1"/>
  <c r="K1571" i="1" s="1"/>
  <c r="J1572" i="1" a="1"/>
  <c r="J1572" i="1" s="1"/>
  <c r="K1572" i="1" s="1"/>
  <c r="J1573" i="1" a="1"/>
  <c r="J1573" i="1" s="1"/>
  <c r="K1573" i="1" s="1"/>
  <c r="J1574" i="1" a="1"/>
  <c r="J1574" i="1" s="1"/>
  <c r="J1575" i="1" a="1"/>
  <c r="J1575" i="1" s="1"/>
  <c r="K1575" i="1" s="1"/>
  <c r="J1576" i="1" a="1"/>
  <c r="J1576" i="1" s="1"/>
  <c r="K1576" i="1" s="1"/>
  <c r="J1577" i="1" a="1"/>
  <c r="J1577" i="1" s="1"/>
  <c r="K1577" i="1" s="1"/>
  <c r="J1578" i="1" a="1"/>
  <c r="J1578" i="1" s="1"/>
  <c r="J1579" i="1" a="1"/>
  <c r="J1579" i="1" s="1"/>
  <c r="J1580" i="1" a="1"/>
  <c r="J1580" i="1" s="1"/>
  <c r="K1580" i="1" s="1"/>
  <c r="J1581" i="1" a="1"/>
  <c r="J1581" i="1" s="1"/>
  <c r="J1582" i="1" a="1"/>
  <c r="J1582" i="1" s="1"/>
  <c r="K1582" i="1" s="1"/>
  <c r="J1583" i="1" a="1"/>
  <c r="J1583" i="1" s="1"/>
  <c r="K1583" i="1" s="1"/>
  <c r="J1584" i="1" a="1"/>
  <c r="J1584" i="1" s="1"/>
  <c r="K1584" i="1" s="1"/>
  <c r="J1585" i="1" a="1"/>
  <c r="J1585" i="1" s="1"/>
  <c r="K1585" i="1" s="1"/>
  <c r="J1586" i="1" a="1"/>
  <c r="J1586" i="1" s="1"/>
  <c r="J1587" i="1" a="1"/>
  <c r="J1587" i="1" s="1"/>
  <c r="J1588" i="1" a="1"/>
  <c r="J1588" i="1" s="1"/>
  <c r="K1588" i="1" s="1"/>
  <c r="J1589" i="1" a="1"/>
  <c r="J1589" i="1" s="1"/>
  <c r="K1589" i="1" s="1"/>
  <c r="J1590" i="1" a="1"/>
  <c r="J1590" i="1" s="1"/>
  <c r="K1590" i="1" s="1"/>
  <c r="J1591" i="1" a="1"/>
  <c r="J1591" i="1" s="1"/>
  <c r="K1591" i="1" s="1"/>
  <c r="J1592" i="1" a="1"/>
  <c r="J1592" i="1" s="1"/>
  <c r="K1592" i="1" s="1"/>
  <c r="J1593" i="1" a="1"/>
  <c r="J1593" i="1" s="1"/>
  <c r="K1593" i="1" s="1"/>
  <c r="J1594" i="1" a="1"/>
  <c r="J1594" i="1" s="1"/>
  <c r="K1594" i="1" s="1"/>
  <c r="J1595" i="1" a="1"/>
  <c r="J1595" i="1" s="1"/>
  <c r="K1595" i="1" s="1"/>
  <c r="J1596" i="1" a="1"/>
  <c r="J1596" i="1" s="1"/>
  <c r="K1596" i="1" s="1"/>
  <c r="J1597" i="1" a="1"/>
  <c r="J1597" i="1" s="1"/>
  <c r="K1597" i="1" s="1"/>
  <c r="J1598" i="1" a="1"/>
  <c r="J1598" i="1" s="1"/>
  <c r="K1598" i="1" s="1"/>
  <c r="J1599" i="1" a="1"/>
  <c r="J1599" i="1" s="1"/>
  <c r="K1599" i="1" s="1"/>
  <c r="J1600" i="1" a="1"/>
  <c r="J1600" i="1" s="1"/>
  <c r="K1600" i="1" s="1"/>
  <c r="J1601" i="1" a="1"/>
  <c r="J1601" i="1" s="1"/>
  <c r="K1601" i="1" s="1"/>
  <c r="J1602" i="1" a="1"/>
  <c r="J1602" i="1" s="1"/>
  <c r="K1602" i="1" s="1"/>
  <c r="J1603" i="1" a="1"/>
  <c r="J1603" i="1" s="1"/>
  <c r="K1603" i="1" s="1"/>
  <c r="J1604" i="1" a="1"/>
  <c r="J1604" i="1" s="1"/>
  <c r="K1604" i="1" s="1"/>
  <c r="J1605" i="1" a="1"/>
  <c r="J1605" i="1" s="1"/>
  <c r="K1605" i="1" s="1"/>
  <c r="J1606" i="1" a="1"/>
  <c r="J1606" i="1" s="1"/>
  <c r="J1607" i="1" a="1"/>
  <c r="J1607" i="1" s="1"/>
  <c r="K1607" i="1" s="1"/>
  <c r="J1608" i="1" a="1"/>
  <c r="J1608" i="1" s="1"/>
  <c r="K1608" i="1" s="1"/>
  <c r="J1609" i="1" a="1"/>
  <c r="J1609" i="1" s="1"/>
  <c r="K1609" i="1" s="1"/>
  <c r="J1610" i="1" a="1"/>
  <c r="J1610" i="1" s="1"/>
  <c r="K1610" i="1" s="1"/>
  <c r="J1611" i="1" a="1"/>
  <c r="J1611" i="1" s="1"/>
  <c r="K1611" i="1" s="1"/>
  <c r="J1612" i="1" a="1"/>
  <c r="J1612" i="1" s="1"/>
  <c r="K1612" i="1" s="1"/>
  <c r="J1613" i="1" a="1"/>
  <c r="J1613" i="1" s="1"/>
  <c r="K1613" i="1" s="1"/>
  <c r="J1614" i="1" a="1"/>
  <c r="J1614" i="1" s="1"/>
  <c r="K1614" i="1" s="1"/>
  <c r="J1615" i="1" a="1"/>
  <c r="J1615" i="1" s="1"/>
  <c r="J1616" i="1" a="1"/>
  <c r="J1616" i="1" s="1"/>
  <c r="K1616" i="1" s="1"/>
  <c r="J1617" i="1" a="1"/>
  <c r="J1617" i="1" s="1"/>
  <c r="K1617" i="1" s="1"/>
  <c r="J1618" i="1" a="1"/>
  <c r="J1618" i="1" s="1"/>
  <c r="J1619" i="1" a="1"/>
  <c r="J1619" i="1" s="1"/>
  <c r="K1619" i="1" s="1"/>
  <c r="J1620" i="1" a="1"/>
  <c r="J1620" i="1" s="1"/>
  <c r="K1620" i="1" s="1"/>
  <c r="J1621" i="1" a="1"/>
  <c r="J1621" i="1" s="1"/>
  <c r="K1621" i="1" s="1"/>
  <c r="J1622" i="1" a="1"/>
  <c r="J1622" i="1" s="1"/>
  <c r="J1623" i="1" a="1"/>
  <c r="J1623" i="1" s="1"/>
  <c r="K1623" i="1" s="1"/>
  <c r="J1624" i="1" a="1"/>
  <c r="J1624" i="1" s="1"/>
  <c r="K1624" i="1" s="1"/>
  <c r="J1625" i="1" a="1"/>
  <c r="J1625" i="1" s="1"/>
  <c r="K1625" i="1" s="1"/>
  <c r="J1626" i="1" a="1"/>
  <c r="J1626" i="1" s="1"/>
  <c r="K1626" i="1" s="1"/>
  <c r="J1627" i="1" a="1"/>
  <c r="J1627" i="1" s="1"/>
  <c r="K1627" i="1" s="1"/>
  <c r="J1628" i="1" a="1"/>
  <c r="J1628" i="1" s="1"/>
  <c r="K1628" i="1" s="1"/>
  <c r="J1629" i="1" a="1"/>
  <c r="J1629" i="1" s="1"/>
  <c r="K1629" i="1" s="1"/>
  <c r="J1630" i="1" a="1"/>
  <c r="J1630" i="1" s="1"/>
  <c r="K1630" i="1" s="1"/>
  <c r="J1631" i="1" a="1"/>
  <c r="J1631" i="1" s="1"/>
  <c r="K1631" i="1" s="1"/>
  <c r="J1632" i="1" a="1"/>
  <c r="J1632" i="1" s="1"/>
  <c r="K1632" i="1" s="1"/>
  <c r="J1633" i="1" a="1"/>
  <c r="J1633" i="1" s="1"/>
  <c r="K1633" i="1" s="1"/>
  <c r="J1634" i="1" a="1"/>
  <c r="J1634" i="1" s="1"/>
  <c r="K1634" i="1" s="1"/>
  <c r="J1635" i="1" a="1"/>
  <c r="J1635" i="1" s="1"/>
  <c r="K1635" i="1" s="1"/>
  <c r="J1636" i="1" a="1"/>
  <c r="J1636" i="1" s="1"/>
  <c r="K1636" i="1" s="1"/>
  <c r="J1637" i="1" a="1"/>
  <c r="J1637" i="1" s="1"/>
  <c r="K1637" i="1" s="1"/>
  <c r="J1638" i="1" a="1"/>
  <c r="J1638" i="1" s="1"/>
  <c r="K1638" i="1" s="1"/>
  <c r="J1639" i="1" a="1"/>
  <c r="J1639" i="1" s="1"/>
  <c r="K1639" i="1" s="1"/>
  <c r="J1640" i="1" a="1"/>
  <c r="J1640" i="1" s="1"/>
  <c r="K1640" i="1" s="1"/>
  <c r="J1641" i="1" a="1"/>
  <c r="J1641" i="1" s="1"/>
  <c r="K1641" i="1" s="1"/>
  <c r="J1642" i="1" a="1"/>
  <c r="J1642" i="1" s="1"/>
  <c r="J1643" i="1" a="1"/>
  <c r="J1643" i="1" s="1"/>
  <c r="K1643" i="1" s="1"/>
  <c r="J1644" i="1" a="1"/>
  <c r="J1644" i="1" s="1"/>
  <c r="K1644" i="1" s="1"/>
  <c r="J1645" i="1" a="1"/>
  <c r="J1645" i="1" s="1"/>
  <c r="K1645" i="1" s="1"/>
  <c r="J1646" i="1" a="1"/>
  <c r="J1646" i="1" s="1"/>
  <c r="K1646" i="1" s="1"/>
  <c r="J1647" i="1" a="1"/>
  <c r="J1647" i="1" s="1"/>
  <c r="K1647" i="1" s="1"/>
  <c r="J1648" i="1" a="1"/>
  <c r="J1648" i="1" s="1"/>
  <c r="K1648" i="1" s="1"/>
  <c r="J1649" i="1" a="1"/>
  <c r="J1649" i="1" s="1"/>
  <c r="K1649" i="1" s="1"/>
  <c r="J1650" i="1" a="1"/>
  <c r="J1650" i="1" s="1"/>
  <c r="K1650" i="1" s="1"/>
  <c r="J1651" i="1" a="1"/>
  <c r="J1651" i="1" s="1"/>
  <c r="K1651" i="1" s="1"/>
  <c r="J1652" i="1" a="1"/>
  <c r="J1652" i="1" s="1"/>
  <c r="K1652" i="1" s="1"/>
  <c r="J1653" i="1" a="1"/>
  <c r="J1653" i="1" s="1"/>
  <c r="K1653" i="1" s="1"/>
  <c r="J1654" i="1" a="1"/>
  <c r="J1654" i="1" s="1"/>
  <c r="K1654" i="1" s="1"/>
  <c r="J1655" i="1" a="1"/>
  <c r="J1655" i="1" s="1"/>
  <c r="K1655" i="1" s="1"/>
  <c r="J1656" i="1" a="1"/>
  <c r="J1656" i="1" s="1"/>
  <c r="K1656" i="1" s="1"/>
  <c r="J1657" i="1" a="1"/>
  <c r="J1657" i="1" s="1"/>
  <c r="K1657" i="1" s="1"/>
  <c r="J1658" i="1" a="1"/>
  <c r="J1658" i="1" s="1"/>
  <c r="K1658" i="1" s="1"/>
  <c r="J1659" i="1" a="1"/>
  <c r="J1659" i="1" s="1"/>
  <c r="K1659" i="1" s="1"/>
  <c r="J1660" i="1" a="1"/>
  <c r="J1660" i="1" s="1"/>
  <c r="K1660" i="1" s="1"/>
  <c r="J1661" i="1" a="1"/>
  <c r="J1661" i="1" s="1"/>
  <c r="K1661" i="1" s="1"/>
  <c r="J1662" i="1" a="1"/>
  <c r="J1662" i="1" s="1"/>
  <c r="K1662" i="1" s="1"/>
  <c r="J1663" i="1" a="1"/>
  <c r="J1663" i="1" s="1"/>
  <c r="K1663" i="1" s="1"/>
  <c r="J1664" i="1" a="1"/>
  <c r="J1664" i="1" s="1"/>
  <c r="K1664" i="1" s="1"/>
  <c r="J1665" i="1" a="1"/>
  <c r="J1665" i="1" s="1"/>
  <c r="K1665" i="1" s="1"/>
  <c r="J1666" i="1" a="1"/>
  <c r="J1666" i="1" s="1"/>
  <c r="K1666" i="1" s="1"/>
  <c r="J1667" i="1" a="1"/>
  <c r="J1667" i="1" s="1"/>
  <c r="K1667" i="1" s="1"/>
  <c r="J1668" i="1" a="1"/>
  <c r="J1668" i="1" s="1"/>
  <c r="J1669" i="1" a="1"/>
  <c r="J1669" i="1" s="1"/>
  <c r="K1669" i="1" s="1"/>
  <c r="J1670" i="1" a="1"/>
  <c r="J1670" i="1" s="1"/>
  <c r="K1670" i="1" s="1"/>
  <c r="J1671" i="1" a="1"/>
  <c r="J1671" i="1" s="1"/>
  <c r="K1671" i="1" s="1"/>
  <c r="J1672" i="1" a="1"/>
  <c r="J1672" i="1" s="1"/>
  <c r="J1673" i="1" a="1"/>
  <c r="J1673" i="1" s="1"/>
  <c r="K1673" i="1" s="1"/>
  <c r="J1674" i="1" a="1"/>
  <c r="J1674" i="1" s="1"/>
  <c r="K1674" i="1" s="1"/>
  <c r="J1675" i="1" a="1"/>
  <c r="J1675" i="1" s="1"/>
  <c r="K1675" i="1" s="1"/>
  <c r="J1676" i="1" a="1"/>
  <c r="J1676" i="1" s="1"/>
  <c r="K1676" i="1" s="1"/>
  <c r="J1677" i="1" a="1"/>
  <c r="J1677" i="1" s="1"/>
  <c r="K1677" i="1" s="1"/>
  <c r="J1678" i="1" a="1"/>
  <c r="J1678" i="1" s="1"/>
  <c r="K1678" i="1" s="1"/>
  <c r="J1679" i="1" a="1"/>
  <c r="J1679" i="1" s="1"/>
  <c r="K1679" i="1" s="1"/>
  <c r="J1680" i="1" a="1"/>
  <c r="J1680" i="1" s="1"/>
  <c r="K1680" i="1" s="1"/>
  <c r="J1681" i="1" a="1"/>
  <c r="J1681" i="1" s="1"/>
  <c r="J1682" i="1" a="1"/>
  <c r="J1682" i="1" s="1"/>
  <c r="K1682" i="1" s="1"/>
  <c r="J1683" i="1" a="1"/>
  <c r="J1683" i="1" s="1"/>
  <c r="K1683" i="1" s="1"/>
  <c r="J1684" i="1" a="1"/>
  <c r="J1684" i="1" s="1"/>
  <c r="K1684" i="1" s="1"/>
  <c r="J1685" i="1" a="1"/>
  <c r="J1685" i="1" s="1"/>
  <c r="K1685" i="1" s="1"/>
  <c r="J1686" i="1" a="1"/>
  <c r="J1686" i="1" s="1"/>
  <c r="K1686" i="1" s="1"/>
  <c r="J1687" i="1" a="1"/>
  <c r="J1687" i="1" s="1"/>
  <c r="K1687" i="1" s="1"/>
  <c r="J1688" i="1" a="1"/>
  <c r="J1688" i="1" s="1"/>
  <c r="K1688" i="1" s="1"/>
  <c r="J1689" i="1" a="1"/>
  <c r="J1689" i="1" s="1"/>
  <c r="K1689" i="1" s="1"/>
  <c r="J1690" i="1" a="1"/>
  <c r="J1690" i="1" s="1"/>
  <c r="K1690" i="1" s="1"/>
  <c r="J1691" i="1" a="1"/>
  <c r="J1691" i="1" s="1"/>
  <c r="K1691" i="1" s="1"/>
  <c r="J1692" i="1" a="1"/>
  <c r="J1692" i="1" s="1"/>
  <c r="K1692" i="1" s="1"/>
  <c r="J1693" i="1" a="1"/>
  <c r="J1693" i="1" s="1"/>
  <c r="K1693" i="1" s="1"/>
  <c r="J1694" i="1" a="1"/>
  <c r="J1694" i="1" s="1"/>
  <c r="K1694" i="1" s="1"/>
  <c r="J1695" i="1" a="1"/>
  <c r="J1695" i="1" s="1"/>
  <c r="K1695" i="1" s="1"/>
  <c r="J1696" i="1" a="1"/>
  <c r="J1696" i="1" s="1"/>
  <c r="K1696" i="1" s="1"/>
  <c r="J1697" i="1" a="1"/>
  <c r="J1697" i="1" s="1"/>
  <c r="J1698" i="1" a="1"/>
  <c r="J1698" i="1" s="1"/>
  <c r="K1698" i="1" s="1"/>
  <c r="J1699" i="1" a="1"/>
  <c r="J1699" i="1" s="1"/>
  <c r="K1699" i="1" s="1"/>
  <c r="J1700" i="1" a="1"/>
  <c r="J1700" i="1" s="1"/>
  <c r="K1700" i="1" s="1"/>
  <c r="J1701" i="1" a="1"/>
  <c r="J1701" i="1" s="1"/>
  <c r="K1701" i="1" s="1"/>
  <c r="J1702" i="1" a="1"/>
  <c r="J1702" i="1" s="1"/>
  <c r="K1702" i="1" s="1"/>
  <c r="J1703" i="1" a="1"/>
  <c r="J1703" i="1" s="1"/>
  <c r="K1703" i="1" s="1"/>
  <c r="J1704" i="1" a="1"/>
  <c r="J1704" i="1" s="1"/>
  <c r="K1704" i="1" s="1"/>
  <c r="J1705" i="1" a="1"/>
  <c r="J1705" i="1" s="1"/>
  <c r="K1705" i="1" s="1"/>
  <c r="J1706" i="1" a="1"/>
  <c r="J1706" i="1" s="1"/>
  <c r="K1706" i="1" s="1"/>
  <c r="J1707" i="1" a="1"/>
  <c r="J1707" i="1" s="1"/>
  <c r="J1708" i="1" a="1"/>
  <c r="J1708" i="1" s="1"/>
  <c r="J1709" i="1" a="1"/>
  <c r="J1709" i="1" s="1"/>
  <c r="K1709" i="1" s="1"/>
  <c r="J1710" i="1" a="1"/>
  <c r="J1710" i="1" s="1"/>
  <c r="K1710" i="1" s="1"/>
  <c r="J1711" i="1" a="1"/>
  <c r="J1711" i="1" s="1"/>
  <c r="J1712" i="1" a="1"/>
  <c r="J1712" i="1" s="1"/>
  <c r="K1712" i="1" s="1"/>
  <c r="J1713" i="1" a="1"/>
  <c r="J1713" i="1" s="1"/>
  <c r="K1713" i="1" s="1"/>
  <c r="J1714" i="1" a="1"/>
  <c r="J1714" i="1" s="1"/>
  <c r="J1715" i="1" a="1"/>
  <c r="J1715" i="1" s="1"/>
  <c r="K1715" i="1" s="1"/>
  <c r="J1716" i="1" a="1"/>
  <c r="J1716" i="1" s="1"/>
  <c r="K1716" i="1" s="1"/>
  <c r="J1717" i="1" a="1"/>
  <c r="J1717" i="1" s="1"/>
  <c r="K1717" i="1" s="1"/>
  <c r="J1718" i="1" a="1"/>
  <c r="J1718" i="1" s="1"/>
  <c r="K1718" i="1" s="1"/>
  <c r="J1719" i="1" a="1"/>
  <c r="J1719" i="1" s="1"/>
  <c r="K1719" i="1" s="1"/>
  <c r="J1720" i="1" a="1"/>
  <c r="J1720" i="1" s="1"/>
  <c r="K1720" i="1" s="1"/>
  <c r="J1721" i="1" a="1"/>
  <c r="J1721" i="1" s="1"/>
  <c r="K1721" i="1" s="1"/>
  <c r="J1722" i="1" a="1"/>
  <c r="J1722" i="1" s="1"/>
  <c r="K1722" i="1" s="1"/>
  <c r="J1723" i="1" a="1"/>
  <c r="J1723" i="1" s="1"/>
  <c r="K1723" i="1" s="1"/>
  <c r="J1724" i="1" a="1"/>
  <c r="J1724" i="1" s="1"/>
  <c r="J1725" i="1" a="1"/>
  <c r="J1725" i="1" s="1"/>
  <c r="K1725" i="1" s="1"/>
  <c r="J1726" i="1" a="1"/>
  <c r="J1726" i="1" s="1"/>
  <c r="K1726" i="1" s="1"/>
  <c r="J1727" i="1" a="1"/>
  <c r="J1727" i="1" s="1"/>
  <c r="K1727" i="1" s="1"/>
  <c r="J1728" i="1" a="1"/>
  <c r="J1728" i="1" s="1"/>
  <c r="J1729" i="1" a="1"/>
  <c r="J1729" i="1" s="1"/>
  <c r="K1729" i="1" s="1"/>
  <c r="J1730" i="1" a="1"/>
  <c r="J1730" i="1" s="1"/>
  <c r="J1731" i="1" a="1"/>
  <c r="J1731" i="1" s="1"/>
  <c r="K1731" i="1" s="1"/>
  <c r="J1732" i="1" a="1"/>
  <c r="J1732" i="1" s="1"/>
  <c r="J1733" i="1" a="1"/>
  <c r="J1733" i="1" s="1"/>
  <c r="K1733" i="1" s="1"/>
  <c r="J1734" i="1" a="1"/>
  <c r="J1734" i="1" s="1"/>
  <c r="J1735" i="1" a="1"/>
  <c r="J1735" i="1" s="1"/>
  <c r="K1735" i="1" s="1"/>
  <c r="J1736" i="1" a="1"/>
  <c r="J1736" i="1" s="1"/>
  <c r="K1736" i="1" s="1"/>
  <c r="J1737" i="1" a="1"/>
  <c r="J1737" i="1" s="1"/>
  <c r="K1737" i="1" s="1"/>
  <c r="J1738" i="1" a="1"/>
  <c r="J1738" i="1" s="1"/>
  <c r="J1739" i="1" a="1"/>
  <c r="J1739" i="1" s="1"/>
  <c r="J1740" i="1" a="1"/>
  <c r="J1740" i="1" s="1"/>
  <c r="K1740" i="1" s="1"/>
  <c r="J1741" i="1" a="1"/>
  <c r="J1741" i="1" s="1"/>
  <c r="K1741" i="1" s="1"/>
  <c r="J1742" i="1" a="1"/>
  <c r="J1742" i="1" s="1"/>
  <c r="K1742" i="1" s="1"/>
  <c r="J1743" i="1" a="1"/>
  <c r="J1743" i="1" s="1"/>
  <c r="J1744" i="1" a="1"/>
  <c r="J1744" i="1" s="1"/>
  <c r="K1744" i="1" s="1"/>
  <c r="J1745" i="1" a="1"/>
  <c r="J1745" i="1" s="1"/>
  <c r="J1746" i="1" a="1"/>
  <c r="J1746" i="1" s="1"/>
  <c r="K1746" i="1" s="1"/>
  <c r="J1747" i="1" a="1"/>
  <c r="J1747" i="1" s="1"/>
  <c r="K1747" i="1" s="1"/>
  <c r="J1748" i="1" a="1"/>
  <c r="J1748" i="1" s="1"/>
  <c r="K1748" i="1" s="1"/>
  <c r="J1749" i="1" a="1"/>
  <c r="J1749" i="1" s="1"/>
  <c r="K1749" i="1" s="1"/>
  <c r="J1750" i="1" a="1"/>
  <c r="J1750" i="1" s="1"/>
  <c r="K1750" i="1" s="1"/>
  <c r="J1751" i="1" a="1"/>
  <c r="J1751" i="1" s="1"/>
  <c r="K1751" i="1" s="1"/>
  <c r="J1752" i="1" a="1"/>
  <c r="J1752" i="1" s="1"/>
  <c r="J1753" i="1" a="1"/>
  <c r="J1753" i="1" s="1"/>
  <c r="K1753" i="1" s="1"/>
  <c r="J1754" i="1" a="1"/>
  <c r="J1754" i="1" s="1"/>
  <c r="K1754" i="1" s="1"/>
  <c r="J1755" i="1" a="1"/>
  <c r="J1755" i="1" s="1"/>
  <c r="K1755" i="1" s="1"/>
  <c r="J1756" i="1" a="1"/>
  <c r="J1756" i="1" s="1"/>
  <c r="K1756" i="1" s="1"/>
  <c r="J1757" i="1" a="1"/>
  <c r="J1757" i="1" s="1"/>
  <c r="K1757" i="1" s="1"/>
  <c r="J1758" i="1" a="1"/>
  <c r="J1758" i="1" s="1"/>
  <c r="K1758" i="1" s="1"/>
  <c r="J1759" i="1" a="1"/>
  <c r="J1759" i="1" s="1"/>
  <c r="K1759" i="1" s="1"/>
  <c r="J1760" i="1" a="1"/>
  <c r="J1760" i="1" s="1"/>
  <c r="K1760" i="1" s="1"/>
  <c r="J1761" i="1" a="1"/>
  <c r="J1761" i="1" s="1"/>
  <c r="K1761" i="1" s="1"/>
  <c r="J1762" i="1" a="1"/>
  <c r="J1762" i="1" s="1"/>
  <c r="K1762" i="1" s="1"/>
  <c r="J1763" i="1" a="1"/>
  <c r="J1763" i="1" s="1"/>
  <c r="K1763" i="1" s="1"/>
  <c r="J1764" i="1" a="1"/>
  <c r="J1764" i="1" s="1"/>
  <c r="K1764" i="1" s="1"/>
  <c r="J1765" i="1" a="1"/>
  <c r="J1765" i="1" s="1"/>
  <c r="K1765" i="1" s="1"/>
  <c r="J1766" i="1" a="1"/>
  <c r="J1766" i="1" s="1"/>
  <c r="J1767" i="1" a="1"/>
  <c r="J1767" i="1" s="1"/>
  <c r="K1767" i="1" s="1"/>
  <c r="J1768" i="1" a="1"/>
  <c r="J1768" i="1" s="1"/>
  <c r="K1768" i="1" s="1"/>
  <c r="J1769" i="1" a="1"/>
  <c r="J1769" i="1" s="1"/>
  <c r="K1769" i="1" s="1"/>
  <c r="J1770" i="1" a="1"/>
  <c r="J1770" i="1" s="1"/>
  <c r="K1770" i="1" s="1"/>
  <c r="J1771" i="1" a="1"/>
  <c r="J1771" i="1" s="1"/>
  <c r="K1771" i="1" s="1"/>
  <c r="J1772" i="1" a="1"/>
  <c r="J1772" i="1" s="1"/>
  <c r="K1772" i="1" s="1"/>
  <c r="J1773" i="1" a="1"/>
  <c r="J1773" i="1" s="1"/>
  <c r="K1773" i="1" s="1"/>
  <c r="J1774" i="1" a="1"/>
  <c r="J1774" i="1" s="1"/>
  <c r="J1775" i="1" a="1"/>
  <c r="J1775" i="1" s="1"/>
  <c r="K1775" i="1" s="1"/>
  <c r="J1776" i="1" a="1"/>
  <c r="J1776" i="1" s="1"/>
  <c r="J1777" i="1" a="1"/>
  <c r="J1777" i="1" s="1"/>
  <c r="K1777" i="1" s="1"/>
  <c r="J1778" i="1" a="1"/>
  <c r="J1778" i="1" s="1"/>
  <c r="K1778" i="1" s="1"/>
  <c r="J1779" i="1" a="1"/>
  <c r="J1779" i="1" s="1"/>
  <c r="J1780" i="1" a="1"/>
  <c r="J1780" i="1" s="1"/>
  <c r="K1780" i="1" s="1"/>
  <c r="J1781" i="1" a="1"/>
  <c r="J1781" i="1" s="1"/>
  <c r="J1782" i="1" a="1"/>
  <c r="J1782" i="1" s="1"/>
  <c r="K1782" i="1" s="1"/>
  <c r="J1783" i="1" a="1"/>
  <c r="J1783" i="1" s="1"/>
  <c r="J1784" i="1" a="1"/>
  <c r="J1784" i="1" s="1"/>
  <c r="K1784" i="1" s="1"/>
  <c r="J1785" i="1" a="1"/>
  <c r="J1785" i="1" s="1"/>
  <c r="K1785" i="1" s="1"/>
  <c r="J1786" i="1" a="1"/>
  <c r="J1786" i="1" s="1"/>
  <c r="K1786" i="1" s="1"/>
  <c r="J1787" i="1" a="1"/>
  <c r="J1787" i="1" s="1"/>
  <c r="K1787" i="1" s="1"/>
  <c r="J1788" i="1" a="1"/>
  <c r="J1788" i="1" s="1"/>
  <c r="J1789" i="1" a="1"/>
  <c r="J1789" i="1" s="1"/>
  <c r="J1790" i="1" a="1"/>
  <c r="J1790" i="1" s="1"/>
  <c r="K1790" i="1" s="1"/>
  <c r="J1791" i="1" a="1"/>
  <c r="J1791" i="1" s="1"/>
  <c r="K1791" i="1" s="1"/>
  <c r="J1792" i="1" a="1"/>
  <c r="J1792" i="1" s="1"/>
  <c r="K1792" i="1" s="1"/>
  <c r="J1793" i="1" a="1"/>
  <c r="J1793" i="1" s="1"/>
  <c r="K1793" i="1" s="1"/>
  <c r="J1794" i="1" a="1"/>
  <c r="J1794" i="1" s="1"/>
  <c r="J1795" i="1" a="1"/>
  <c r="J1795" i="1" s="1"/>
  <c r="J1796" i="1" a="1"/>
  <c r="J1796" i="1" s="1"/>
  <c r="K1796" i="1" s="1"/>
  <c r="J1797" i="1" a="1"/>
  <c r="J1797" i="1" s="1"/>
  <c r="K1797" i="1" s="1"/>
  <c r="J1798" i="1" a="1"/>
  <c r="J1798" i="1" s="1"/>
  <c r="K1798" i="1" s="1"/>
  <c r="J1799" i="1" a="1"/>
  <c r="J1799" i="1" s="1"/>
  <c r="K1799" i="1" s="1"/>
  <c r="J1800" i="1" a="1"/>
  <c r="J1800" i="1" s="1"/>
  <c r="K1800" i="1" s="1"/>
  <c r="J1801" i="1" a="1"/>
  <c r="J1801" i="1" s="1"/>
  <c r="K1801" i="1" s="1"/>
  <c r="J1802" i="1" a="1"/>
  <c r="J1802" i="1" s="1"/>
  <c r="J1803" i="1" a="1"/>
  <c r="J1803" i="1" s="1"/>
  <c r="K1803" i="1" s="1"/>
  <c r="J1804" i="1" a="1"/>
  <c r="J1804" i="1" s="1"/>
  <c r="K1804" i="1" s="1"/>
  <c r="J1805" i="1" a="1"/>
  <c r="J1805" i="1" s="1"/>
  <c r="J1806" i="1" a="1"/>
  <c r="J1806" i="1" s="1"/>
  <c r="K1806" i="1" s="1"/>
  <c r="J1807" i="1" a="1"/>
  <c r="J1807" i="1" s="1"/>
  <c r="J1808" i="1" a="1"/>
  <c r="J1808" i="1" s="1"/>
  <c r="K1808" i="1" s="1"/>
  <c r="J1809" i="1" a="1"/>
  <c r="J1809" i="1" s="1"/>
  <c r="K1809" i="1" s="1"/>
  <c r="J1810" i="1" a="1"/>
  <c r="J1810" i="1" s="1"/>
  <c r="K1810" i="1" s="1"/>
  <c r="J1811" i="1" a="1"/>
  <c r="J1811" i="1" s="1"/>
  <c r="K1811" i="1" s="1"/>
  <c r="J1812" i="1" a="1"/>
  <c r="J1812" i="1" s="1"/>
  <c r="J1813" i="1" a="1"/>
  <c r="J1813" i="1" s="1"/>
  <c r="K1813" i="1" s="1"/>
  <c r="J1814" i="1" a="1"/>
  <c r="J1814" i="1" s="1"/>
  <c r="K1814" i="1" s="1"/>
  <c r="J1815" i="1" a="1"/>
  <c r="J1815" i="1" s="1"/>
  <c r="K1815" i="1" s="1"/>
  <c r="J1816" i="1" a="1"/>
  <c r="J1816" i="1" s="1"/>
  <c r="K1816" i="1" s="1"/>
  <c r="J1817" i="1" a="1"/>
  <c r="J1817" i="1" s="1"/>
  <c r="J1818" i="1" a="1"/>
  <c r="J1818" i="1" s="1"/>
  <c r="K1818" i="1" s="1"/>
  <c r="J1819" i="1" a="1"/>
  <c r="J1819" i="1" s="1"/>
  <c r="K1819" i="1" s="1"/>
  <c r="J1820" i="1" a="1"/>
  <c r="J1820" i="1" s="1"/>
  <c r="K1820" i="1" s="1"/>
  <c r="J1821" i="1" a="1"/>
  <c r="J1821" i="1" s="1"/>
  <c r="K1821" i="1" s="1"/>
  <c r="J1822" i="1" a="1"/>
  <c r="J1822" i="1" s="1"/>
  <c r="K1822" i="1" s="1"/>
  <c r="J1823" i="1" a="1"/>
  <c r="J1823" i="1" s="1"/>
  <c r="K1823" i="1" s="1"/>
  <c r="J1824" i="1" a="1"/>
  <c r="J1824" i="1" s="1"/>
  <c r="J1825" i="1" a="1"/>
  <c r="J1825" i="1" s="1"/>
  <c r="K1825" i="1" s="1"/>
  <c r="J1826" i="1" a="1"/>
  <c r="J1826" i="1" s="1"/>
  <c r="K1826" i="1" s="1"/>
  <c r="J1827" i="1" a="1"/>
  <c r="J1827" i="1" s="1"/>
  <c r="K1827" i="1" s="1"/>
  <c r="J1828" i="1" a="1"/>
  <c r="J1828" i="1" s="1"/>
  <c r="J1829" i="1" a="1"/>
  <c r="J1829" i="1" s="1"/>
  <c r="K1829" i="1" s="1"/>
  <c r="J1830" i="1" a="1"/>
  <c r="J1830" i="1" s="1"/>
  <c r="J1831" i="1" a="1"/>
  <c r="J1831" i="1" s="1"/>
  <c r="K1831" i="1" s="1"/>
  <c r="J1832" i="1" a="1"/>
  <c r="J1832" i="1" s="1"/>
  <c r="J1833" i="1" a="1"/>
  <c r="J1833" i="1" s="1"/>
  <c r="K1833" i="1" s="1"/>
  <c r="J1834" i="1" a="1"/>
  <c r="J1834" i="1" s="1"/>
  <c r="K1834" i="1" s="1"/>
  <c r="J1835" i="1" a="1"/>
  <c r="J1835" i="1" s="1"/>
  <c r="J1836" i="1" a="1"/>
  <c r="J1836" i="1" s="1"/>
  <c r="K1836" i="1" s="1"/>
  <c r="J1837" i="1" a="1"/>
  <c r="J1837" i="1" s="1"/>
  <c r="K1837" i="1" s="1"/>
  <c r="J1838" i="1" a="1"/>
  <c r="J1838" i="1" s="1"/>
  <c r="K1838" i="1" s="1"/>
  <c r="J1839" i="1" a="1"/>
  <c r="J1839" i="1" s="1"/>
  <c r="K1839" i="1" s="1"/>
  <c r="J1840" i="1" a="1"/>
  <c r="J1840" i="1" s="1"/>
  <c r="K1840" i="1" s="1"/>
  <c r="J1841" i="1" a="1"/>
  <c r="J1841" i="1" s="1"/>
  <c r="K1841" i="1" s="1"/>
  <c r="J1842" i="1" a="1"/>
  <c r="J1842" i="1" s="1"/>
  <c r="K1842" i="1" s="1"/>
  <c r="J1843" i="1" a="1"/>
  <c r="J1843" i="1" s="1"/>
  <c r="K1843" i="1" s="1"/>
  <c r="J1844" i="1" a="1"/>
  <c r="J1844" i="1" s="1"/>
  <c r="J1845" i="1" a="1"/>
  <c r="J1845" i="1" s="1"/>
  <c r="K1845" i="1" s="1"/>
  <c r="J1846" i="1" a="1"/>
  <c r="J1846" i="1" s="1"/>
  <c r="J1847" i="1" a="1"/>
  <c r="J1847" i="1" s="1"/>
  <c r="K1847" i="1" s="1"/>
  <c r="J1848" i="1" a="1"/>
  <c r="J1848" i="1" s="1"/>
  <c r="K1848" i="1" s="1"/>
  <c r="J1849" i="1" a="1"/>
  <c r="J1849" i="1" s="1"/>
  <c r="K1849" i="1" s="1"/>
  <c r="J1850" i="1" a="1"/>
  <c r="J1850" i="1" s="1"/>
  <c r="K1850" i="1" s="1"/>
  <c r="J1851" i="1" a="1"/>
  <c r="J1851" i="1" s="1"/>
  <c r="K1851" i="1" s="1"/>
  <c r="J1852" i="1" a="1"/>
  <c r="J1852" i="1" s="1"/>
  <c r="J1853" i="1" a="1"/>
  <c r="J1853" i="1" s="1"/>
  <c r="K1853" i="1" s="1"/>
  <c r="J1854" i="1" a="1"/>
  <c r="J1854" i="1" s="1"/>
  <c r="K1854" i="1" s="1"/>
  <c r="J1855" i="1" a="1"/>
  <c r="J1855" i="1" s="1"/>
  <c r="K1855" i="1" s="1"/>
  <c r="J1856" i="1" a="1"/>
  <c r="J1856" i="1" s="1"/>
  <c r="K1856" i="1" s="1"/>
  <c r="J1857" i="1" a="1"/>
  <c r="J1857" i="1" s="1"/>
  <c r="K1857" i="1" s="1"/>
  <c r="J1858" i="1" a="1"/>
  <c r="J1858" i="1" s="1"/>
  <c r="K1858" i="1" s="1"/>
  <c r="J1859" i="1" a="1"/>
  <c r="J1859" i="1" s="1"/>
  <c r="K1859" i="1" s="1"/>
  <c r="J1860" i="1" a="1"/>
  <c r="J1860" i="1" s="1"/>
  <c r="J1861" i="1" a="1"/>
  <c r="J1861" i="1" s="1"/>
  <c r="J1862" i="1" a="1"/>
  <c r="J1862" i="1" s="1"/>
  <c r="K1862" i="1" s="1"/>
  <c r="J1863" i="1" a="1"/>
  <c r="J1863" i="1" s="1"/>
  <c r="K1863" i="1" s="1"/>
  <c r="J1864" i="1" a="1"/>
  <c r="J1864" i="1" s="1"/>
  <c r="J1865" i="1" a="1"/>
  <c r="J1865" i="1" s="1"/>
  <c r="K1865" i="1" s="1"/>
  <c r="J1866" i="1" a="1"/>
  <c r="J1866" i="1" s="1"/>
  <c r="K1866" i="1" s="1"/>
  <c r="J1867" i="1" a="1"/>
  <c r="J1867" i="1" s="1"/>
  <c r="K1867" i="1" s="1"/>
  <c r="J1868" i="1" a="1"/>
  <c r="J1868" i="1" s="1"/>
  <c r="K1868" i="1" s="1"/>
  <c r="J1869" i="1" a="1"/>
  <c r="J1869" i="1" s="1"/>
  <c r="K1869" i="1" s="1"/>
  <c r="J1870" i="1" a="1"/>
  <c r="J1870" i="1" s="1"/>
  <c r="K1870" i="1" s="1"/>
  <c r="J1871" i="1" a="1"/>
  <c r="J1871" i="1" s="1"/>
  <c r="K1871" i="1" s="1"/>
  <c r="J1872" i="1" a="1"/>
  <c r="J1872" i="1" s="1"/>
  <c r="J1873" i="1" a="1"/>
  <c r="J1873" i="1" s="1"/>
  <c r="K1873" i="1" s="1"/>
  <c r="J1874" i="1" a="1"/>
  <c r="J1874" i="1" s="1"/>
  <c r="K1874" i="1" s="1"/>
  <c r="J1875" i="1" a="1"/>
  <c r="J1875" i="1" s="1"/>
  <c r="K1875" i="1" s="1"/>
  <c r="J1876" i="1" a="1"/>
  <c r="J1876" i="1" s="1"/>
  <c r="K1876" i="1" s="1"/>
  <c r="J1877" i="1" a="1"/>
  <c r="J1877" i="1" s="1"/>
  <c r="K1877" i="1" s="1"/>
  <c r="J1878" i="1" a="1"/>
  <c r="J1878" i="1" s="1"/>
  <c r="K1878" i="1" s="1"/>
  <c r="J1879" i="1" a="1"/>
  <c r="J1879" i="1" s="1"/>
  <c r="K1879" i="1" s="1"/>
  <c r="J1880" i="1" a="1"/>
  <c r="J1880" i="1" s="1"/>
  <c r="K1880" i="1" s="1"/>
  <c r="J1881" i="1" a="1"/>
  <c r="J1881" i="1" s="1"/>
  <c r="J1882" i="1" a="1"/>
  <c r="J1882" i="1" s="1"/>
  <c r="K1882" i="1" s="1"/>
  <c r="J1883" i="1" a="1"/>
  <c r="J1883" i="1" s="1"/>
  <c r="K1883" i="1" s="1"/>
  <c r="J1884" i="1" a="1"/>
  <c r="J1884" i="1" s="1"/>
  <c r="J1885" i="1" a="1"/>
  <c r="J1885" i="1" s="1"/>
  <c r="K1885" i="1" s="1"/>
  <c r="J1886" i="1" a="1"/>
  <c r="J1886" i="1" s="1"/>
  <c r="J1887" i="1" a="1"/>
  <c r="J1887" i="1" s="1"/>
  <c r="K1887" i="1" s="1"/>
  <c r="J1888" i="1" a="1"/>
  <c r="J1888" i="1" s="1"/>
  <c r="K1888" i="1" s="1"/>
  <c r="J1889" i="1" a="1"/>
  <c r="J1889" i="1" s="1"/>
  <c r="K1889" i="1" s="1"/>
  <c r="J1890" i="1" a="1"/>
  <c r="J1890" i="1" s="1"/>
  <c r="K1890" i="1" s="1"/>
  <c r="J1891" i="1" a="1"/>
  <c r="J1891" i="1" s="1"/>
  <c r="K1891" i="1" s="1"/>
  <c r="J1892" i="1" a="1"/>
  <c r="J1892" i="1" s="1"/>
  <c r="J1893" i="1" a="1"/>
  <c r="J1893" i="1" s="1"/>
  <c r="K1893" i="1" s="1"/>
  <c r="J1894" i="1" a="1"/>
  <c r="J1894" i="1" s="1"/>
  <c r="K1894" i="1" s="1"/>
  <c r="J1895" i="1" a="1"/>
  <c r="J1895" i="1" s="1"/>
  <c r="K1895" i="1" s="1"/>
  <c r="J1896" i="1" a="1"/>
  <c r="J1896" i="1" s="1"/>
  <c r="K1896" i="1" s="1"/>
  <c r="J1897" i="1" a="1"/>
  <c r="J1897" i="1" s="1"/>
  <c r="K1897" i="1" s="1"/>
  <c r="J1898" i="1" a="1"/>
  <c r="J1898" i="1" s="1"/>
  <c r="K1898" i="1" s="1"/>
  <c r="J1899" i="1" a="1"/>
  <c r="J1899" i="1" s="1"/>
  <c r="J1900" i="1" a="1"/>
  <c r="J1900" i="1" s="1"/>
  <c r="J1901" i="1" a="1"/>
  <c r="J1901" i="1" s="1"/>
  <c r="K1901" i="1" s="1"/>
  <c r="J1902" i="1" a="1"/>
  <c r="J1902" i="1" s="1"/>
  <c r="K1902" i="1" s="1"/>
  <c r="J1903" i="1" a="1"/>
  <c r="J1903" i="1" s="1"/>
  <c r="K1903" i="1" s="1"/>
  <c r="J1904" i="1" a="1"/>
  <c r="J1904" i="1" s="1"/>
  <c r="K1904" i="1" s="1"/>
  <c r="J1905" i="1" a="1"/>
  <c r="J1905" i="1" s="1"/>
  <c r="K1905" i="1" s="1"/>
  <c r="J1906" i="1" a="1"/>
  <c r="J1906" i="1" s="1"/>
  <c r="J1907" i="1" a="1"/>
  <c r="J1907" i="1" s="1"/>
  <c r="K1907" i="1" s="1"/>
  <c r="J1908" i="1" a="1"/>
  <c r="J1908" i="1" s="1"/>
  <c r="K1908" i="1" s="1"/>
  <c r="J1909" i="1" a="1"/>
  <c r="J1909" i="1" s="1"/>
  <c r="K1909" i="1" s="1"/>
  <c r="J1910" i="1" a="1"/>
  <c r="J1910" i="1" s="1"/>
  <c r="K1910" i="1" s="1"/>
  <c r="J1911" i="1" a="1"/>
  <c r="J1911" i="1" s="1"/>
  <c r="K1911" i="1" s="1"/>
  <c r="J1912" i="1" a="1"/>
  <c r="J1912" i="1" s="1"/>
  <c r="J1913" i="1" a="1"/>
  <c r="J1913" i="1" s="1"/>
  <c r="K1913" i="1" s="1"/>
  <c r="J1914" i="1" a="1"/>
  <c r="J1914" i="1" s="1"/>
  <c r="K1914" i="1" s="1"/>
  <c r="J1915" i="1" a="1"/>
  <c r="J1915" i="1" s="1"/>
  <c r="J1916" i="1" a="1"/>
  <c r="J1916" i="1" s="1"/>
  <c r="K1916" i="1" s="1"/>
  <c r="J1917" i="1" a="1"/>
  <c r="J1917" i="1" s="1"/>
  <c r="K1917" i="1" s="1"/>
  <c r="J1918" i="1" a="1"/>
  <c r="J1918" i="1" s="1"/>
  <c r="J1919" i="1" a="1"/>
  <c r="J1919" i="1" s="1"/>
  <c r="K1919" i="1" s="1"/>
  <c r="J1920" i="1" a="1"/>
  <c r="J1920" i="1" s="1"/>
  <c r="K1920" i="1" s="1"/>
  <c r="J1921" i="1" a="1"/>
  <c r="J1921" i="1" s="1"/>
  <c r="J1922" i="1" a="1"/>
  <c r="J1922" i="1" s="1"/>
  <c r="J1923" i="1" a="1"/>
  <c r="J1923" i="1" s="1"/>
  <c r="J1924" i="1" a="1"/>
  <c r="J1924" i="1" s="1"/>
  <c r="K1924" i="1" s="1"/>
  <c r="J1925" i="1" a="1"/>
  <c r="J1925" i="1" s="1"/>
  <c r="J1926" i="1" a="1"/>
  <c r="J1926" i="1" s="1"/>
  <c r="K1926" i="1" s="1"/>
  <c r="J1927" i="1" a="1"/>
  <c r="J1927" i="1" s="1"/>
  <c r="J1928" i="1" a="1"/>
  <c r="J1928" i="1" s="1"/>
  <c r="J1929" i="1" a="1"/>
  <c r="J1929" i="1" s="1"/>
  <c r="K1929" i="1" s="1"/>
  <c r="J1930" i="1" a="1"/>
  <c r="J1930" i="1" s="1"/>
  <c r="K1930" i="1" s="1"/>
  <c r="J1931" i="1" a="1"/>
  <c r="J1931" i="1" s="1"/>
  <c r="K1931" i="1" s="1"/>
  <c r="J1932" i="1" a="1"/>
  <c r="J1932" i="1" s="1"/>
  <c r="K1932" i="1" s="1"/>
  <c r="J1933" i="1" a="1"/>
  <c r="J1933" i="1" s="1"/>
  <c r="K1933" i="1" s="1"/>
  <c r="J1934" i="1" a="1"/>
  <c r="J1934" i="1" s="1"/>
  <c r="K1934" i="1" s="1"/>
  <c r="J1935" i="1" a="1"/>
  <c r="J1935" i="1" s="1"/>
  <c r="K1935" i="1" s="1"/>
  <c r="J1936" i="1" a="1"/>
  <c r="J1936" i="1" s="1"/>
  <c r="K1936" i="1" s="1"/>
  <c r="J1937" i="1" a="1"/>
  <c r="J1937" i="1" s="1"/>
  <c r="K1937" i="1" s="1"/>
  <c r="J1938" i="1" a="1"/>
  <c r="J1938" i="1" s="1"/>
  <c r="K1938" i="1" s="1"/>
  <c r="J1939" i="1" a="1"/>
  <c r="J1939" i="1" s="1"/>
  <c r="K1939" i="1" s="1"/>
  <c r="J1940" i="1" a="1"/>
  <c r="J1940" i="1" s="1"/>
  <c r="K1940" i="1" s="1"/>
  <c r="J1941" i="1" a="1"/>
  <c r="J1941" i="1" s="1"/>
  <c r="K1941" i="1" s="1"/>
  <c r="J1942" i="1" a="1"/>
  <c r="J1942" i="1" s="1"/>
  <c r="K1942" i="1" s="1"/>
  <c r="J1943" i="1" a="1"/>
  <c r="J1943" i="1" s="1"/>
  <c r="K1943" i="1" s="1"/>
  <c r="J1944" i="1" a="1"/>
  <c r="J1944" i="1" s="1"/>
  <c r="K1944" i="1" s="1"/>
  <c r="J1945" i="1" a="1"/>
  <c r="J1945" i="1" s="1"/>
  <c r="K1945" i="1" s="1"/>
  <c r="J1946" i="1" a="1"/>
  <c r="J1946" i="1" s="1"/>
  <c r="K1946" i="1" s="1"/>
  <c r="J1947" i="1" a="1"/>
  <c r="J1947" i="1" s="1"/>
  <c r="K1947" i="1" s="1"/>
  <c r="J1948" i="1" a="1"/>
  <c r="J1948" i="1" s="1"/>
  <c r="K1948" i="1" s="1"/>
  <c r="J1949" i="1" a="1"/>
  <c r="J1949" i="1" s="1"/>
  <c r="K1949" i="1" s="1"/>
  <c r="J1950" i="1" a="1"/>
  <c r="J1950" i="1" s="1"/>
  <c r="K1950" i="1" s="1"/>
  <c r="J1951" i="1" a="1"/>
  <c r="J1951" i="1" s="1"/>
  <c r="K1951" i="1" s="1"/>
  <c r="J1952" i="1" a="1"/>
  <c r="J1952" i="1" s="1"/>
  <c r="K1952" i="1" s="1"/>
  <c r="J1953" i="1" a="1"/>
  <c r="J1953" i="1" s="1"/>
  <c r="K1953" i="1" s="1"/>
  <c r="J1954" i="1" a="1"/>
  <c r="J1954" i="1" s="1"/>
  <c r="K1954" i="1" s="1"/>
  <c r="J1955" i="1" a="1"/>
  <c r="J1955" i="1" s="1"/>
  <c r="K1955" i="1" s="1"/>
  <c r="J1956" i="1" a="1"/>
  <c r="J1956" i="1" s="1"/>
  <c r="J1957" i="1" a="1"/>
  <c r="J1957" i="1" s="1"/>
  <c r="J1958" i="1" a="1"/>
  <c r="J1958" i="1" s="1"/>
  <c r="J1959" i="1" a="1"/>
  <c r="J1959" i="1" s="1"/>
  <c r="K1959" i="1" s="1"/>
  <c r="J1960" i="1" a="1"/>
  <c r="J1960" i="1" s="1"/>
  <c r="K1960" i="1" s="1"/>
  <c r="J1961" i="1" a="1"/>
  <c r="J1961" i="1" s="1"/>
  <c r="K1961" i="1" s="1"/>
  <c r="J1962" i="1" a="1"/>
  <c r="J1962" i="1" s="1"/>
  <c r="K1962" i="1" s="1"/>
  <c r="J1963" i="1" a="1"/>
  <c r="J1963" i="1" s="1"/>
  <c r="K1963" i="1" s="1"/>
  <c r="J1964" i="1" a="1"/>
  <c r="J1964" i="1" s="1"/>
  <c r="K1964" i="1" s="1"/>
  <c r="J1965" i="1" a="1"/>
  <c r="J1965" i="1" s="1"/>
  <c r="K1965" i="1" s="1"/>
  <c r="J1966" i="1" a="1"/>
  <c r="J1966" i="1" s="1"/>
  <c r="K1966" i="1" s="1"/>
  <c r="J1967" i="1" a="1"/>
  <c r="J1967" i="1" s="1"/>
  <c r="K1967" i="1" s="1"/>
  <c r="J1968" i="1" a="1"/>
  <c r="J1968" i="1" s="1"/>
  <c r="K1968" i="1" s="1"/>
  <c r="J1969" i="1" a="1"/>
  <c r="J1969" i="1" s="1"/>
  <c r="K1969" i="1" s="1"/>
  <c r="J1970" i="1" a="1"/>
  <c r="J1970" i="1" s="1"/>
  <c r="K1970" i="1" s="1"/>
  <c r="J1971" i="1" a="1"/>
  <c r="J1971" i="1" s="1"/>
  <c r="J1972" i="1" a="1"/>
  <c r="J1972" i="1" s="1"/>
  <c r="K1972" i="1" s="1"/>
  <c r="J1973" i="1" a="1"/>
  <c r="J1973" i="1" s="1"/>
  <c r="K1973" i="1" s="1"/>
  <c r="J1974" i="1" a="1"/>
  <c r="J1974" i="1" s="1"/>
  <c r="K1974" i="1" s="1"/>
  <c r="J1975" i="1" a="1"/>
  <c r="J1975" i="1" s="1"/>
  <c r="K1975" i="1" s="1"/>
  <c r="J1976" i="1" a="1"/>
  <c r="J1976" i="1" s="1"/>
  <c r="K1976" i="1" s="1"/>
  <c r="J1977" i="1" a="1"/>
  <c r="J1977" i="1" s="1"/>
  <c r="K1977" i="1" s="1"/>
  <c r="J1978" i="1" a="1"/>
  <c r="J1978" i="1" s="1"/>
  <c r="K1978" i="1" s="1"/>
  <c r="J1979" i="1" a="1"/>
  <c r="J1979" i="1" s="1"/>
  <c r="K1979" i="1" s="1"/>
  <c r="J1980" i="1" a="1"/>
  <c r="J1980" i="1" s="1"/>
  <c r="K1980" i="1" s="1"/>
  <c r="J1981" i="1" a="1"/>
  <c r="J1981" i="1" s="1"/>
  <c r="K1981" i="1" s="1"/>
  <c r="J1982" i="1" a="1"/>
  <c r="J1982" i="1" s="1"/>
  <c r="J1983" i="1" a="1"/>
  <c r="J1983" i="1" s="1"/>
  <c r="K1983" i="1" s="1"/>
  <c r="J1984" i="1" a="1"/>
  <c r="J1984" i="1" s="1"/>
  <c r="K1984" i="1" s="1"/>
  <c r="J1985" i="1" a="1"/>
  <c r="J1985" i="1" s="1"/>
  <c r="K1985" i="1" s="1"/>
  <c r="J1986" i="1" a="1"/>
  <c r="J1986" i="1" s="1"/>
  <c r="J1987" i="1" a="1"/>
  <c r="J1987" i="1" s="1"/>
  <c r="K1987" i="1" s="1"/>
  <c r="J1988" i="1" a="1"/>
  <c r="J1988" i="1" s="1"/>
  <c r="K1988" i="1" s="1"/>
  <c r="J1989" i="1" a="1"/>
  <c r="J1989" i="1" s="1"/>
  <c r="K1989" i="1" s="1"/>
  <c r="J1990" i="1" a="1"/>
  <c r="J1990" i="1" s="1"/>
  <c r="K1990" i="1" s="1"/>
  <c r="J1991" i="1" a="1"/>
  <c r="J1991" i="1" s="1"/>
  <c r="K1991" i="1" s="1"/>
  <c r="J1992" i="1" a="1"/>
  <c r="J1992" i="1" s="1"/>
  <c r="K1992" i="1" s="1"/>
  <c r="J1993" i="1" a="1"/>
  <c r="J1993" i="1" s="1"/>
  <c r="K1993" i="1" s="1"/>
  <c r="J1994" i="1" a="1"/>
  <c r="J1994" i="1" s="1"/>
  <c r="K1994" i="1" s="1"/>
  <c r="J1995" i="1" a="1"/>
  <c r="J1995" i="1" s="1"/>
  <c r="K1995" i="1" s="1"/>
  <c r="J1996" i="1" a="1"/>
  <c r="J1996" i="1" s="1"/>
  <c r="K1996" i="1" s="1"/>
  <c r="J1997" i="1" a="1"/>
  <c r="J1997" i="1" s="1"/>
  <c r="J1998" i="1" a="1"/>
  <c r="J1998" i="1" s="1"/>
  <c r="K1998" i="1" s="1"/>
  <c r="J1999" i="1" a="1"/>
  <c r="J1999" i="1" s="1"/>
  <c r="K1999" i="1" s="1"/>
  <c r="J2000" i="1" a="1"/>
  <c r="J2000" i="1" s="1"/>
  <c r="K2000" i="1" s="1"/>
  <c r="J2001" i="1" a="1"/>
  <c r="J2001" i="1" s="1"/>
  <c r="K2001" i="1" s="1"/>
  <c r="J2002" i="1" a="1"/>
  <c r="J2002" i="1" s="1"/>
  <c r="K2002" i="1" s="1"/>
  <c r="J2003" i="1" a="1"/>
  <c r="J2003" i="1" s="1"/>
  <c r="K2003" i="1" s="1"/>
  <c r="J2004" i="1" a="1"/>
  <c r="J2004" i="1" s="1"/>
  <c r="K2004" i="1" s="1"/>
  <c r="J2005" i="1" a="1"/>
  <c r="J2005" i="1" s="1"/>
  <c r="J2006" i="1" a="1"/>
  <c r="J2006" i="1" s="1"/>
  <c r="K2006" i="1" s="1"/>
  <c r="J2007" i="1" a="1"/>
  <c r="J2007" i="1" s="1"/>
  <c r="K2007" i="1" s="1"/>
  <c r="J2008" i="1" a="1"/>
  <c r="J2008" i="1" s="1"/>
  <c r="K2008" i="1" s="1"/>
  <c r="J2009" i="1" a="1"/>
  <c r="J2009" i="1" s="1"/>
  <c r="K2009" i="1" s="1"/>
  <c r="J2010" i="1" a="1"/>
  <c r="J2010" i="1" s="1"/>
  <c r="K2010" i="1" s="1"/>
  <c r="J2011" i="1" a="1"/>
  <c r="J2011" i="1" s="1"/>
  <c r="K2011" i="1" s="1"/>
  <c r="J2012" i="1" a="1"/>
  <c r="J2012" i="1" s="1"/>
  <c r="K2012" i="1" s="1"/>
  <c r="J2013" i="1" a="1"/>
  <c r="J2013" i="1" s="1"/>
  <c r="K2013" i="1" s="1"/>
  <c r="J2014" i="1" a="1"/>
  <c r="J2014" i="1" s="1"/>
  <c r="K2014" i="1" s="1"/>
  <c r="J2015" i="1" a="1"/>
  <c r="J2015" i="1" s="1"/>
  <c r="J2016" i="1" a="1"/>
  <c r="J2016" i="1" s="1"/>
  <c r="J2017" i="1" a="1"/>
  <c r="J2017" i="1" s="1"/>
  <c r="J2018" i="1" a="1"/>
  <c r="J2018" i="1" s="1"/>
  <c r="K2018" i="1" s="1"/>
  <c r="J2019" i="1" a="1"/>
  <c r="J2019" i="1" s="1"/>
  <c r="K2019" i="1" s="1"/>
  <c r="J2020" i="1" a="1"/>
  <c r="J2020" i="1" s="1"/>
  <c r="K2020" i="1" s="1"/>
  <c r="J2021" i="1" a="1"/>
  <c r="J2021" i="1" s="1"/>
  <c r="K2021" i="1" s="1"/>
  <c r="J2022" i="1" a="1"/>
  <c r="J2022" i="1" s="1"/>
  <c r="K2022" i="1" s="1"/>
  <c r="J2023" i="1" a="1"/>
  <c r="J2023" i="1" s="1"/>
  <c r="K2023" i="1" s="1"/>
  <c r="J2024" i="1" a="1"/>
  <c r="J2024" i="1" s="1"/>
  <c r="K2024" i="1" s="1"/>
  <c r="J2025" i="1" a="1"/>
  <c r="J2025" i="1" s="1"/>
  <c r="K2025" i="1" s="1"/>
  <c r="J2026" i="1" a="1"/>
  <c r="J2026" i="1" s="1"/>
  <c r="K2026" i="1" s="1"/>
  <c r="J2027" i="1" a="1"/>
  <c r="J2027" i="1" s="1"/>
  <c r="K2027" i="1" s="1"/>
  <c r="J2028" i="1" a="1"/>
  <c r="J2028" i="1" s="1"/>
  <c r="K2028" i="1" s="1"/>
  <c r="J2029" i="1" a="1"/>
  <c r="J2029" i="1" s="1"/>
  <c r="K2029" i="1" s="1"/>
  <c r="J2030" i="1" a="1"/>
  <c r="J2030" i="1" s="1"/>
  <c r="K2030" i="1" s="1"/>
  <c r="J2031" i="1" a="1"/>
  <c r="J2031" i="1" s="1"/>
  <c r="K2031" i="1" s="1"/>
  <c r="J2032" i="1" a="1"/>
  <c r="J2032" i="1" s="1"/>
  <c r="K2032" i="1" s="1"/>
  <c r="J2033" i="1" a="1"/>
  <c r="J2033" i="1" s="1"/>
  <c r="K2033" i="1" s="1"/>
  <c r="J2034" i="1" a="1"/>
  <c r="J2034" i="1" s="1"/>
  <c r="K2034" i="1" s="1"/>
  <c r="J2035" i="1" a="1"/>
  <c r="J2035" i="1" s="1"/>
  <c r="K2035" i="1" s="1"/>
  <c r="J2036" i="1" a="1"/>
  <c r="J2036" i="1" s="1"/>
  <c r="K2036" i="1" s="1"/>
  <c r="J2037" i="1" a="1"/>
  <c r="J2037" i="1" s="1"/>
  <c r="K2037" i="1" s="1"/>
  <c r="J2038" i="1" a="1"/>
  <c r="J2038" i="1" s="1"/>
  <c r="K2038" i="1" s="1"/>
  <c r="J2039" i="1" a="1"/>
  <c r="J2039" i="1" s="1"/>
  <c r="K2039" i="1" s="1"/>
  <c r="J2040" i="1" a="1"/>
  <c r="J2040" i="1" s="1"/>
  <c r="J2041" i="1" a="1"/>
  <c r="J2041" i="1" s="1"/>
  <c r="K2041" i="1" s="1"/>
  <c r="J2042" i="1" a="1"/>
  <c r="J2042" i="1" s="1"/>
  <c r="J2043" i="1" a="1"/>
  <c r="J2043" i="1" s="1"/>
  <c r="K2043" i="1" s="1"/>
  <c r="J2044" i="1" a="1"/>
  <c r="J2044" i="1" s="1"/>
  <c r="K2044" i="1" s="1"/>
  <c r="J2045" i="1" a="1"/>
  <c r="J2045" i="1" s="1"/>
  <c r="K2045" i="1" s="1"/>
  <c r="J2046" i="1" a="1"/>
  <c r="J2046" i="1" s="1"/>
  <c r="K2046" i="1" s="1"/>
  <c r="J2047" i="1" a="1"/>
  <c r="J2047" i="1" s="1"/>
  <c r="K2047" i="1" s="1"/>
  <c r="J2048" i="1" a="1"/>
  <c r="J2048" i="1" s="1"/>
  <c r="K2048" i="1" s="1"/>
  <c r="J2049" i="1" a="1"/>
  <c r="J2049" i="1" s="1"/>
  <c r="K2049" i="1" s="1"/>
  <c r="J2050" i="1" a="1"/>
  <c r="J2050" i="1" s="1"/>
  <c r="K2050" i="1" s="1"/>
  <c r="J2051" i="1" a="1"/>
  <c r="J2051" i="1" s="1"/>
  <c r="K2051" i="1" s="1"/>
  <c r="J2052" i="1" a="1"/>
  <c r="J2052" i="1" s="1"/>
  <c r="J2053" i="1" a="1"/>
  <c r="J2053" i="1" s="1"/>
  <c r="K2053" i="1" s="1"/>
  <c r="J2054" i="1" a="1"/>
  <c r="J2054" i="1" s="1"/>
  <c r="K2054" i="1" s="1"/>
  <c r="J2055" i="1" a="1"/>
  <c r="J2055" i="1" s="1"/>
  <c r="K2055" i="1" s="1"/>
  <c r="J2056" i="1" a="1"/>
  <c r="J2056" i="1" s="1"/>
  <c r="K2056" i="1" s="1"/>
  <c r="J2057" i="1" a="1"/>
  <c r="J2057" i="1" s="1"/>
  <c r="K2057" i="1" s="1"/>
  <c r="J2058" i="1" a="1"/>
  <c r="J2058" i="1" s="1"/>
  <c r="K2058" i="1" s="1"/>
  <c r="J2059" i="1" a="1"/>
  <c r="J2059" i="1" s="1"/>
  <c r="K2059" i="1" s="1"/>
  <c r="J2060" i="1" a="1"/>
  <c r="J2060" i="1" s="1"/>
  <c r="K2060" i="1" s="1"/>
  <c r="J2061" i="1" a="1"/>
  <c r="J2061" i="1" s="1"/>
  <c r="K2061" i="1" s="1"/>
  <c r="J2062" i="1" a="1"/>
  <c r="J2062" i="1" s="1"/>
  <c r="J2063" i="1" a="1"/>
  <c r="J2063" i="1" s="1"/>
  <c r="K2063" i="1" s="1"/>
  <c r="J2064" i="1" a="1"/>
  <c r="J2064" i="1" s="1"/>
  <c r="J2065" i="1" a="1"/>
  <c r="J2065" i="1" s="1"/>
  <c r="K2065" i="1" s="1"/>
  <c r="J2066" i="1" a="1"/>
  <c r="J2066" i="1" s="1"/>
  <c r="K2066" i="1" s="1"/>
  <c r="J2067" i="1" a="1"/>
  <c r="J2067" i="1" s="1"/>
  <c r="K2067" i="1" s="1"/>
  <c r="J2068" i="1" a="1"/>
  <c r="J2068" i="1" s="1"/>
  <c r="K2068" i="1" s="1"/>
  <c r="J2069" i="1" a="1"/>
  <c r="J2069" i="1" s="1"/>
  <c r="J2070" i="1" a="1"/>
  <c r="J2070" i="1" s="1"/>
  <c r="K2070" i="1" s="1"/>
  <c r="J2071" i="1" a="1"/>
  <c r="J2071" i="1" s="1"/>
  <c r="K2071" i="1" s="1"/>
  <c r="J2072" i="1" a="1"/>
  <c r="J2072" i="1" s="1"/>
  <c r="K2072" i="1" s="1"/>
  <c r="J2073" i="1" a="1"/>
  <c r="J2073" i="1" s="1"/>
  <c r="K2073" i="1" s="1"/>
  <c r="J2074" i="1" a="1"/>
  <c r="J2074" i="1" s="1"/>
  <c r="K2074" i="1" s="1"/>
  <c r="J2075" i="1" a="1"/>
  <c r="J2075" i="1" s="1"/>
  <c r="K2075" i="1" s="1"/>
  <c r="J2076" i="1" a="1"/>
  <c r="J2076" i="1" s="1"/>
  <c r="K2076" i="1" s="1"/>
  <c r="J2077" i="1" a="1"/>
  <c r="J2077" i="1" s="1"/>
  <c r="K2077" i="1" s="1"/>
  <c r="J2078" i="1" a="1"/>
  <c r="J2078" i="1" s="1"/>
  <c r="K2078" i="1" s="1"/>
  <c r="J2079" i="1" a="1"/>
  <c r="J2079" i="1" s="1"/>
  <c r="K2079" i="1" s="1"/>
  <c r="J2080" i="1" a="1"/>
  <c r="J2080" i="1" s="1"/>
  <c r="J2081" i="1" a="1"/>
  <c r="J2081" i="1" s="1"/>
  <c r="K2081" i="1" s="1"/>
  <c r="J2082" i="1" a="1"/>
  <c r="J2082" i="1" s="1"/>
  <c r="J2083" i="1" a="1"/>
  <c r="J2083" i="1" s="1"/>
  <c r="K2083" i="1" s="1"/>
  <c r="J2084" i="1" a="1"/>
  <c r="J2084" i="1" s="1"/>
  <c r="J2085" i="1" a="1"/>
  <c r="J2085" i="1" s="1"/>
  <c r="K2085" i="1" s="1"/>
  <c r="J2086" i="1" a="1"/>
  <c r="J2086" i="1" s="1"/>
  <c r="J2087" i="1" a="1"/>
  <c r="J2087" i="1" s="1"/>
  <c r="K2087" i="1" s="1"/>
  <c r="J2088" i="1" a="1"/>
  <c r="J2088" i="1" s="1"/>
  <c r="K2088" i="1" s="1"/>
  <c r="J2089" i="1" a="1"/>
  <c r="J2089" i="1" s="1"/>
  <c r="J2090" i="1" a="1"/>
  <c r="J2090" i="1" s="1"/>
  <c r="K2090" i="1" s="1"/>
  <c r="J2091" i="1" a="1"/>
  <c r="J2091" i="1" s="1"/>
  <c r="K2091" i="1" s="1"/>
  <c r="J2092" i="1" a="1"/>
  <c r="J2092" i="1" s="1"/>
  <c r="K2092" i="1" s="1"/>
  <c r="J2093" i="1" a="1"/>
  <c r="J2093" i="1" s="1"/>
  <c r="K2093" i="1" s="1"/>
  <c r="J2094" i="1" a="1"/>
  <c r="J2094" i="1" s="1"/>
  <c r="K2094" i="1" s="1"/>
  <c r="J2095" i="1" a="1"/>
  <c r="J2095" i="1" s="1"/>
  <c r="K2095" i="1" s="1"/>
  <c r="J2096" i="1" a="1"/>
  <c r="J2096" i="1" s="1"/>
  <c r="K2096" i="1" s="1"/>
  <c r="J2097" i="1" a="1"/>
  <c r="J2097" i="1" s="1"/>
  <c r="K2097" i="1" s="1"/>
  <c r="J2098" i="1" a="1"/>
  <c r="J2098" i="1" s="1"/>
  <c r="K2098" i="1" s="1"/>
  <c r="J2099" i="1" a="1"/>
  <c r="J2099" i="1" s="1"/>
  <c r="K2099" i="1" s="1"/>
  <c r="J2100" i="1" a="1"/>
  <c r="J2100" i="1" s="1"/>
  <c r="K2100" i="1" s="1"/>
  <c r="J2101" i="1" a="1"/>
  <c r="J2101" i="1" s="1"/>
  <c r="K2101" i="1" s="1"/>
  <c r="J2102" i="1" a="1"/>
  <c r="J2102" i="1" s="1"/>
  <c r="K2102" i="1" s="1"/>
  <c r="J2103" i="1" a="1"/>
  <c r="J2103" i="1" s="1"/>
  <c r="K2103" i="1" s="1"/>
  <c r="J2104" i="1" a="1"/>
  <c r="J2104" i="1" s="1"/>
  <c r="K2104" i="1" s="1"/>
  <c r="J2105" i="1" a="1"/>
  <c r="J2105" i="1" s="1"/>
  <c r="K2105" i="1" s="1"/>
  <c r="J2106" i="1" a="1"/>
  <c r="J2106" i="1" s="1"/>
  <c r="K2106" i="1" s="1"/>
  <c r="J2107" i="1" a="1"/>
  <c r="J2107" i="1" s="1"/>
  <c r="K2107" i="1" s="1"/>
  <c r="J2108" i="1" a="1"/>
  <c r="J2108" i="1" s="1"/>
  <c r="K2108" i="1" s="1"/>
  <c r="J2109" i="1" a="1"/>
  <c r="J2109" i="1" s="1"/>
  <c r="K2109" i="1" s="1"/>
  <c r="J2110" i="1" a="1"/>
  <c r="J2110" i="1" s="1"/>
  <c r="J2111" i="1" a="1"/>
  <c r="J2111" i="1" s="1"/>
  <c r="K2111" i="1" s="1"/>
  <c r="J2112" i="1" a="1"/>
  <c r="J2112" i="1" s="1"/>
  <c r="K2112" i="1" s="1"/>
  <c r="J2113" i="1" a="1"/>
  <c r="J2113" i="1" s="1"/>
  <c r="K2113" i="1" s="1"/>
  <c r="J2114" i="1" a="1"/>
  <c r="J2114" i="1" s="1"/>
  <c r="J2115" i="1" a="1"/>
  <c r="J2115" i="1" s="1"/>
  <c r="K2115" i="1" s="1"/>
  <c r="J2116" i="1" a="1"/>
  <c r="J2116" i="1" s="1"/>
  <c r="K2116" i="1" s="1"/>
  <c r="J2117" i="1" a="1"/>
  <c r="J2117" i="1" s="1"/>
  <c r="K2117" i="1" s="1"/>
  <c r="J2118" i="1" a="1"/>
  <c r="J2118" i="1" s="1"/>
  <c r="K2118" i="1" s="1"/>
  <c r="J2119" i="1" a="1"/>
  <c r="J2119" i="1" s="1"/>
  <c r="K2119" i="1" s="1"/>
  <c r="J2120" i="1" a="1"/>
  <c r="J2120" i="1" s="1"/>
  <c r="K2120" i="1" s="1"/>
  <c r="J2121" i="1" a="1"/>
  <c r="J2121" i="1" s="1"/>
  <c r="J2122" i="1" a="1"/>
  <c r="J2122" i="1" s="1"/>
  <c r="J2123" i="1" a="1"/>
  <c r="J2123" i="1" s="1"/>
  <c r="K2123" i="1" s="1"/>
  <c r="J2124" i="1" a="1"/>
  <c r="J2124" i="1" s="1"/>
  <c r="K2124" i="1" s="1"/>
  <c r="J2125" i="1" a="1"/>
  <c r="J2125" i="1" s="1"/>
  <c r="K2125" i="1" s="1"/>
  <c r="J2126" i="1" a="1"/>
  <c r="J2126" i="1" s="1"/>
  <c r="K2126" i="1" s="1"/>
  <c r="J2127" i="1" a="1"/>
  <c r="J2127" i="1" s="1"/>
  <c r="K2127" i="1" s="1"/>
  <c r="J2128" i="1" a="1"/>
  <c r="J2128" i="1" s="1"/>
  <c r="K2128" i="1" s="1"/>
  <c r="J2129" i="1" a="1"/>
  <c r="J2129" i="1" s="1"/>
  <c r="K2129" i="1" s="1"/>
  <c r="J2130" i="1" a="1"/>
  <c r="J2130" i="1" s="1"/>
  <c r="J2131" i="1" a="1"/>
  <c r="J2131" i="1" s="1"/>
  <c r="K2131" i="1" s="1"/>
  <c r="J2132" i="1" a="1"/>
  <c r="J2132" i="1" s="1"/>
  <c r="K2132" i="1" s="1"/>
  <c r="J2133" i="1" a="1"/>
  <c r="J2133" i="1" s="1"/>
  <c r="J2134" i="1" a="1"/>
  <c r="J2134" i="1" s="1"/>
  <c r="K2134" i="1" s="1"/>
  <c r="J2135" i="1" a="1"/>
  <c r="J2135" i="1" s="1"/>
  <c r="J2136" i="1" a="1"/>
  <c r="J2136" i="1" s="1"/>
  <c r="J2137" i="1" a="1"/>
  <c r="J2137" i="1" s="1"/>
  <c r="K2137" i="1" s="1"/>
  <c r="J2138" i="1" a="1"/>
  <c r="J2138" i="1" s="1"/>
  <c r="K2138" i="1" s="1"/>
  <c r="J2139" i="1" a="1"/>
  <c r="J2139" i="1" s="1"/>
  <c r="K2139" i="1" s="1"/>
  <c r="J2140" i="1" a="1"/>
  <c r="J2140" i="1" s="1"/>
  <c r="K2140" i="1" s="1"/>
  <c r="J2141" i="1" a="1"/>
  <c r="J2141" i="1" s="1"/>
  <c r="K2141" i="1" s="1"/>
  <c r="J2142" i="1" a="1"/>
  <c r="J2142" i="1" s="1"/>
  <c r="K2142" i="1" s="1"/>
  <c r="J2143" i="1" a="1"/>
  <c r="J2143" i="1" s="1"/>
  <c r="K2143" i="1" s="1"/>
  <c r="J2144" i="1" a="1"/>
  <c r="J2144" i="1" s="1"/>
  <c r="K2144" i="1" s="1"/>
  <c r="J2145" i="1" a="1"/>
  <c r="J2145" i="1" s="1"/>
  <c r="K2145" i="1" s="1"/>
  <c r="J2146" i="1" a="1"/>
  <c r="J2146" i="1" s="1"/>
  <c r="K2146" i="1" s="1"/>
  <c r="J2147" i="1" a="1"/>
  <c r="J2147" i="1" s="1"/>
  <c r="K2147" i="1" s="1"/>
  <c r="J2148" i="1" a="1"/>
  <c r="J2148" i="1" s="1"/>
  <c r="K2148" i="1" s="1"/>
  <c r="J2149" i="1" a="1"/>
  <c r="J2149" i="1" s="1"/>
  <c r="J2150" i="1" a="1"/>
  <c r="J2150" i="1" s="1"/>
  <c r="K2150" i="1" s="1"/>
  <c r="J2151" i="1" a="1"/>
  <c r="J2151" i="1" s="1"/>
  <c r="K2151" i="1" s="1"/>
  <c r="J2152" i="1" a="1"/>
  <c r="J2152" i="1" s="1"/>
  <c r="J2153" i="1" a="1"/>
  <c r="J2153" i="1" s="1"/>
  <c r="K2153" i="1" s="1"/>
  <c r="J2154" i="1" a="1"/>
  <c r="J2154" i="1" s="1"/>
  <c r="J2155" i="1" a="1"/>
  <c r="J2155" i="1" s="1"/>
  <c r="K2155" i="1" s="1"/>
  <c r="J2156" i="1" a="1"/>
  <c r="J2156" i="1" s="1"/>
  <c r="J2157" i="1" a="1"/>
  <c r="J2157" i="1" s="1"/>
  <c r="J2158" i="1" a="1"/>
  <c r="J2158" i="1" s="1"/>
  <c r="K2158" i="1" s="1"/>
  <c r="J2159" i="1" a="1"/>
  <c r="J2159" i="1" s="1"/>
  <c r="K2159" i="1" s="1"/>
  <c r="J2160" i="1" a="1"/>
  <c r="J2160" i="1" s="1"/>
  <c r="K2160" i="1" s="1"/>
  <c r="J2161" i="1" a="1"/>
  <c r="J2161" i="1" s="1"/>
  <c r="K2161" i="1" s="1"/>
  <c r="J2162" i="1" a="1"/>
  <c r="J2162" i="1" s="1"/>
  <c r="J2163" i="1" a="1"/>
  <c r="J2163" i="1" s="1"/>
  <c r="K2163" i="1" s="1"/>
  <c r="J2164" i="1" a="1"/>
  <c r="J2164" i="1" s="1"/>
  <c r="K2164" i="1" s="1"/>
  <c r="J2165" i="1" a="1"/>
  <c r="J2165" i="1" s="1"/>
  <c r="J2166" i="1" a="1"/>
  <c r="J2166" i="1" s="1"/>
  <c r="K2166" i="1" s="1"/>
  <c r="J2167" i="1" a="1"/>
  <c r="J2167" i="1" s="1"/>
  <c r="J2168" i="1" a="1"/>
  <c r="J2168" i="1" s="1"/>
  <c r="J2169" i="1" a="1"/>
  <c r="J2169" i="1" s="1"/>
  <c r="K2169" i="1" s="1"/>
  <c r="J2170" i="1" a="1"/>
  <c r="J2170" i="1" s="1"/>
  <c r="J2171" i="1" a="1"/>
  <c r="J2171" i="1" s="1"/>
  <c r="K2171" i="1" s="1"/>
  <c r="J2172" i="1" a="1"/>
  <c r="J2172" i="1" s="1"/>
  <c r="K2172" i="1" s="1"/>
  <c r="J2173" i="1" a="1"/>
  <c r="J2173" i="1" s="1"/>
  <c r="K2173" i="1" s="1"/>
  <c r="J2174" i="1" a="1"/>
  <c r="J2174" i="1" s="1"/>
  <c r="J2175" i="1" a="1"/>
  <c r="J2175" i="1" s="1"/>
  <c r="K2175" i="1" s="1"/>
  <c r="J2176" i="1" a="1"/>
  <c r="J2176" i="1" s="1"/>
  <c r="J2177" i="1" a="1"/>
  <c r="J2177" i="1" s="1"/>
  <c r="K2177" i="1" s="1"/>
  <c r="J2178" i="1" a="1"/>
  <c r="J2178" i="1" s="1"/>
  <c r="K2178" i="1" s="1"/>
  <c r="J2179" i="1" a="1"/>
  <c r="J2179" i="1" s="1"/>
  <c r="K2179" i="1" s="1"/>
  <c r="J2180" i="1" a="1"/>
  <c r="J2180" i="1" s="1"/>
  <c r="K2180" i="1" s="1"/>
  <c r="J2181" i="1" a="1"/>
  <c r="J2181" i="1" s="1"/>
  <c r="K2181" i="1" s="1"/>
  <c r="J2182" i="1" a="1"/>
  <c r="J2182" i="1" s="1"/>
  <c r="J2183" i="1" a="1"/>
  <c r="J2183" i="1" s="1"/>
  <c r="K2183" i="1" s="1"/>
  <c r="J2184" i="1" a="1"/>
  <c r="J2184" i="1" s="1"/>
  <c r="K2184" i="1" s="1"/>
  <c r="J2185" i="1" a="1"/>
  <c r="J2185" i="1" s="1"/>
  <c r="J2186" i="1" a="1"/>
  <c r="J2186" i="1" s="1"/>
  <c r="K2186" i="1" s="1"/>
  <c r="J2187" i="1" a="1"/>
  <c r="J2187" i="1" s="1"/>
  <c r="K2187" i="1" s="1"/>
  <c r="J2188" i="1" a="1"/>
  <c r="J2188" i="1" s="1"/>
  <c r="K2188" i="1" s="1"/>
  <c r="J2189" i="1" a="1"/>
  <c r="J2189" i="1" s="1"/>
  <c r="K2189" i="1" s="1"/>
  <c r="J2190" i="1" a="1"/>
  <c r="J2190" i="1" s="1"/>
  <c r="K2190" i="1" s="1"/>
  <c r="J2191" i="1" a="1"/>
  <c r="J2191" i="1" s="1"/>
  <c r="K2191" i="1" s="1"/>
  <c r="J2192" i="1" a="1"/>
  <c r="J2192" i="1" s="1"/>
  <c r="K2192" i="1" s="1"/>
  <c r="J2193" i="1" a="1"/>
  <c r="J2193" i="1" s="1"/>
  <c r="K2193" i="1" s="1"/>
  <c r="J2194" i="1" a="1"/>
  <c r="J2194" i="1" s="1"/>
  <c r="K2194" i="1" s="1"/>
  <c r="J2195" i="1" a="1"/>
  <c r="J2195" i="1" s="1"/>
  <c r="K2195" i="1" s="1"/>
  <c r="J2196" i="1" a="1"/>
  <c r="J2196" i="1" s="1"/>
  <c r="K2196" i="1" s="1"/>
  <c r="J2197" i="1" a="1"/>
  <c r="J2197" i="1" s="1"/>
  <c r="K2197" i="1" s="1"/>
  <c r="J2198" i="1" a="1"/>
  <c r="J2198" i="1" s="1"/>
  <c r="K2198" i="1" s="1"/>
  <c r="J2199" i="1" a="1"/>
  <c r="J2199" i="1" s="1"/>
  <c r="K2199" i="1" s="1"/>
  <c r="J2200" i="1" a="1"/>
  <c r="J2200" i="1" s="1"/>
  <c r="K2200" i="1" s="1"/>
  <c r="J2201" i="1" a="1"/>
  <c r="J2201" i="1" s="1"/>
  <c r="J2202" i="1" a="1"/>
  <c r="J2202" i="1" s="1"/>
  <c r="K2202" i="1" s="1"/>
  <c r="J2203" i="1" a="1"/>
  <c r="J2203" i="1" s="1"/>
  <c r="K2203" i="1" s="1"/>
  <c r="J2204" i="1" a="1"/>
  <c r="J2204" i="1" s="1"/>
  <c r="K2204" i="1" s="1"/>
  <c r="J2205" i="1" a="1"/>
  <c r="J2205" i="1" s="1"/>
  <c r="K2205" i="1" s="1"/>
  <c r="J2206" i="1" a="1"/>
  <c r="J2206" i="1" s="1"/>
  <c r="K2206" i="1" s="1"/>
  <c r="J2207" i="1" a="1"/>
  <c r="J2207" i="1" s="1"/>
  <c r="K2207" i="1" s="1"/>
  <c r="J2208" i="1" a="1"/>
  <c r="J2208" i="1" s="1"/>
  <c r="K2208" i="1" s="1"/>
  <c r="J2209" i="1" a="1"/>
  <c r="J2209" i="1" s="1"/>
  <c r="K2209" i="1" s="1"/>
  <c r="J2210" i="1" a="1"/>
  <c r="J2210" i="1" s="1"/>
  <c r="K2210" i="1" s="1"/>
  <c r="J2211" i="1" a="1"/>
  <c r="J2211" i="1" s="1"/>
  <c r="K2211" i="1" s="1"/>
  <c r="J2212" i="1" a="1"/>
  <c r="J2212" i="1" s="1"/>
  <c r="K2212" i="1" s="1"/>
  <c r="J2213" i="1" a="1"/>
  <c r="J2213" i="1" s="1"/>
  <c r="J2214" i="1" a="1"/>
  <c r="J2214" i="1" s="1"/>
  <c r="K2214" i="1" s="1"/>
  <c r="J2215" i="1" a="1"/>
  <c r="J2215" i="1" s="1"/>
  <c r="K2215" i="1" s="1"/>
  <c r="J2216" i="1" a="1"/>
  <c r="J2216" i="1" s="1"/>
  <c r="K2216" i="1" s="1"/>
  <c r="J2217" i="1" a="1"/>
  <c r="J2217" i="1" s="1"/>
  <c r="J2218" i="1" a="1"/>
  <c r="J2218" i="1" s="1"/>
  <c r="J2219" i="1" a="1"/>
  <c r="J2219" i="1" s="1"/>
  <c r="K2219" i="1" s="1"/>
  <c r="J2220" i="1" a="1"/>
  <c r="J2220" i="1" s="1"/>
  <c r="K2220" i="1" s="1"/>
  <c r="J2221" i="1" a="1"/>
  <c r="J2221" i="1" s="1"/>
  <c r="K2221" i="1" s="1"/>
  <c r="J2222" i="1" a="1"/>
  <c r="J2222" i="1" s="1"/>
  <c r="K2222" i="1" s="1"/>
  <c r="J2223" i="1" a="1"/>
  <c r="J2223" i="1" s="1"/>
  <c r="J2224" i="1" a="1"/>
  <c r="J2224" i="1" s="1"/>
  <c r="J2225" i="1" a="1"/>
  <c r="J2225" i="1" s="1"/>
  <c r="J2226" i="1" a="1"/>
  <c r="J2226" i="1" s="1"/>
  <c r="K2226" i="1" s="1"/>
  <c r="J2227" i="1" a="1"/>
  <c r="J2227" i="1" s="1"/>
  <c r="K2227" i="1" s="1"/>
  <c r="J2228" i="1" a="1"/>
  <c r="J2228" i="1" s="1"/>
  <c r="K2228" i="1" s="1"/>
  <c r="J2229" i="1" a="1"/>
  <c r="J2229" i="1" s="1"/>
  <c r="K2229" i="1" s="1"/>
  <c r="J2230" i="1" a="1"/>
  <c r="J2230" i="1" s="1"/>
  <c r="K2230" i="1" s="1"/>
  <c r="J2231" i="1" a="1"/>
  <c r="J2231" i="1" s="1"/>
  <c r="K2231" i="1" s="1"/>
  <c r="J2232" i="1" a="1"/>
  <c r="J2232" i="1" s="1"/>
  <c r="K2232" i="1" s="1"/>
  <c r="J2233" i="1" a="1"/>
  <c r="J2233" i="1" s="1"/>
  <c r="K2233" i="1" s="1"/>
  <c r="J2234" i="1" a="1"/>
  <c r="J2234" i="1" s="1"/>
  <c r="K2234" i="1" s="1"/>
  <c r="J2235" i="1" a="1"/>
  <c r="J2235" i="1" s="1"/>
  <c r="K2235" i="1" s="1"/>
  <c r="J2236" i="1" a="1"/>
  <c r="J2236" i="1" s="1"/>
  <c r="J2237" i="1" a="1"/>
  <c r="J2237" i="1" s="1"/>
  <c r="K2237" i="1" s="1"/>
  <c r="J2238" i="1" a="1"/>
  <c r="J2238" i="1" s="1"/>
  <c r="K2238" i="1" s="1"/>
  <c r="J2239" i="1" a="1"/>
  <c r="J2239" i="1" s="1"/>
  <c r="K2239" i="1" s="1"/>
  <c r="J2240" i="1" a="1"/>
  <c r="J2240" i="1" s="1"/>
  <c r="J2241" i="1" a="1"/>
  <c r="J2241" i="1" s="1"/>
  <c r="K2241" i="1" s="1"/>
  <c r="J2242" i="1" a="1"/>
  <c r="J2242" i="1" s="1"/>
  <c r="K2242" i="1" s="1"/>
  <c r="J2243" i="1" a="1"/>
  <c r="J2243" i="1" s="1"/>
  <c r="K2243" i="1" s="1"/>
  <c r="J2244" i="1" a="1"/>
  <c r="J2244" i="1" s="1"/>
  <c r="K2244" i="1" s="1"/>
  <c r="J2245" i="1" a="1"/>
  <c r="J2245" i="1" s="1"/>
  <c r="K2245" i="1" s="1"/>
  <c r="J2246" i="1" a="1"/>
  <c r="J2246" i="1" s="1"/>
  <c r="J2247" i="1" a="1"/>
  <c r="J2247" i="1" s="1"/>
  <c r="J2248" i="1" a="1"/>
  <c r="J2248" i="1" s="1"/>
  <c r="K2248" i="1" s="1"/>
  <c r="J2249" i="1" a="1"/>
  <c r="J2249" i="1" s="1"/>
  <c r="K2249" i="1" s="1"/>
  <c r="J2250" i="1" a="1"/>
  <c r="J2250" i="1" s="1"/>
  <c r="K2250" i="1" s="1"/>
  <c r="J2251" i="1" a="1"/>
  <c r="J2251" i="1" s="1"/>
  <c r="K2251" i="1" s="1"/>
  <c r="J2252" i="1" a="1"/>
  <c r="J2252" i="1" s="1"/>
  <c r="K2252" i="1" s="1"/>
  <c r="J2253" i="1" a="1"/>
  <c r="J2253" i="1" s="1"/>
  <c r="K2253" i="1" s="1"/>
  <c r="J2254" i="1" a="1"/>
  <c r="J2254" i="1" s="1"/>
  <c r="K2254" i="1" s="1"/>
  <c r="J2255" i="1" a="1"/>
  <c r="J2255" i="1" s="1"/>
  <c r="K2255" i="1" s="1"/>
  <c r="J2256" i="1" a="1"/>
  <c r="J2256" i="1" s="1"/>
  <c r="K2256" i="1" s="1"/>
  <c r="J2257" i="1" a="1"/>
  <c r="J2257" i="1" s="1"/>
  <c r="K2257" i="1" s="1"/>
  <c r="J2258" i="1" a="1"/>
  <c r="J2258" i="1" s="1"/>
  <c r="K2258" i="1" s="1"/>
  <c r="J2259" i="1" a="1"/>
  <c r="J2259" i="1" s="1"/>
  <c r="K2259" i="1" s="1"/>
  <c r="J2260" i="1" a="1"/>
  <c r="J2260" i="1" s="1"/>
  <c r="K2260" i="1" s="1"/>
  <c r="J2261" i="1" a="1"/>
  <c r="J2261" i="1" s="1"/>
  <c r="J2262" i="1" a="1"/>
  <c r="J2262" i="1" s="1"/>
  <c r="K2262" i="1" s="1"/>
  <c r="J2263" i="1" a="1"/>
  <c r="J2263" i="1" s="1"/>
  <c r="J2264" i="1" a="1"/>
  <c r="J2264" i="1" s="1"/>
  <c r="K2264" i="1" s="1"/>
  <c r="J2265" i="1" a="1"/>
  <c r="J2265" i="1" s="1"/>
  <c r="K2265" i="1" s="1"/>
  <c r="J2266" i="1" a="1"/>
  <c r="J2266" i="1" s="1"/>
  <c r="K2266" i="1" s="1"/>
  <c r="J2267" i="1" a="1"/>
  <c r="J2267" i="1" s="1"/>
  <c r="K2267" i="1" s="1"/>
  <c r="J2268" i="1" a="1"/>
  <c r="J2268" i="1" s="1"/>
  <c r="K2268" i="1" s="1"/>
  <c r="J2269" i="1" a="1"/>
  <c r="J2269" i="1" s="1"/>
  <c r="K2269" i="1" s="1"/>
  <c r="J2270" i="1" a="1"/>
  <c r="J2270" i="1" s="1"/>
  <c r="J2271" i="1" a="1"/>
  <c r="J2271" i="1" s="1"/>
  <c r="K2271" i="1" s="1"/>
  <c r="J2272" i="1" a="1"/>
  <c r="J2272" i="1" s="1"/>
  <c r="K2272" i="1" s="1"/>
  <c r="J2273" i="1" a="1"/>
  <c r="J2273" i="1" s="1"/>
  <c r="K2273" i="1" s="1"/>
  <c r="J2274" i="1" a="1"/>
  <c r="J2274" i="1" s="1"/>
  <c r="K2274" i="1" s="1"/>
  <c r="J2275" i="1" a="1"/>
  <c r="J2275" i="1" s="1"/>
  <c r="K2275" i="1" s="1"/>
  <c r="J2276" i="1" a="1"/>
  <c r="J2276" i="1" s="1"/>
  <c r="K2276" i="1" s="1"/>
  <c r="J2277" i="1" a="1"/>
  <c r="J2277" i="1" s="1"/>
  <c r="K2277" i="1" s="1"/>
  <c r="J2278" i="1" a="1"/>
  <c r="J2278" i="1" s="1"/>
  <c r="K2278" i="1" s="1"/>
  <c r="J2279" i="1" a="1"/>
  <c r="J2279" i="1" s="1"/>
  <c r="K2279" i="1" s="1"/>
  <c r="J2280" i="1" a="1"/>
  <c r="J2280" i="1" s="1"/>
  <c r="J2281" i="1" a="1"/>
  <c r="J2281" i="1" s="1"/>
  <c r="K2281" i="1" s="1"/>
  <c r="J2282" i="1" a="1"/>
  <c r="J2282" i="1" s="1"/>
  <c r="K2282" i="1" s="1"/>
  <c r="J2283" i="1" a="1"/>
  <c r="J2283" i="1" s="1"/>
  <c r="K2283" i="1" s="1"/>
  <c r="J2284" i="1" a="1"/>
  <c r="J2284" i="1" s="1"/>
  <c r="K2284" i="1" s="1"/>
  <c r="J2285" i="1" a="1"/>
  <c r="J2285" i="1" s="1"/>
  <c r="K2285" i="1" s="1"/>
  <c r="J2286" i="1" a="1"/>
  <c r="J2286" i="1" s="1"/>
  <c r="K2286" i="1" s="1"/>
  <c r="J2287" i="1" a="1"/>
  <c r="J2287" i="1" s="1"/>
  <c r="K2287" i="1" s="1"/>
  <c r="J2288" i="1" a="1"/>
  <c r="J2288" i="1" s="1"/>
  <c r="K2288" i="1" s="1"/>
  <c r="J2289" i="1" a="1"/>
  <c r="J2289" i="1" s="1"/>
  <c r="K2289" i="1" s="1"/>
  <c r="J2290" i="1" a="1"/>
  <c r="J2290" i="1" s="1"/>
  <c r="J2291" i="1" a="1"/>
  <c r="J2291" i="1" s="1"/>
  <c r="K2291" i="1" s="1"/>
  <c r="J2292" i="1" a="1"/>
  <c r="J2292" i="1" s="1"/>
  <c r="J2293" i="1" a="1"/>
  <c r="J2293" i="1" s="1"/>
  <c r="K2293" i="1" s="1"/>
  <c r="J2294" i="1" a="1"/>
  <c r="J2294" i="1" s="1"/>
  <c r="K2294" i="1" s="1"/>
  <c r="J2295" i="1" a="1"/>
  <c r="J2295" i="1" s="1"/>
  <c r="K2295" i="1" s="1"/>
  <c r="J2296" i="1" a="1"/>
  <c r="J2296" i="1" s="1"/>
  <c r="K2296" i="1" s="1"/>
  <c r="J2297" i="1" a="1"/>
  <c r="J2297" i="1" s="1"/>
  <c r="K2297" i="1" s="1"/>
  <c r="J2298" i="1" a="1"/>
  <c r="J2298" i="1" s="1"/>
  <c r="K2298" i="1" s="1"/>
  <c r="J2299" i="1" a="1"/>
  <c r="J2299" i="1" s="1"/>
  <c r="J2300" i="1" a="1"/>
  <c r="J2300" i="1" s="1"/>
  <c r="K2300" i="1" s="1"/>
  <c r="J2301" i="1" a="1"/>
  <c r="J2301" i="1" s="1"/>
  <c r="J2302" i="1" a="1"/>
  <c r="J2302" i="1" s="1"/>
  <c r="K2302" i="1" s="1"/>
  <c r="J2303" i="1" a="1"/>
  <c r="J2303" i="1" s="1"/>
  <c r="K2303" i="1" s="1"/>
  <c r="J2304" i="1" a="1"/>
  <c r="J2304" i="1" s="1"/>
  <c r="K2304" i="1" s="1"/>
  <c r="J2305" i="1" a="1"/>
  <c r="J2305" i="1" s="1"/>
  <c r="K2305" i="1" s="1"/>
  <c r="J2306" i="1" a="1"/>
  <c r="J2306" i="1" s="1"/>
  <c r="J2307" i="1" a="1"/>
  <c r="J2307" i="1" s="1"/>
  <c r="K2307" i="1" s="1"/>
  <c r="J2308" i="1" a="1"/>
  <c r="J2308" i="1" s="1"/>
  <c r="K2308" i="1" s="1"/>
  <c r="J2309" i="1" a="1"/>
  <c r="J2309" i="1" s="1"/>
  <c r="K2309" i="1" s="1"/>
  <c r="J2310" i="1" a="1"/>
  <c r="J2310" i="1" s="1"/>
  <c r="K2310" i="1" s="1"/>
  <c r="J2311" i="1" a="1"/>
  <c r="J2311" i="1" s="1"/>
  <c r="K2311" i="1" s="1"/>
  <c r="J2312" i="1" a="1"/>
  <c r="J2312" i="1" s="1"/>
  <c r="K2312" i="1" s="1"/>
  <c r="J2313" i="1" a="1"/>
  <c r="J2313" i="1" s="1"/>
  <c r="K2313" i="1" s="1"/>
  <c r="J2314" i="1" a="1"/>
  <c r="J2314" i="1" s="1"/>
  <c r="J2315" i="1" a="1"/>
  <c r="J2315" i="1" s="1"/>
  <c r="K2315" i="1" s="1"/>
  <c r="J2316" i="1" a="1"/>
  <c r="J2316" i="1" s="1"/>
  <c r="K2316" i="1" s="1"/>
  <c r="J2317" i="1" a="1"/>
  <c r="J2317" i="1" s="1"/>
  <c r="K2317" i="1" s="1"/>
  <c r="J2318" i="1" a="1"/>
  <c r="J2318" i="1" s="1"/>
  <c r="K2318" i="1" s="1"/>
  <c r="J2319" i="1" a="1"/>
  <c r="J2319" i="1" s="1"/>
  <c r="J2320" i="1" a="1"/>
  <c r="J2320" i="1" s="1"/>
  <c r="K2320" i="1" s="1"/>
  <c r="J2321" i="1" a="1"/>
  <c r="J2321" i="1" s="1"/>
  <c r="K2321" i="1" s="1"/>
  <c r="J2322" i="1" a="1"/>
  <c r="J2322" i="1" s="1"/>
  <c r="J2323" i="1" a="1"/>
  <c r="J2323" i="1" s="1"/>
  <c r="K2323" i="1" s="1"/>
  <c r="J2324" i="1" a="1"/>
  <c r="J2324" i="1" s="1"/>
  <c r="K2324" i="1" s="1"/>
  <c r="J2325" i="1" a="1"/>
  <c r="J2325" i="1" s="1"/>
  <c r="K2325" i="1" s="1"/>
  <c r="J2326" i="1" a="1"/>
  <c r="J2326" i="1" s="1"/>
  <c r="K2326" i="1" s="1"/>
  <c r="J2327" i="1" a="1"/>
  <c r="J2327" i="1" s="1"/>
  <c r="K2327" i="1" s="1"/>
  <c r="J2328" i="1" a="1"/>
  <c r="J2328" i="1" s="1"/>
  <c r="K2328" i="1" s="1"/>
  <c r="J2329" i="1" a="1"/>
  <c r="J2329" i="1" s="1"/>
  <c r="K2329" i="1" s="1"/>
  <c r="J2330" i="1" a="1"/>
  <c r="J2330" i="1" s="1"/>
  <c r="J2331" i="1" a="1"/>
  <c r="J2331" i="1" s="1"/>
  <c r="K2331" i="1" s="1"/>
  <c r="J2332" i="1" a="1"/>
  <c r="J2332" i="1" s="1"/>
  <c r="K2332" i="1" s="1"/>
  <c r="J2333" i="1" a="1"/>
  <c r="J2333" i="1" s="1"/>
  <c r="K2333" i="1" s="1"/>
  <c r="J2334" i="1" a="1"/>
  <c r="J2334" i="1" s="1"/>
  <c r="K2334" i="1" s="1"/>
  <c r="J2335" i="1" a="1"/>
  <c r="J2335" i="1" s="1"/>
  <c r="K2335" i="1" s="1"/>
  <c r="J2336" i="1" a="1"/>
  <c r="J2336" i="1" s="1"/>
  <c r="K2336" i="1" s="1"/>
  <c r="J2337" i="1" a="1"/>
  <c r="J2337" i="1" s="1"/>
  <c r="K2337" i="1" s="1"/>
  <c r="J2338" i="1" a="1"/>
  <c r="J2338" i="1" s="1"/>
  <c r="K2338" i="1" s="1"/>
  <c r="J2339" i="1" a="1"/>
  <c r="J2339" i="1" s="1"/>
  <c r="K2339" i="1" s="1"/>
  <c r="J2340" i="1" a="1"/>
  <c r="J2340" i="1" s="1"/>
  <c r="J2341" i="1" a="1"/>
  <c r="J2341" i="1" s="1"/>
  <c r="K2341" i="1" s="1"/>
  <c r="J2342" i="1" a="1"/>
  <c r="J2342" i="1" s="1"/>
  <c r="K2342" i="1" s="1"/>
  <c r="J2343" i="1" a="1"/>
  <c r="J2343" i="1" s="1"/>
  <c r="K2343" i="1" s="1"/>
  <c r="J2344" i="1" a="1"/>
  <c r="J2344" i="1" s="1"/>
  <c r="K2344" i="1" s="1"/>
  <c r="J2345" i="1" a="1"/>
  <c r="J2345" i="1" s="1"/>
  <c r="K2345" i="1" s="1"/>
  <c r="J2346" i="1" a="1"/>
  <c r="J2346" i="1" s="1"/>
  <c r="J2347" i="1" a="1"/>
  <c r="J2347" i="1" s="1"/>
  <c r="K2347" i="1" s="1"/>
  <c r="J2348" i="1" a="1"/>
  <c r="J2348" i="1" s="1"/>
  <c r="K2348" i="1" s="1"/>
  <c r="J2349" i="1" a="1"/>
  <c r="J2349" i="1" s="1"/>
  <c r="K2349" i="1" s="1"/>
  <c r="J2350" i="1" a="1"/>
  <c r="J2350" i="1" s="1"/>
  <c r="K2350" i="1" s="1"/>
  <c r="J2351" i="1" a="1"/>
  <c r="J2351" i="1" s="1"/>
  <c r="K2351" i="1" s="1"/>
  <c r="J2352" i="1" a="1"/>
  <c r="J2352" i="1" s="1"/>
  <c r="J2353" i="1" a="1"/>
  <c r="J2353" i="1" s="1"/>
  <c r="K2353" i="1" s="1"/>
  <c r="J2354" i="1" a="1"/>
  <c r="J2354" i="1" s="1"/>
  <c r="J2355" i="1" a="1"/>
  <c r="J2355" i="1" s="1"/>
  <c r="K2355" i="1" s="1"/>
  <c r="J2356" i="1" a="1"/>
  <c r="J2356" i="1" s="1"/>
  <c r="K2356" i="1" s="1"/>
  <c r="J2357" i="1" a="1"/>
  <c r="J2357" i="1" s="1"/>
  <c r="K2357" i="1" s="1"/>
  <c r="J2358" i="1" a="1"/>
  <c r="J2358" i="1" s="1"/>
  <c r="K2358" i="1" s="1"/>
  <c r="J2359" i="1" a="1"/>
  <c r="J2359" i="1" s="1"/>
  <c r="K2359" i="1" s="1"/>
  <c r="J2360" i="1" a="1"/>
  <c r="J2360" i="1" s="1"/>
  <c r="K2360" i="1" s="1"/>
  <c r="J2361" i="1" a="1"/>
  <c r="J2361" i="1" s="1"/>
  <c r="K2361" i="1" s="1"/>
  <c r="J2362" i="1" a="1"/>
  <c r="J2362" i="1" s="1"/>
  <c r="K2362" i="1" s="1"/>
  <c r="J2363" i="1" a="1"/>
  <c r="J2363" i="1" s="1"/>
  <c r="K2363" i="1" s="1"/>
  <c r="J2364" i="1" a="1"/>
  <c r="J2364" i="1" s="1"/>
  <c r="K2364" i="1" s="1"/>
  <c r="J2365" i="1" a="1"/>
  <c r="J2365" i="1" s="1"/>
  <c r="K2365" i="1" s="1"/>
  <c r="J2366" i="1" a="1"/>
  <c r="J2366" i="1" s="1"/>
  <c r="K2366" i="1" s="1"/>
  <c r="J2367" i="1" a="1"/>
  <c r="J2367" i="1" s="1"/>
  <c r="K2367" i="1" s="1"/>
  <c r="J2368" i="1" a="1"/>
  <c r="J2368" i="1" s="1"/>
  <c r="K2368" i="1" s="1"/>
  <c r="J2369" i="1" a="1"/>
  <c r="J2369" i="1" s="1"/>
  <c r="K2369" i="1" s="1"/>
  <c r="J2370" i="1" a="1"/>
  <c r="J2370" i="1" s="1"/>
  <c r="J2371" i="1" a="1"/>
  <c r="J2371" i="1" s="1"/>
  <c r="K2371" i="1" s="1"/>
  <c r="J2372" i="1" a="1"/>
  <c r="J2372" i="1" s="1"/>
  <c r="J2373" i="1" a="1"/>
  <c r="J2373" i="1" s="1"/>
  <c r="J2374" i="1" a="1"/>
  <c r="J2374" i="1" s="1"/>
  <c r="K2374" i="1" s="1"/>
  <c r="J2375" i="1" a="1"/>
  <c r="J2375" i="1" s="1"/>
  <c r="K2375" i="1" s="1"/>
  <c r="J2376" i="1" a="1"/>
  <c r="J2376" i="1" s="1"/>
  <c r="K2376" i="1" s="1"/>
  <c r="J2377" i="1" a="1"/>
  <c r="J2377" i="1" s="1"/>
  <c r="K2377" i="1" s="1"/>
  <c r="J2378" i="1" a="1"/>
  <c r="J2378" i="1" s="1"/>
  <c r="K2378" i="1" s="1"/>
  <c r="J2379" i="1" a="1"/>
  <c r="J2379" i="1" s="1"/>
  <c r="K2379" i="1" s="1"/>
  <c r="J2380" i="1" a="1"/>
  <c r="J2380" i="1" s="1"/>
  <c r="K2380" i="1" s="1"/>
  <c r="J2381" i="1" a="1"/>
  <c r="J2381" i="1" s="1"/>
  <c r="K2381" i="1" s="1"/>
  <c r="J2382" i="1" a="1"/>
  <c r="J2382" i="1" s="1"/>
  <c r="K2382" i="1" s="1"/>
  <c r="J2383" i="1" a="1"/>
  <c r="J2383" i="1" s="1"/>
  <c r="J2384" i="1" a="1"/>
  <c r="J2384" i="1" s="1"/>
  <c r="J2385" i="1" a="1"/>
  <c r="J2385" i="1" s="1"/>
  <c r="J2386" i="1" a="1"/>
  <c r="J2386" i="1" s="1"/>
  <c r="K2386" i="1" s="1"/>
  <c r="J2387" i="1" a="1"/>
  <c r="J2387" i="1" s="1"/>
  <c r="K2387" i="1" s="1"/>
  <c r="J2388" i="1" a="1"/>
  <c r="J2388" i="1" s="1"/>
  <c r="K2388" i="1" s="1"/>
  <c r="J2389" i="1" a="1"/>
  <c r="J2389" i="1" s="1"/>
  <c r="K2389" i="1" s="1"/>
  <c r="J2390" i="1" a="1"/>
  <c r="J2390" i="1" s="1"/>
  <c r="J2391" i="1" a="1"/>
  <c r="J2391" i="1" s="1"/>
  <c r="K2391" i="1" s="1"/>
  <c r="J2392" i="1" a="1"/>
  <c r="J2392" i="1" s="1"/>
  <c r="J2393" i="1" a="1"/>
  <c r="J2393" i="1" s="1"/>
  <c r="K2393" i="1" s="1"/>
  <c r="J2394" i="1" a="1"/>
  <c r="J2394" i="1" s="1"/>
  <c r="K2394" i="1" s="1"/>
  <c r="J2395" i="1" a="1"/>
  <c r="J2395" i="1" s="1"/>
  <c r="K2395" i="1" s="1"/>
  <c r="J2396" i="1" a="1"/>
  <c r="J2396" i="1" s="1"/>
  <c r="K2396" i="1" s="1"/>
  <c r="J2397" i="1" a="1"/>
  <c r="J2397" i="1" s="1"/>
  <c r="K2397" i="1" s="1"/>
  <c r="J2398" i="1" a="1"/>
  <c r="J2398" i="1" s="1"/>
  <c r="K2398" i="1" s="1"/>
  <c r="J2399" i="1" a="1"/>
  <c r="J2399" i="1" s="1"/>
  <c r="J2400" i="1" a="1"/>
  <c r="J2400" i="1" s="1"/>
  <c r="J2401" i="1" a="1"/>
  <c r="J2401" i="1" s="1"/>
  <c r="K2401" i="1" s="1"/>
  <c r="J2402" i="1" a="1"/>
  <c r="J2402" i="1" s="1"/>
  <c r="J2403" i="1" a="1"/>
  <c r="J2403" i="1" s="1"/>
  <c r="K2403" i="1" s="1"/>
  <c r="J2404" i="1" a="1"/>
  <c r="J2404" i="1" s="1"/>
  <c r="J2405" i="1" a="1"/>
  <c r="J2405" i="1" s="1"/>
  <c r="K2405" i="1" s="1"/>
  <c r="J2406" i="1" a="1"/>
  <c r="J2406" i="1" s="1"/>
  <c r="K2406" i="1" s="1"/>
  <c r="J2407" i="1" a="1"/>
  <c r="J2407" i="1" s="1"/>
  <c r="K2407" i="1" s="1"/>
  <c r="J2408" i="1" a="1"/>
  <c r="J2408" i="1" s="1"/>
  <c r="K2408" i="1" s="1"/>
  <c r="J2409" i="1" a="1"/>
  <c r="J2409" i="1" s="1"/>
  <c r="K2409" i="1" s="1"/>
  <c r="J2410" i="1" a="1"/>
  <c r="J2410" i="1" s="1"/>
  <c r="K2410" i="1" s="1"/>
  <c r="J2411" i="1" a="1"/>
  <c r="J2411" i="1" s="1"/>
  <c r="K2411" i="1" s="1"/>
  <c r="J2412" i="1" a="1"/>
  <c r="J2412" i="1" s="1"/>
  <c r="K2412" i="1" s="1"/>
  <c r="J2413" i="1" a="1"/>
  <c r="J2413" i="1" s="1"/>
  <c r="J2414" i="1" a="1"/>
  <c r="J2414" i="1" s="1"/>
  <c r="J2415" i="1" a="1"/>
  <c r="J2415" i="1" s="1"/>
  <c r="J2416" i="1" a="1"/>
  <c r="J2416" i="1" s="1"/>
  <c r="K2416" i="1" s="1"/>
  <c r="J2417" i="1" a="1"/>
  <c r="J2417" i="1" s="1"/>
  <c r="K2417" i="1" s="1"/>
  <c r="J2418" i="1" a="1"/>
  <c r="J2418" i="1" s="1"/>
  <c r="J2419" i="1" a="1"/>
  <c r="J2419" i="1" s="1"/>
  <c r="K2419" i="1" s="1"/>
  <c r="J2420" i="1" a="1"/>
  <c r="J2420" i="1" s="1"/>
  <c r="K2420" i="1" s="1"/>
  <c r="J2421" i="1" a="1"/>
  <c r="J2421" i="1" s="1"/>
  <c r="J2422" i="1" a="1"/>
  <c r="J2422" i="1" s="1"/>
  <c r="K2422" i="1" s="1"/>
  <c r="J2423" i="1" a="1"/>
  <c r="J2423" i="1" s="1"/>
  <c r="K2423" i="1" s="1"/>
  <c r="J2424" i="1" a="1"/>
  <c r="J2424" i="1" s="1"/>
  <c r="K2424" i="1" s="1"/>
  <c r="J2425" i="1" a="1"/>
  <c r="J2425" i="1" s="1"/>
  <c r="K2425" i="1" s="1"/>
  <c r="J2426" i="1" a="1"/>
  <c r="J2426" i="1" s="1"/>
  <c r="K2426" i="1" s="1"/>
  <c r="J2427" i="1" a="1"/>
  <c r="J2427" i="1" s="1"/>
  <c r="K2427" i="1" s="1"/>
  <c r="J2428" i="1" a="1"/>
  <c r="J2428" i="1" s="1"/>
  <c r="K2428" i="1" s="1"/>
  <c r="J2429" i="1" a="1"/>
  <c r="J2429" i="1" s="1"/>
  <c r="K2429" i="1" s="1"/>
  <c r="J2430" i="1" a="1"/>
  <c r="J2430" i="1" s="1"/>
  <c r="K2430" i="1" s="1"/>
  <c r="J2431" i="1" a="1"/>
  <c r="J2431" i="1" s="1"/>
  <c r="K2431" i="1" s="1"/>
  <c r="J2432" i="1" a="1"/>
  <c r="J2432" i="1" s="1"/>
  <c r="K2432" i="1" s="1"/>
  <c r="J2433" i="1" a="1"/>
  <c r="J2433" i="1" s="1"/>
  <c r="K2433" i="1" s="1"/>
  <c r="J2434" i="1" a="1"/>
  <c r="J2434" i="1" s="1"/>
  <c r="K2434" i="1" s="1"/>
  <c r="J2435" i="1" a="1"/>
  <c r="J2435" i="1" s="1"/>
  <c r="K2435" i="1" s="1"/>
  <c r="J2436" i="1" a="1"/>
  <c r="J2436" i="1" s="1"/>
  <c r="K2436" i="1" s="1"/>
  <c r="J2437" i="1" a="1"/>
  <c r="J2437" i="1" s="1"/>
  <c r="K2437" i="1" s="1"/>
  <c r="J2438" i="1" a="1"/>
  <c r="J2438" i="1" s="1"/>
  <c r="K2438" i="1" s="1"/>
  <c r="J2439" i="1" a="1"/>
  <c r="J2439" i="1" s="1"/>
  <c r="K2439" i="1" s="1"/>
  <c r="J2440" i="1" a="1"/>
  <c r="J2440" i="1" s="1"/>
  <c r="K2440" i="1" s="1"/>
  <c r="J2441" i="1" a="1"/>
  <c r="J2441" i="1" s="1"/>
  <c r="K2441" i="1" s="1"/>
  <c r="J2442" i="1" a="1"/>
  <c r="J2442" i="1" s="1"/>
  <c r="J2443" i="1" a="1"/>
  <c r="J2443" i="1" s="1"/>
  <c r="K2443" i="1" s="1"/>
  <c r="J2444" i="1" a="1"/>
  <c r="J2444" i="1" s="1"/>
  <c r="K2444" i="1" s="1"/>
  <c r="J2445" i="1" a="1"/>
  <c r="J2445" i="1" s="1"/>
  <c r="K2445" i="1" s="1"/>
  <c r="J2446" i="1" a="1"/>
  <c r="J2446" i="1" s="1"/>
  <c r="K2446" i="1" s="1"/>
  <c r="J2447" i="1" a="1"/>
  <c r="J2447" i="1" s="1"/>
  <c r="K2447" i="1" s="1"/>
  <c r="J2448" i="1" a="1"/>
  <c r="J2448" i="1" s="1"/>
  <c r="K2448" i="1" s="1"/>
  <c r="J2449" i="1" a="1"/>
  <c r="J2449" i="1" s="1"/>
  <c r="K2449" i="1" s="1"/>
  <c r="J2450" i="1" a="1"/>
  <c r="J2450" i="1" s="1"/>
  <c r="K2450" i="1" s="1"/>
  <c r="J2451" i="1" a="1"/>
  <c r="J2451" i="1" s="1"/>
  <c r="K2451" i="1" s="1"/>
  <c r="J2452" i="1" a="1"/>
  <c r="J2452" i="1" s="1"/>
  <c r="K2452" i="1" s="1"/>
  <c r="J2453" i="1" a="1"/>
  <c r="J2453" i="1" s="1"/>
  <c r="K2453" i="1" s="1"/>
  <c r="J2454" i="1" a="1"/>
  <c r="J2454" i="1" s="1"/>
  <c r="K2454" i="1" s="1"/>
  <c r="J2455" i="1" a="1"/>
  <c r="J2455" i="1" s="1"/>
  <c r="K2455" i="1" s="1"/>
  <c r="J2456" i="1" a="1"/>
  <c r="J2456" i="1" s="1"/>
  <c r="K2456" i="1" s="1"/>
  <c r="J2457" i="1" a="1"/>
  <c r="J2457" i="1" s="1"/>
  <c r="K2457" i="1" s="1"/>
  <c r="J2458" i="1" a="1"/>
  <c r="J2458" i="1" s="1"/>
  <c r="K2458" i="1" s="1"/>
  <c r="J2459" i="1" a="1"/>
  <c r="J2459" i="1" s="1"/>
  <c r="K2459" i="1" s="1"/>
  <c r="J2460" i="1" a="1"/>
  <c r="J2460" i="1" s="1"/>
  <c r="J2461" i="1" a="1"/>
  <c r="J2461" i="1" s="1"/>
  <c r="K2461" i="1" s="1"/>
  <c r="J2462" i="1" a="1"/>
  <c r="J2462" i="1" s="1"/>
  <c r="K2462" i="1" s="1"/>
  <c r="J2463" i="1" a="1"/>
  <c r="J2463" i="1" s="1"/>
  <c r="K2463" i="1" s="1"/>
  <c r="J2464" i="1" a="1"/>
  <c r="J2464" i="1" s="1"/>
  <c r="K2464" i="1" s="1"/>
  <c r="J2465" i="1" a="1"/>
  <c r="J2465" i="1" s="1"/>
  <c r="K2465" i="1" s="1"/>
  <c r="J2466" i="1" a="1"/>
  <c r="J2466" i="1" s="1"/>
  <c r="K2466" i="1" s="1"/>
  <c r="J2467" i="1" a="1"/>
  <c r="J2467" i="1" s="1"/>
  <c r="K2467" i="1" s="1"/>
  <c r="J2468" i="1" a="1"/>
  <c r="J2468" i="1" s="1"/>
  <c r="K2468" i="1" s="1"/>
  <c r="J2469" i="1" a="1"/>
  <c r="J2469" i="1" s="1"/>
  <c r="J2470" i="1" a="1"/>
  <c r="J2470" i="1" s="1"/>
  <c r="K2470" i="1" s="1"/>
  <c r="J2471" i="1" a="1"/>
  <c r="J2471" i="1" s="1"/>
  <c r="K2471" i="1" s="1"/>
  <c r="J2472" i="1" a="1"/>
  <c r="J2472" i="1" s="1"/>
  <c r="K2472" i="1" s="1"/>
  <c r="J2473" i="1" a="1"/>
  <c r="J2473" i="1" s="1"/>
  <c r="K2473" i="1" s="1"/>
  <c r="J2474" i="1" a="1"/>
  <c r="J2474" i="1" s="1"/>
  <c r="K2474" i="1" s="1"/>
  <c r="J2475" i="1" a="1"/>
  <c r="J2475" i="1" s="1"/>
  <c r="K2475" i="1" s="1"/>
  <c r="J2476" i="1" a="1"/>
  <c r="J2476" i="1" s="1"/>
  <c r="K2476" i="1" s="1"/>
  <c r="J2477" i="1" a="1"/>
  <c r="J2477" i="1" s="1"/>
  <c r="J2478" i="1" a="1"/>
  <c r="J2478" i="1" s="1"/>
  <c r="K2478" i="1" s="1"/>
  <c r="J2479" i="1" a="1"/>
  <c r="J2479" i="1" s="1"/>
  <c r="J2480" i="1" a="1"/>
  <c r="J2480" i="1" s="1"/>
  <c r="K2480" i="1" s="1"/>
  <c r="J2481" i="1" a="1"/>
  <c r="J2481" i="1" s="1"/>
  <c r="K2481" i="1" s="1"/>
  <c r="J2482" i="1" a="1"/>
  <c r="J2482" i="1" s="1"/>
  <c r="K2482" i="1" s="1"/>
  <c r="J2483" i="1" a="1"/>
  <c r="J2483" i="1" s="1"/>
  <c r="K2483" i="1" s="1"/>
  <c r="J2484" i="1" a="1"/>
  <c r="J2484" i="1" s="1"/>
  <c r="K2484" i="1" s="1"/>
  <c r="J2485" i="1" a="1"/>
  <c r="J2485" i="1" s="1"/>
  <c r="K2485" i="1" s="1"/>
  <c r="J2486" i="1" a="1"/>
  <c r="J2486" i="1" s="1"/>
  <c r="K2486" i="1" s="1"/>
  <c r="J2487" i="1" a="1"/>
  <c r="J2487" i="1" s="1"/>
  <c r="K2487" i="1" s="1"/>
  <c r="J2488" i="1" a="1"/>
  <c r="J2488" i="1" s="1"/>
  <c r="K2488" i="1" s="1"/>
  <c r="J2489" i="1" a="1"/>
  <c r="J2489" i="1" s="1"/>
  <c r="K2489" i="1" s="1"/>
  <c r="J2490" i="1" a="1"/>
  <c r="J2490" i="1" s="1"/>
  <c r="K2490" i="1" s="1"/>
  <c r="J2491" i="1" a="1"/>
  <c r="J2491" i="1" s="1"/>
  <c r="K2491" i="1" s="1"/>
  <c r="J2492" i="1" a="1"/>
  <c r="J2492" i="1" s="1"/>
  <c r="K2492" i="1" s="1"/>
  <c r="J2493" i="1" a="1"/>
  <c r="J2493" i="1" s="1"/>
  <c r="K2493" i="1" s="1"/>
  <c r="J2494" i="1" a="1"/>
  <c r="J2494" i="1" s="1"/>
  <c r="K2494" i="1" s="1"/>
  <c r="J2495" i="1" a="1"/>
  <c r="J2495" i="1" s="1"/>
  <c r="K2495" i="1" s="1"/>
  <c r="J2496" i="1" a="1"/>
  <c r="J2496" i="1" s="1"/>
  <c r="J2497" i="1" a="1"/>
  <c r="J2497" i="1" s="1"/>
  <c r="J2498" i="1" a="1"/>
  <c r="J2498" i="1" s="1"/>
  <c r="J2499" i="1" a="1"/>
  <c r="J2499" i="1" s="1"/>
  <c r="K2499" i="1" s="1"/>
  <c r="J2500" i="1" a="1"/>
  <c r="J2500" i="1" s="1"/>
  <c r="J2501" i="1" a="1"/>
  <c r="J2501" i="1" s="1"/>
  <c r="K2501" i="1" s="1"/>
  <c r="J2502" i="1" a="1"/>
  <c r="J2502" i="1" s="1"/>
  <c r="K2502" i="1" s="1"/>
  <c r="J2503" i="1" a="1"/>
  <c r="J2503" i="1" s="1"/>
  <c r="K2503" i="1" s="1"/>
  <c r="J2504" i="1" a="1"/>
  <c r="J2504" i="1" s="1"/>
  <c r="K2504" i="1" s="1"/>
  <c r="J2505" i="1" a="1"/>
  <c r="J2505" i="1" s="1"/>
  <c r="K2505" i="1" s="1"/>
  <c r="J2506" i="1" a="1"/>
  <c r="J2506" i="1" s="1"/>
  <c r="K2506" i="1" s="1"/>
  <c r="J2507" i="1" a="1"/>
  <c r="J2507" i="1" s="1"/>
  <c r="K2507" i="1" s="1"/>
  <c r="J2508" i="1" a="1"/>
  <c r="J2508" i="1" s="1"/>
  <c r="K2508" i="1" s="1"/>
  <c r="J2509" i="1" a="1"/>
  <c r="J2509" i="1" s="1"/>
  <c r="K2509" i="1" s="1"/>
  <c r="J2510" i="1" a="1"/>
  <c r="J2510" i="1" s="1"/>
  <c r="K2510" i="1" s="1"/>
  <c r="J2511" i="1" a="1"/>
  <c r="J2511" i="1" s="1"/>
  <c r="K2511" i="1" s="1"/>
  <c r="J2512" i="1" a="1"/>
  <c r="J2512" i="1" s="1"/>
  <c r="K2512" i="1" s="1"/>
  <c r="J2513" i="1" a="1"/>
  <c r="J2513" i="1" s="1"/>
  <c r="K2513" i="1" s="1"/>
  <c r="J2514" i="1" a="1"/>
  <c r="J2514" i="1" s="1"/>
  <c r="K2514" i="1" s="1"/>
  <c r="J2515" i="1" a="1"/>
  <c r="J2515" i="1" s="1"/>
  <c r="J2516" i="1" a="1"/>
  <c r="J2516" i="1" s="1"/>
  <c r="J2517" i="1" a="1"/>
  <c r="J2517" i="1" s="1"/>
  <c r="K2517" i="1" s="1"/>
  <c r="J2518" i="1" a="1"/>
  <c r="J2518" i="1" s="1"/>
  <c r="J2519" i="1" a="1"/>
  <c r="J2519" i="1" s="1"/>
  <c r="K2519" i="1" s="1"/>
  <c r="J2520" i="1" a="1"/>
  <c r="J2520" i="1" s="1"/>
  <c r="K2520" i="1" s="1"/>
  <c r="J2521" i="1" a="1"/>
  <c r="J2521" i="1" s="1"/>
  <c r="K2521" i="1" s="1"/>
  <c r="J2522" i="1" a="1"/>
  <c r="J2522" i="1" s="1"/>
  <c r="J2523" i="1" a="1"/>
  <c r="J2523" i="1" s="1"/>
  <c r="K2523" i="1" s="1"/>
  <c r="J2524" i="1" a="1"/>
  <c r="J2524" i="1" s="1"/>
  <c r="J2525" i="1" a="1"/>
  <c r="J2525" i="1" s="1"/>
  <c r="K2525" i="1" s="1"/>
  <c r="J2526" i="1" a="1"/>
  <c r="J2526" i="1" s="1"/>
  <c r="K2526" i="1" s="1"/>
  <c r="J2527" i="1" a="1"/>
  <c r="J2527" i="1" s="1"/>
  <c r="K2527" i="1" s="1"/>
  <c r="J2528" i="1" a="1"/>
  <c r="J2528" i="1" s="1"/>
  <c r="K2528" i="1" s="1"/>
  <c r="J2529" i="1" a="1"/>
  <c r="J2529" i="1" s="1"/>
  <c r="K2529" i="1" s="1"/>
  <c r="J2530" i="1" a="1"/>
  <c r="J2530" i="1" s="1"/>
  <c r="J2531" i="1" a="1"/>
  <c r="J2531" i="1" s="1"/>
  <c r="J2532" i="1" a="1"/>
  <c r="J2532" i="1" s="1"/>
  <c r="K2532" i="1" s="1"/>
  <c r="J2533" i="1" a="1"/>
  <c r="J2533" i="1" s="1"/>
  <c r="K2533" i="1" s="1"/>
  <c r="J2534" i="1" a="1"/>
  <c r="J2534" i="1" s="1"/>
  <c r="K2534" i="1" s="1"/>
  <c r="J2535" i="1" a="1"/>
  <c r="J2535" i="1" s="1"/>
  <c r="K2535" i="1" s="1"/>
  <c r="J2536" i="1" a="1"/>
  <c r="J2536" i="1" s="1"/>
  <c r="K2536" i="1" s="1"/>
  <c r="J2537" i="1" a="1"/>
  <c r="J2537" i="1" s="1"/>
  <c r="K2537" i="1" s="1"/>
  <c r="J2538" i="1" a="1"/>
  <c r="J2538" i="1" s="1"/>
  <c r="K2538" i="1" s="1"/>
  <c r="J2539" i="1" a="1"/>
  <c r="J2539" i="1" s="1"/>
  <c r="J2540" i="1" a="1"/>
  <c r="J2540" i="1" s="1"/>
  <c r="K2540" i="1" s="1"/>
  <c r="J2541" i="1" a="1"/>
  <c r="J2541" i="1" s="1"/>
  <c r="K2541" i="1" s="1"/>
  <c r="J2542" i="1" a="1"/>
  <c r="J2542" i="1" s="1"/>
  <c r="J2543" i="1" a="1"/>
  <c r="J2543" i="1" s="1"/>
  <c r="K2543" i="1" s="1"/>
  <c r="J2544" i="1" a="1"/>
  <c r="J2544" i="1" s="1"/>
  <c r="J2545" i="1" a="1"/>
  <c r="J2545" i="1" s="1"/>
  <c r="K2545" i="1" s="1"/>
  <c r="J2546" i="1" a="1"/>
  <c r="J2546" i="1" s="1"/>
  <c r="K2546" i="1" s="1"/>
  <c r="J2547" i="1" a="1"/>
  <c r="J2547" i="1" s="1"/>
  <c r="K2547" i="1" s="1"/>
  <c r="J2548" i="1" a="1"/>
  <c r="J2548" i="1" s="1"/>
  <c r="K2548" i="1" s="1"/>
  <c r="J2549" i="1" a="1"/>
  <c r="J2549" i="1" s="1"/>
  <c r="K2549" i="1" s="1"/>
  <c r="J2550" i="1" a="1"/>
  <c r="J2550" i="1" s="1"/>
  <c r="J2551" i="1" a="1"/>
  <c r="J2551" i="1" s="1"/>
  <c r="K2551" i="1" s="1"/>
  <c r="J2552" i="1" a="1"/>
  <c r="J2552" i="1" s="1"/>
  <c r="K2552" i="1" s="1"/>
  <c r="J2553" i="1" a="1"/>
  <c r="J2553" i="1" s="1"/>
  <c r="K2553" i="1" s="1"/>
  <c r="J2554" i="1" a="1"/>
  <c r="J2554" i="1" s="1"/>
  <c r="K2554" i="1" s="1"/>
  <c r="J2555" i="1" a="1"/>
  <c r="J2555" i="1" s="1"/>
  <c r="K2555" i="1" s="1"/>
  <c r="J2556" i="1" a="1"/>
  <c r="J2556" i="1" s="1"/>
  <c r="K2556" i="1" s="1"/>
  <c r="J2557" i="1" a="1"/>
  <c r="J2557" i="1" s="1"/>
  <c r="K2557" i="1" s="1"/>
  <c r="J2558" i="1" a="1"/>
  <c r="J2558" i="1" s="1"/>
  <c r="K2558" i="1" s="1"/>
  <c r="J2559" i="1" a="1"/>
  <c r="J2559" i="1" s="1"/>
  <c r="K2559" i="1" s="1"/>
  <c r="J2560" i="1" a="1"/>
  <c r="J2560" i="1" s="1"/>
  <c r="K2560" i="1" s="1"/>
  <c r="J2561" i="1" a="1"/>
  <c r="J2561" i="1" s="1"/>
  <c r="K2561" i="1" s="1"/>
  <c r="J2562" i="1" a="1"/>
  <c r="J2562" i="1" s="1"/>
  <c r="J2563" i="1" a="1"/>
  <c r="J2563" i="1" s="1"/>
  <c r="J2564" i="1" a="1"/>
  <c r="J2564" i="1" s="1"/>
  <c r="K2564" i="1" s="1"/>
  <c r="J2565" i="1" a="1"/>
  <c r="J2565" i="1" s="1"/>
  <c r="K2565" i="1" s="1"/>
  <c r="J2566" i="1" a="1"/>
  <c r="J2566" i="1" s="1"/>
  <c r="K2566" i="1" s="1"/>
  <c r="J2567" i="1" a="1"/>
  <c r="J2567" i="1" s="1"/>
  <c r="K2567" i="1" s="1"/>
  <c r="J2568" i="1" a="1"/>
  <c r="J2568" i="1" s="1"/>
  <c r="K2568" i="1" s="1"/>
  <c r="J2569" i="1" a="1"/>
  <c r="J2569" i="1" s="1"/>
  <c r="K2569" i="1" s="1"/>
  <c r="J2570" i="1" a="1"/>
  <c r="J2570" i="1" s="1"/>
  <c r="K2570" i="1" s="1"/>
  <c r="J2571" i="1" a="1"/>
  <c r="J2571" i="1" s="1"/>
  <c r="K2571" i="1" s="1"/>
  <c r="J2572" i="1" a="1"/>
  <c r="J2572" i="1" s="1"/>
  <c r="K2572" i="1" s="1"/>
  <c r="J2573" i="1" a="1"/>
  <c r="J2573" i="1" s="1"/>
  <c r="K2573" i="1" s="1"/>
  <c r="J2574" i="1" a="1"/>
  <c r="J2574" i="1" s="1"/>
  <c r="K2574" i="1" s="1"/>
  <c r="J2575" i="1" a="1"/>
  <c r="J2575" i="1" s="1"/>
  <c r="K2575" i="1" s="1"/>
  <c r="J2576" i="1" a="1"/>
  <c r="J2576" i="1" s="1"/>
  <c r="K2576" i="1" s="1"/>
  <c r="J2577" i="1" a="1"/>
  <c r="J2577" i="1" s="1"/>
  <c r="K2577" i="1" s="1"/>
  <c r="J2578" i="1" a="1"/>
  <c r="J2578" i="1" s="1"/>
  <c r="K2578" i="1" s="1"/>
  <c r="J2579" i="1" a="1"/>
  <c r="J2579" i="1" s="1"/>
  <c r="K2579" i="1" s="1"/>
  <c r="J2580" i="1" a="1"/>
  <c r="J2580" i="1" s="1"/>
  <c r="K2580" i="1" s="1"/>
  <c r="J2581" i="1" a="1"/>
  <c r="J2581" i="1" s="1"/>
  <c r="K2581" i="1" s="1"/>
  <c r="J2582" i="1" a="1"/>
  <c r="J2582" i="1" s="1"/>
  <c r="K2582" i="1" s="1"/>
  <c r="J2583" i="1" a="1"/>
  <c r="J2583" i="1" s="1"/>
  <c r="K2583" i="1" s="1"/>
  <c r="J2584" i="1" a="1"/>
  <c r="J2584" i="1" s="1"/>
  <c r="K2584" i="1" s="1"/>
  <c r="J2585" i="1" a="1"/>
  <c r="J2585" i="1" s="1"/>
  <c r="K2585" i="1" s="1"/>
  <c r="J2586" i="1" a="1"/>
  <c r="J2586" i="1" s="1"/>
  <c r="K2586" i="1" s="1"/>
  <c r="J2587" i="1" a="1"/>
  <c r="J2587" i="1" s="1"/>
  <c r="K2587" i="1" s="1"/>
  <c r="J2588" i="1" a="1"/>
  <c r="J2588" i="1" s="1"/>
  <c r="K2588" i="1" s="1"/>
  <c r="J2589" i="1" a="1"/>
  <c r="J2589" i="1" s="1"/>
  <c r="J2590" i="1" a="1"/>
  <c r="J2590" i="1" s="1"/>
  <c r="K2590" i="1" s="1"/>
  <c r="J2591" i="1" a="1"/>
  <c r="J2591" i="1" s="1"/>
  <c r="K2591" i="1" s="1"/>
  <c r="J2592" i="1" a="1"/>
  <c r="J2592" i="1" s="1"/>
  <c r="J2593" i="1" a="1"/>
  <c r="J2593" i="1" s="1"/>
  <c r="K2593" i="1" s="1"/>
  <c r="J2594" i="1" a="1"/>
  <c r="J2594" i="1" s="1"/>
  <c r="K2594" i="1" s="1"/>
  <c r="J2595" i="1" a="1"/>
  <c r="J2595" i="1" s="1"/>
  <c r="J2596" i="1" a="1"/>
  <c r="J2596" i="1" s="1"/>
  <c r="K2596" i="1" s="1"/>
  <c r="J2597" i="1" a="1"/>
  <c r="J2597" i="1" s="1"/>
  <c r="K2597" i="1" s="1"/>
  <c r="J2598" i="1" a="1"/>
  <c r="J2598" i="1" s="1"/>
  <c r="K2598" i="1" s="1"/>
  <c r="J2599" i="1" a="1"/>
  <c r="J2599" i="1" s="1"/>
  <c r="K2599" i="1" s="1"/>
  <c r="J2600" i="1" a="1"/>
  <c r="J2600" i="1" s="1"/>
  <c r="K2600" i="1" s="1"/>
  <c r="J2601" i="1" a="1"/>
  <c r="J2601" i="1" s="1"/>
  <c r="K2601" i="1" s="1"/>
  <c r="J2602" i="1" a="1"/>
  <c r="J2602" i="1" s="1"/>
  <c r="K2602" i="1" s="1"/>
  <c r="J2603" i="1" a="1"/>
  <c r="J2603" i="1" s="1"/>
  <c r="K2603" i="1" s="1"/>
  <c r="J2604" i="1" a="1"/>
  <c r="J2604" i="1" s="1"/>
  <c r="K2604" i="1" s="1"/>
  <c r="J2605" i="1" a="1"/>
  <c r="J2605" i="1" s="1"/>
  <c r="K2605" i="1" s="1"/>
  <c r="J2606" i="1" a="1"/>
  <c r="J2606" i="1" s="1"/>
  <c r="J2607" i="1" a="1"/>
  <c r="J2607" i="1" s="1"/>
  <c r="K2607" i="1" s="1"/>
  <c r="J2608" i="1" a="1"/>
  <c r="J2608" i="1" s="1"/>
  <c r="K2608" i="1" s="1"/>
  <c r="J2609" i="1" a="1"/>
  <c r="J2609" i="1" s="1"/>
  <c r="K2609" i="1" s="1"/>
  <c r="J2610" i="1" a="1"/>
  <c r="J2610" i="1" s="1"/>
  <c r="K2610" i="1" s="1"/>
  <c r="J2611" i="1" a="1"/>
  <c r="J2611" i="1" s="1"/>
  <c r="K2611" i="1" s="1"/>
  <c r="J2612" i="1" a="1"/>
  <c r="J2612" i="1" s="1"/>
  <c r="K2612" i="1" s="1"/>
  <c r="J2613" i="1" a="1"/>
  <c r="J2613" i="1" s="1"/>
  <c r="K2613" i="1" s="1"/>
  <c r="J2614" i="1" a="1"/>
  <c r="J2614" i="1" s="1"/>
  <c r="K2614" i="1" s="1"/>
  <c r="J2615" i="1" a="1"/>
  <c r="J2615" i="1" s="1"/>
  <c r="K2615" i="1" s="1"/>
  <c r="J2616" i="1" a="1"/>
  <c r="J2616" i="1" s="1"/>
  <c r="K2616" i="1" s="1"/>
  <c r="J2617" i="1" a="1"/>
  <c r="J2617" i="1" s="1"/>
  <c r="K2617" i="1" s="1"/>
  <c r="J2618" i="1" a="1"/>
  <c r="J2618" i="1" s="1"/>
  <c r="K2618" i="1" s="1"/>
  <c r="J2619" i="1" a="1"/>
  <c r="J2619" i="1" s="1"/>
  <c r="K2619" i="1" s="1"/>
  <c r="J2620" i="1" a="1"/>
  <c r="J2620" i="1" s="1"/>
  <c r="K2620" i="1" s="1"/>
  <c r="J2621" i="1" a="1"/>
  <c r="J2621" i="1" s="1"/>
  <c r="K2621" i="1" s="1"/>
  <c r="J2622" i="1" a="1"/>
  <c r="J2622" i="1" s="1"/>
  <c r="K2622" i="1" s="1"/>
  <c r="J2623" i="1" a="1"/>
  <c r="J2623" i="1" s="1"/>
  <c r="K2623" i="1" s="1"/>
  <c r="J2624" i="1" a="1"/>
  <c r="J2624" i="1" s="1"/>
  <c r="J2625" i="1" a="1"/>
  <c r="J2625" i="1" s="1"/>
  <c r="K2625" i="1" s="1"/>
  <c r="J2626" i="1" a="1"/>
  <c r="J2626" i="1" s="1"/>
  <c r="K2626" i="1" s="1"/>
  <c r="J2627" i="1" a="1"/>
  <c r="J2627" i="1" s="1"/>
  <c r="J2628" i="1" a="1"/>
  <c r="J2628" i="1" s="1"/>
  <c r="J2629" i="1" a="1"/>
  <c r="J2629" i="1" s="1"/>
  <c r="K2629" i="1" s="1"/>
  <c r="J2630" i="1" a="1"/>
  <c r="J2630" i="1" s="1"/>
  <c r="K2630" i="1" s="1"/>
  <c r="J2631" i="1" a="1"/>
  <c r="J2631" i="1" s="1"/>
  <c r="J2632" i="1" a="1"/>
  <c r="J2632" i="1" s="1"/>
  <c r="K2632" i="1" s="1"/>
  <c r="J2633" i="1" a="1"/>
  <c r="J2633" i="1" s="1"/>
  <c r="K2633" i="1" s="1"/>
  <c r="J2634" i="1" a="1"/>
  <c r="J2634" i="1" s="1"/>
  <c r="K2634" i="1" s="1"/>
  <c r="J2635" i="1" a="1"/>
  <c r="J2635" i="1" s="1"/>
  <c r="K2635" i="1" s="1"/>
  <c r="J2636" i="1" a="1"/>
  <c r="J2636" i="1" s="1"/>
  <c r="J2637" i="1" a="1"/>
  <c r="J2637" i="1" s="1"/>
  <c r="K2637" i="1" s="1"/>
  <c r="J2638" i="1" a="1"/>
  <c r="J2638" i="1" s="1"/>
  <c r="K2638" i="1" s="1"/>
  <c r="J2639" i="1" a="1"/>
  <c r="J2639" i="1" s="1"/>
  <c r="K2639" i="1" s="1"/>
  <c r="J2640" i="1" a="1"/>
  <c r="J2640" i="1" s="1"/>
  <c r="K2640" i="1" s="1"/>
  <c r="J2641" i="1" a="1"/>
  <c r="J2641" i="1" s="1"/>
  <c r="K2641" i="1" s="1"/>
  <c r="J2642" i="1" a="1"/>
  <c r="J2642" i="1" s="1"/>
  <c r="K2642" i="1" s="1"/>
  <c r="J2643" i="1" a="1"/>
  <c r="J2643" i="1" s="1"/>
  <c r="J2644" i="1" a="1"/>
  <c r="J2644" i="1" s="1"/>
  <c r="K2644" i="1" s="1"/>
  <c r="J2645" i="1" a="1"/>
  <c r="J2645" i="1" s="1"/>
  <c r="K2645" i="1" s="1"/>
  <c r="J2646" i="1" a="1"/>
  <c r="J2646" i="1" s="1"/>
  <c r="K2646" i="1" s="1"/>
  <c r="J2647" i="1" a="1"/>
  <c r="J2647" i="1" s="1"/>
  <c r="K2647" i="1" s="1"/>
  <c r="J2648" i="1" a="1"/>
  <c r="J2648" i="1" s="1"/>
  <c r="K2648" i="1" s="1"/>
  <c r="J2649" i="1" a="1"/>
  <c r="J2649" i="1" s="1"/>
  <c r="K2649" i="1" s="1"/>
  <c r="J2650" i="1" a="1"/>
  <c r="J2650" i="1" s="1"/>
  <c r="K2650" i="1" s="1"/>
  <c r="J2651" i="1" a="1"/>
  <c r="J2651" i="1" s="1"/>
  <c r="K2651" i="1" s="1"/>
  <c r="J2652" i="1" a="1"/>
  <c r="J2652" i="1" s="1"/>
  <c r="K2652" i="1" s="1"/>
  <c r="J2653" i="1" a="1"/>
  <c r="J2653" i="1" s="1"/>
  <c r="J2654" i="1" a="1"/>
  <c r="J2654" i="1" s="1"/>
  <c r="J2655" i="1" a="1"/>
  <c r="J2655" i="1" s="1"/>
  <c r="J2656" i="1" a="1"/>
  <c r="J2656" i="1" s="1"/>
  <c r="K2656" i="1" s="1"/>
  <c r="J2657" i="1" a="1"/>
  <c r="J2657" i="1" s="1"/>
  <c r="K2657" i="1" s="1"/>
  <c r="J2658" i="1" a="1"/>
  <c r="J2658" i="1" s="1"/>
  <c r="K2658" i="1" s="1"/>
  <c r="J2659" i="1" a="1"/>
  <c r="J2659" i="1" s="1"/>
  <c r="K2659" i="1" s="1"/>
  <c r="J2660" i="1" a="1"/>
  <c r="J2660" i="1" s="1"/>
  <c r="K2660" i="1" s="1"/>
  <c r="J2661" i="1" a="1"/>
  <c r="J2661" i="1" s="1"/>
  <c r="K2661" i="1" s="1"/>
  <c r="J2662" i="1" a="1"/>
  <c r="J2662" i="1" s="1"/>
  <c r="K2662" i="1" s="1"/>
  <c r="J2663" i="1" a="1"/>
  <c r="J2663" i="1" s="1"/>
  <c r="K2663" i="1" s="1"/>
  <c r="J2664" i="1" a="1"/>
  <c r="J2664" i="1" s="1"/>
  <c r="K2664" i="1" s="1"/>
  <c r="J2665" i="1" a="1"/>
  <c r="J2665" i="1" s="1"/>
  <c r="K2665" i="1" s="1"/>
  <c r="J2666" i="1" a="1"/>
  <c r="J2666" i="1" s="1"/>
  <c r="K2666" i="1" s="1"/>
  <c r="J2667" i="1" a="1"/>
  <c r="J2667" i="1" s="1"/>
  <c r="K2667" i="1" s="1"/>
  <c r="J2668" i="1" a="1"/>
  <c r="J2668" i="1" s="1"/>
  <c r="K2668" i="1" s="1"/>
  <c r="J2669" i="1" a="1"/>
  <c r="J2669" i="1" s="1"/>
  <c r="K2669" i="1" s="1"/>
  <c r="J2670" i="1" a="1"/>
  <c r="J2670" i="1" s="1"/>
  <c r="K2670" i="1" s="1"/>
  <c r="J2671" i="1" a="1"/>
  <c r="J2671" i="1" s="1"/>
  <c r="K2671" i="1" s="1"/>
  <c r="J2672" i="1" a="1"/>
  <c r="J2672" i="1" s="1"/>
  <c r="K2672" i="1" s="1"/>
  <c r="J2673" i="1" a="1"/>
  <c r="J2673" i="1" s="1"/>
  <c r="K2673" i="1" s="1"/>
  <c r="J2674" i="1" a="1"/>
  <c r="J2674" i="1" s="1"/>
  <c r="K2674" i="1" s="1"/>
  <c r="J2675" i="1" a="1"/>
  <c r="J2675" i="1" s="1"/>
  <c r="K2675" i="1" s="1"/>
  <c r="J2676" i="1" a="1"/>
  <c r="J2676" i="1" s="1"/>
  <c r="K2676" i="1" s="1"/>
  <c r="J2677" i="1" a="1"/>
  <c r="J2677" i="1" s="1"/>
  <c r="K2677" i="1" s="1"/>
  <c r="J2678" i="1" a="1"/>
  <c r="J2678" i="1" s="1"/>
  <c r="K2678" i="1" s="1"/>
  <c r="J2679" i="1" a="1"/>
  <c r="J2679" i="1" s="1"/>
  <c r="K2679" i="1" s="1"/>
  <c r="J2680" i="1" a="1"/>
  <c r="J2680" i="1" s="1"/>
  <c r="K2680" i="1" s="1"/>
  <c r="J2681" i="1" a="1"/>
  <c r="J2681" i="1" s="1"/>
  <c r="K2681" i="1" s="1"/>
  <c r="J2682" i="1" a="1"/>
  <c r="J2682" i="1" s="1"/>
  <c r="K2682" i="1" s="1"/>
  <c r="J2683" i="1" a="1"/>
  <c r="J2683" i="1" s="1"/>
  <c r="J2684" i="1" a="1"/>
  <c r="J2684" i="1" s="1"/>
  <c r="K2684" i="1" s="1"/>
  <c r="J2685" i="1" a="1"/>
  <c r="J2685" i="1" s="1"/>
  <c r="K2685" i="1" s="1"/>
  <c r="J2686" i="1" a="1"/>
  <c r="J2686" i="1" s="1"/>
  <c r="K2686" i="1" s="1"/>
  <c r="J2687" i="1" a="1"/>
  <c r="J2687" i="1" s="1"/>
  <c r="K2687" i="1" s="1"/>
  <c r="J2688" i="1" a="1"/>
  <c r="J2688" i="1" s="1"/>
  <c r="K2688" i="1" s="1"/>
  <c r="J2689" i="1" a="1"/>
  <c r="J2689" i="1" s="1"/>
  <c r="J2690" i="1" a="1"/>
  <c r="J2690" i="1" s="1"/>
  <c r="J2691" i="1" a="1"/>
  <c r="J2691" i="1" s="1"/>
  <c r="J2692" i="1" a="1"/>
  <c r="J2692" i="1" s="1"/>
  <c r="K2692" i="1" s="1"/>
  <c r="J2693" i="1" a="1"/>
  <c r="J2693" i="1" s="1"/>
  <c r="K2693" i="1" s="1"/>
  <c r="J2694" i="1" a="1"/>
  <c r="J2694" i="1" s="1"/>
  <c r="K2694" i="1" s="1"/>
  <c r="J2695" i="1" a="1"/>
  <c r="J2695" i="1" s="1"/>
  <c r="K2695" i="1" s="1"/>
  <c r="J2696" i="1" a="1"/>
  <c r="J2696" i="1" s="1"/>
  <c r="K2696" i="1" s="1"/>
  <c r="J2697" i="1" a="1"/>
  <c r="J2697" i="1" s="1"/>
  <c r="K2697" i="1" s="1"/>
  <c r="J2698" i="1" a="1"/>
  <c r="J2698" i="1" s="1"/>
  <c r="K2698" i="1" s="1"/>
  <c r="J2699" i="1" a="1"/>
  <c r="J2699" i="1" s="1"/>
  <c r="K2699" i="1" s="1"/>
  <c r="J2700" i="1" a="1"/>
  <c r="J2700" i="1" s="1"/>
  <c r="K2700" i="1" s="1"/>
  <c r="J2701" i="1" a="1"/>
  <c r="J2701" i="1" s="1"/>
  <c r="K2701" i="1" s="1"/>
  <c r="J2702" i="1" a="1"/>
  <c r="J2702" i="1" s="1"/>
  <c r="K2702" i="1" s="1"/>
  <c r="J2703" i="1" a="1"/>
  <c r="J2703" i="1" s="1"/>
  <c r="K2703" i="1" s="1"/>
  <c r="J2704" i="1" a="1"/>
  <c r="J2704" i="1" s="1"/>
  <c r="K2704" i="1" s="1"/>
  <c r="J2705" i="1" a="1"/>
  <c r="J2705" i="1" s="1"/>
  <c r="K2705" i="1" s="1"/>
  <c r="J2706" i="1" a="1"/>
  <c r="J2706" i="1" s="1"/>
  <c r="K2706" i="1" s="1"/>
  <c r="J2707" i="1" a="1"/>
  <c r="J2707" i="1" s="1"/>
  <c r="K2707" i="1" s="1"/>
  <c r="J2708" i="1" a="1"/>
  <c r="J2708" i="1" s="1"/>
  <c r="K2708" i="1" s="1"/>
  <c r="J2709" i="1" a="1"/>
  <c r="J2709" i="1" s="1"/>
  <c r="K2709" i="1" s="1"/>
  <c r="J2710" i="1" a="1"/>
  <c r="J2710" i="1" s="1"/>
  <c r="K2710" i="1" s="1"/>
  <c r="J2711" i="1" a="1"/>
  <c r="J2711" i="1" s="1"/>
  <c r="K2711" i="1" s="1"/>
  <c r="J2712" i="1" a="1"/>
  <c r="J2712" i="1" s="1"/>
  <c r="K2712" i="1" s="1"/>
  <c r="J2713" i="1" a="1"/>
  <c r="J2713" i="1" s="1"/>
  <c r="J2714" i="1" a="1"/>
  <c r="J2714" i="1" s="1"/>
  <c r="K2714" i="1" s="1"/>
  <c r="J2715" i="1" a="1"/>
  <c r="J2715" i="1" s="1"/>
  <c r="K2715" i="1" s="1"/>
  <c r="J2716" i="1" a="1"/>
  <c r="J2716" i="1" s="1"/>
  <c r="J2717" i="1" a="1"/>
  <c r="J2717" i="1" s="1"/>
  <c r="K2717" i="1" s="1"/>
  <c r="J2718" i="1" a="1"/>
  <c r="J2718" i="1" s="1"/>
  <c r="J2719" i="1" a="1"/>
  <c r="J2719" i="1" s="1"/>
  <c r="K2719" i="1" s="1"/>
  <c r="J2720" i="1" a="1"/>
  <c r="J2720" i="1" s="1"/>
  <c r="J2721" i="1" a="1"/>
  <c r="J2721" i="1" s="1"/>
  <c r="K2721" i="1" s="1"/>
  <c r="J2722" i="1" a="1"/>
  <c r="J2722" i="1" s="1"/>
  <c r="K2722" i="1" s="1"/>
  <c r="J2723" i="1" a="1"/>
  <c r="J2723" i="1" s="1"/>
  <c r="K2723" i="1" s="1"/>
  <c r="J2724" i="1" a="1"/>
  <c r="J2724" i="1" s="1"/>
  <c r="K2724" i="1" s="1"/>
  <c r="J2725" i="1" a="1"/>
  <c r="J2725" i="1" s="1"/>
  <c r="J2726" i="1" a="1"/>
  <c r="J2726" i="1" s="1"/>
  <c r="K2726" i="1" s="1"/>
  <c r="J2727" i="1" a="1"/>
  <c r="J2727" i="1" s="1"/>
  <c r="K2727" i="1" s="1"/>
  <c r="J2728" i="1" a="1"/>
  <c r="J2728" i="1" s="1"/>
  <c r="J2729" i="1" a="1"/>
  <c r="J2729" i="1" s="1"/>
  <c r="J2730" i="1" a="1"/>
  <c r="J2730" i="1" s="1"/>
  <c r="J2731" i="1" a="1"/>
  <c r="J2731" i="1" s="1"/>
  <c r="J2732" i="1" a="1"/>
  <c r="J2732" i="1" s="1"/>
  <c r="K2732" i="1" s="1"/>
  <c r="J2733" i="1" a="1"/>
  <c r="J2733" i="1" s="1"/>
  <c r="K2733" i="1" s="1"/>
  <c r="J2734" i="1" a="1"/>
  <c r="J2734" i="1" s="1"/>
  <c r="K2734" i="1" s="1"/>
  <c r="J2735" i="1" a="1"/>
  <c r="J2735" i="1" s="1"/>
  <c r="J2736" i="1" a="1"/>
  <c r="J2736" i="1" s="1"/>
  <c r="J2737" i="1" a="1"/>
  <c r="J2737" i="1" s="1"/>
  <c r="K2737" i="1" s="1"/>
  <c r="J2738" i="1" a="1"/>
  <c r="J2738" i="1" s="1"/>
  <c r="K2738" i="1" s="1"/>
  <c r="J2739" i="1" a="1"/>
  <c r="J2739" i="1" s="1"/>
  <c r="K2739" i="1" s="1"/>
  <c r="J2740" i="1" a="1"/>
  <c r="J2740" i="1" s="1"/>
  <c r="J2741" i="1" a="1"/>
  <c r="J2741" i="1" s="1"/>
  <c r="K2741" i="1" s="1"/>
  <c r="J2742" i="1" a="1"/>
  <c r="J2742" i="1" s="1"/>
  <c r="K2742" i="1" s="1"/>
  <c r="J2743" i="1" a="1"/>
  <c r="J2743" i="1" s="1"/>
  <c r="K2743" i="1" s="1"/>
  <c r="J2744" i="1" a="1"/>
  <c r="J2744" i="1" s="1"/>
  <c r="K2744" i="1" s="1"/>
  <c r="J2745" i="1" a="1"/>
  <c r="J2745" i="1" s="1"/>
  <c r="K2745" i="1" s="1"/>
  <c r="J2746" i="1" a="1"/>
  <c r="J2746" i="1" s="1"/>
  <c r="K2746" i="1" s="1"/>
  <c r="J2747" i="1" a="1"/>
  <c r="J2747" i="1" s="1"/>
  <c r="J2748" i="1" a="1"/>
  <c r="J2748" i="1" s="1"/>
  <c r="K2748" i="1" s="1"/>
  <c r="J2749" i="1" a="1"/>
  <c r="J2749" i="1" s="1"/>
  <c r="J2750" i="1" a="1"/>
  <c r="J2750" i="1" s="1"/>
  <c r="K2750" i="1" s="1"/>
  <c r="J2751" i="1" a="1"/>
  <c r="J2751" i="1" s="1"/>
  <c r="K2751" i="1" s="1"/>
  <c r="J2752" i="1" a="1"/>
  <c r="J2752" i="1" s="1"/>
  <c r="K2752" i="1" s="1"/>
  <c r="J2753" i="1" a="1"/>
  <c r="J2753" i="1" s="1"/>
  <c r="J2754" i="1" a="1"/>
  <c r="J2754" i="1" s="1"/>
  <c r="K2754" i="1" s="1"/>
  <c r="J2755" i="1" a="1"/>
  <c r="J2755" i="1" s="1"/>
  <c r="K2755" i="1" s="1"/>
  <c r="J2756" i="1" a="1"/>
  <c r="J2756" i="1" s="1"/>
  <c r="K2756" i="1" s="1"/>
  <c r="J2757" i="1" a="1"/>
  <c r="J2757" i="1" s="1"/>
  <c r="J2758" i="1" a="1"/>
  <c r="J2758" i="1" s="1"/>
  <c r="K2758" i="1" s="1"/>
  <c r="J2759" i="1" a="1"/>
  <c r="J2759" i="1" s="1"/>
  <c r="K2759" i="1" s="1"/>
  <c r="J2760" i="1" a="1"/>
  <c r="J2760" i="1" s="1"/>
  <c r="K2760" i="1" s="1"/>
  <c r="J2761" i="1" a="1"/>
  <c r="J2761" i="1" s="1"/>
  <c r="K2761" i="1" s="1"/>
  <c r="J2762" i="1" a="1"/>
  <c r="J2762" i="1" s="1"/>
  <c r="K2762" i="1" s="1"/>
  <c r="J2763" i="1" a="1"/>
  <c r="J2763" i="1" s="1"/>
  <c r="K2763" i="1" s="1"/>
  <c r="J2764" i="1" a="1"/>
  <c r="J2764" i="1" s="1"/>
  <c r="K2764" i="1" s="1"/>
  <c r="J2765" i="1" a="1"/>
  <c r="J2765" i="1" s="1"/>
  <c r="K2765" i="1" s="1"/>
  <c r="J2766" i="1" a="1"/>
  <c r="J2766" i="1" s="1"/>
  <c r="K2766" i="1" s="1"/>
  <c r="J2767" i="1" a="1"/>
  <c r="J2767" i="1" s="1"/>
  <c r="K2767" i="1" s="1"/>
  <c r="J2768" i="1" a="1"/>
  <c r="J2768" i="1" s="1"/>
  <c r="K2768" i="1" s="1"/>
  <c r="J2769" i="1" a="1"/>
  <c r="J2769" i="1" s="1"/>
  <c r="K2769" i="1" s="1"/>
  <c r="J2770" i="1" a="1"/>
  <c r="J2770" i="1" s="1"/>
  <c r="K2770" i="1" s="1"/>
  <c r="J2771" i="1" a="1"/>
  <c r="J2771" i="1" s="1"/>
  <c r="J2772" i="1" a="1"/>
  <c r="J2772" i="1" s="1"/>
  <c r="J2773" i="1" a="1"/>
  <c r="J2773" i="1" s="1"/>
  <c r="K2773" i="1" s="1"/>
  <c r="J2774" i="1" a="1"/>
  <c r="J2774" i="1" s="1"/>
  <c r="K2774" i="1" s="1"/>
  <c r="J2775" i="1" a="1"/>
  <c r="J2775" i="1" s="1"/>
  <c r="K2775" i="1" s="1"/>
  <c r="J2776" i="1" a="1"/>
  <c r="J2776" i="1" s="1"/>
  <c r="J2777" i="1" a="1"/>
  <c r="J2777" i="1" s="1"/>
  <c r="K2777" i="1" s="1"/>
  <c r="J2778" i="1" a="1"/>
  <c r="J2778" i="1" s="1"/>
  <c r="K2778" i="1" s="1"/>
  <c r="J2779" i="1" a="1"/>
  <c r="J2779" i="1" s="1"/>
  <c r="K2779" i="1" s="1"/>
  <c r="J2780" i="1" a="1"/>
  <c r="J2780" i="1" s="1"/>
  <c r="K2780" i="1" s="1"/>
  <c r="J2781" i="1" a="1"/>
  <c r="J2781" i="1" s="1"/>
  <c r="K2781" i="1" s="1"/>
  <c r="J2782" i="1" a="1"/>
  <c r="J2782" i="1" s="1"/>
  <c r="J2783" i="1" a="1"/>
  <c r="J2783" i="1" s="1"/>
  <c r="K2783" i="1" s="1"/>
  <c r="J2784" i="1" a="1"/>
  <c r="J2784" i="1" s="1"/>
  <c r="K2784" i="1" s="1"/>
  <c r="J2785" i="1" a="1"/>
  <c r="J2785" i="1" s="1"/>
  <c r="J2786" i="1" a="1"/>
  <c r="J2786" i="1" s="1"/>
  <c r="K2786" i="1" s="1"/>
  <c r="J2787" i="1" a="1"/>
  <c r="J2787" i="1" s="1"/>
  <c r="K2787" i="1" s="1"/>
  <c r="J2788" i="1" a="1"/>
  <c r="J2788" i="1" s="1"/>
  <c r="J2789" i="1" a="1"/>
  <c r="J2789" i="1" s="1"/>
  <c r="J2790" i="1" a="1"/>
  <c r="J2790" i="1" s="1"/>
  <c r="K2790" i="1" s="1"/>
  <c r="J2791" i="1" a="1"/>
  <c r="J2791" i="1" s="1"/>
  <c r="K2791" i="1" s="1"/>
  <c r="J2792" i="1" a="1"/>
  <c r="J2792" i="1" s="1"/>
  <c r="K2792" i="1" s="1"/>
  <c r="J2793" i="1" a="1"/>
  <c r="J2793" i="1" s="1"/>
  <c r="K2793" i="1" s="1"/>
  <c r="J2794" i="1" a="1"/>
  <c r="J2794" i="1" s="1"/>
  <c r="K2794" i="1" s="1"/>
  <c r="J2795" i="1" a="1"/>
  <c r="J2795" i="1" s="1"/>
  <c r="K2795" i="1" s="1"/>
  <c r="J2796" i="1" a="1"/>
  <c r="J2796" i="1" s="1"/>
  <c r="K2796" i="1" s="1"/>
  <c r="J2797" i="1" a="1"/>
  <c r="J2797" i="1" s="1"/>
  <c r="J2798" i="1" a="1"/>
  <c r="J2798" i="1" s="1"/>
  <c r="K2798" i="1" s="1"/>
  <c r="J2799" i="1" a="1"/>
  <c r="J2799" i="1" s="1"/>
  <c r="K2799" i="1" s="1"/>
  <c r="J2800" i="1" a="1"/>
  <c r="J2800" i="1" s="1"/>
  <c r="K2800" i="1" s="1"/>
  <c r="J2801" i="1" a="1"/>
  <c r="J2801" i="1" s="1"/>
  <c r="K2801" i="1" s="1"/>
  <c r="J2802" i="1" a="1"/>
  <c r="J2802" i="1" s="1"/>
  <c r="K2802" i="1" s="1"/>
  <c r="J2803" i="1" a="1"/>
  <c r="J2803" i="1" s="1"/>
  <c r="K2803" i="1" s="1"/>
  <c r="J2804" i="1" a="1"/>
  <c r="J2804" i="1" s="1"/>
  <c r="K2804" i="1" s="1"/>
  <c r="J2805" i="1" a="1"/>
  <c r="J2805" i="1" s="1"/>
  <c r="J2806" i="1" a="1"/>
  <c r="J2806" i="1" s="1"/>
  <c r="K2806" i="1" s="1"/>
  <c r="J2807" i="1" a="1"/>
  <c r="J2807" i="1" s="1"/>
  <c r="K2807" i="1" s="1"/>
  <c r="J2808" i="1" a="1"/>
  <c r="J2808" i="1" s="1"/>
  <c r="K2808" i="1" s="1"/>
  <c r="J2809" i="1" a="1"/>
  <c r="J2809" i="1" s="1"/>
  <c r="K2809" i="1" s="1"/>
  <c r="J2810" i="1" a="1"/>
  <c r="J2810" i="1" s="1"/>
  <c r="K2810" i="1" s="1"/>
  <c r="J2811" i="1" a="1"/>
  <c r="J2811" i="1" s="1"/>
  <c r="K2811" i="1" s="1"/>
  <c r="J2812" i="1" a="1"/>
  <c r="J2812" i="1" s="1"/>
  <c r="K2812" i="1" s="1"/>
  <c r="J2813" i="1" a="1"/>
  <c r="J2813" i="1" s="1"/>
  <c r="K2813" i="1" s="1"/>
  <c r="J2814" i="1" a="1"/>
  <c r="J2814" i="1" s="1"/>
  <c r="J2815" i="1" a="1"/>
  <c r="J2815" i="1" s="1"/>
  <c r="K2815" i="1" s="1"/>
  <c r="J2816" i="1" a="1"/>
  <c r="J2816" i="1" s="1"/>
  <c r="K2816" i="1" s="1"/>
  <c r="J2817" i="1" a="1"/>
  <c r="J2817" i="1" s="1"/>
  <c r="K2817" i="1" s="1"/>
  <c r="J2818" i="1" a="1"/>
  <c r="J2818" i="1" s="1"/>
  <c r="K2818" i="1" s="1"/>
  <c r="J2819" i="1" a="1"/>
  <c r="J2819" i="1" s="1"/>
  <c r="K2819" i="1" s="1"/>
  <c r="J2820" i="1" a="1"/>
  <c r="J2820" i="1" s="1"/>
  <c r="J2821" i="1" a="1"/>
  <c r="J2821" i="1" s="1"/>
  <c r="K2821" i="1" s="1"/>
  <c r="J2822" i="1" a="1"/>
  <c r="J2822" i="1" s="1"/>
  <c r="K2822" i="1" s="1"/>
  <c r="J2823" i="1" a="1"/>
  <c r="J2823" i="1" s="1"/>
  <c r="K2823" i="1" s="1"/>
  <c r="J2824" i="1" a="1"/>
  <c r="J2824" i="1" s="1"/>
  <c r="K2824" i="1" s="1"/>
  <c r="J2825" i="1" a="1"/>
  <c r="J2825" i="1" s="1"/>
  <c r="K2825" i="1" s="1"/>
  <c r="J2826" i="1" a="1"/>
  <c r="J2826" i="1" s="1"/>
  <c r="K2826" i="1" s="1"/>
  <c r="J2827" i="1" a="1"/>
  <c r="J2827" i="1" s="1"/>
  <c r="K2827" i="1" s="1"/>
  <c r="J2828" i="1" a="1"/>
  <c r="J2828" i="1" s="1"/>
  <c r="K2828" i="1" s="1"/>
  <c r="J2829" i="1" a="1"/>
  <c r="J2829" i="1" s="1"/>
  <c r="J2830" i="1" a="1"/>
  <c r="J2830" i="1" s="1"/>
  <c r="K2830" i="1" s="1"/>
  <c r="J2831" i="1" a="1"/>
  <c r="J2831" i="1" s="1"/>
  <c r="K2831" i="1" s="1"/>
  <c r="J2832" i="1" a="1"/>
  <c r="J2832" i="1" s="1"/>
  <c r="K2832" i="1" s="1"/>
  <c r="J2833" i="1" a="1"/>
  <c r="J2833" i="1" s="1"/>
  <c r="K2833" i="1" s="1"/>
  <c r="J2834" i="1" a="1"/>
  <c r="J2834" i="1" s="1"/>
  <c r="K2834" i="1" s="1"/>
  <c r="J2835" i="1" a="1"/>
  <c r="J2835" i="1" s="1"/>
  <c r="K2835" i="1" s="1"/>
  <c r="J2836" i="1" a="1"/>
  <c r="J2836" i="1" s="1"/>
  <c r="K2836" i="1" s="1"/>
  <c r="J2837" i="1" a="1"/>
  <c r="J2837" i="1" s="1"/>
  <c r="K2837" i="1" s="1"/>
  <c r="J2838" i="1" a="1"/>
  <c r="J2838" i="1" s="1"/>
  <c r="K2838" i="1" s="1"/>
  <c r="J2839" i="1" a="1"/>
  <c r="J2839" i="1" s="1"/>
  <c r="K2839" i="1" s="1"/>
  <c r="J2840" i="1" a="1"/>
  <c r="J2840" i="1" s="1"/>
  <c r="K2840" i="1" s="1"/>
  <c r="J2841" i="1" a="1"/>
  <c r="J2841" i="1" s="1"/>
  <c r="K2841" i="1" s="1"/>
  <c r="J2842" i="1" a="1"/>
  <c r="J2842" i="1" s="1"/>
  <c r="K2842" i="1" s="1"/>
  <c r="J2843" i="1" a="1"/>
  <c r="J2843" i="1" s="1"/>
  <c r="K2843" i="1" s="1"/>
  <c r="J2844" i="1" a="1"/>
  <c r="J2844" i="1" s="1"/>
  <c r="K2844" i="1" s="1"/>
  <c r="J2845" i="1" a="1"/>
  <c r="J2845" i="1" s="1"/>
  <c r="K2845" i="1" s="1"/>
  <c r="J2846" i="1" a="1"/>
  <c r="J2846" i="1" s="1"/>
  <c r="K2846" i="1" s="1"/>
  <c r="J2847" i="1" a="1"/>
  <c r="J2847" i="1" s="1"/>
  <c r="K2847" i="1" s="1"/>
  <c r="J2848" i="1" a="1"/>
  <c r="J2848" i="1" s="1"/>
  <c r="K2848" i="1" s="1"/>
  <c r="J2849" i="1" a="1"/>
  <c r="J2849" i="1" s="1"/>
  <c r="J2850" i="1" a="1"/>
  <c r="J2850" i="1" s="1"/>
  <c r="K2850" i="1" s="1"/>
  <c r="J2851" i="1" a="1"/>
  <c r="J2851" i="1" s="1"/>
  <c r="J2852" i="1" a="1"/>
  <c r="J2852" i="1" s="1"/>
  <c r="K2852" i="1" s="1"/>
  <c r="J2853" i="1" a="1"/>
  <c r="J2853" i="1" s="1"/>
  <c r="K2853" i="1" s="1"/>
  <c r="J2854" i="1" a="1"/>
  <c r="J2854" i="1" s="1"/>
  <c r="K2854" i="1" s="1"/>
  <c r="J2855" i="1" a="1"/>
  <c r="J2855" i="1" s="1"/>
  <c r="J2856" i="1" a="1"/>
  <c r="J2856" i="1" s="1"/>
  <c r="K2856" i="1" s="1"/>
  <c r="J2857" i="1" a="1"/>
  <c r="J2857" i="1" s="1"/>
  <c r="K2857" i="1" s="1"/>
  <c r="J2858" i="1" a="1"/>
  <c r="J2858" i="1" s="1"/>
  <c r="K2858" i="1" s="1"/>
  <c r="J2859" i="1" a="1"/>
  <c r="J2859" i="1" s="1"/>
  <c r="K2859" i="1" s="1"/>
  <c r="J2860" i="1" a="1"/>
  <c r="J2860" i="1" s="1"/>
  <c r="K2860" i="1" s="1"/>
  <c r="J2861" i="1" a="1"/>
  <c r="J2861" i="1" s="1"/>
  <c r="K2861" i="1" s="1"/>
  <c r="J2862" i="1" a="1"/>
  <c r="J2862" i="1" s="1"/>
  <c r="K2862" i="1" s="1"/>
  <c r="J2863" i="1" a="1"/>
  <c r="J2863" i="1" s="1"/>
  <c r="K2863" i="1" s="1"/>
  <c r="J2864" i="1" a="1"/>
  <c r="J2864" i="1" s="1"/>
  <c r="K2864" i="1" s="1"/>
  <c r="J2865" i="1" a="1"/>
  <c r="J2865" i="1" s="1"/>
  <c r="K2865" i="1" s="1"/>
  <c r="J2866" i="1" a="1"/>
  <c r="J2866" i="1" s="1"/>
  <c r="K2866" i="1" s="1"/>
  <c r="J2867" i="1" a="1"/>
  <c r="J2867" i="1" s="1"/>
  <c r="J2868" i="1" a="1"/>
  <c r="J2868" i="1" s="1"/>
  <c r="K2868" i="1" s="1"/>
  <c r="J2869" i="1" a="1"/>
  <c r="J2869" i="1" s="1"/>
  <c r="K2869" i="1" s="1"/>
  <c r="J2870" i="1" a="1"/>
  <c r="J2870" i="1" s="1"/>
  <c r="K2870" i="1" s="1"/>
  <c r="J2871" i="1" a="1"/>
  <c r="J2871" i="1" s="1"/>
  <c r="J2872" i="1" a="1"/>
  <c r="J2872" i="1" s="1"/>
  <c r="J2873" i="1" a="1"/>
  <c r="J2873" i="1" s="1"/>
  <c r="K2873" i="1" s="1"/>
  <c r="J2874" i="1" a="1"/>
  <c r="J2874" i="1" s="1"/>
  <c r="K2874" i="1" s="1"/>
  <c r="J2875" i="1" a="1"/>
  <c r="J2875" i="1" s="1"/>
  <c r="K2875" i="1" s="1"/>
  <c r="J2876" i="1" a="1"/>
  <c r="J2876" i="1" s="1"/>
  <c r="J2877" i="1" a="1"/>
  <c r="J2877" i="1" s="1"/>
  <c r="K2877" i="1" s="1"/>
  <c r="J2878" i="1" a="1"/>
  <c r="J2878" i="1" s="1"/>
  <c r="K2878" i="1" s="1"/>
  <c r="J2879" i="1" a="1"/>
  <c r="J2879" i="1" s="1"/>
  <c r="J2880" i="1" a="1"/>
  <c r="J2880" i="1" s="1"/>
  <c r="K2880" i="1" s="1"/>
  <c r="J2881" i="1" a="1"/>
  <c r="J2881" i="1" s="1"/>
  <c r="K2881" i="1" s="1"/>
  <c r="J2882" i="1" a="1"/>
  <c r="J2882" i="1" s="1"/>
  <c r="K2882" i="1" s="1"/>
  <c r="J2883" i="1" a="1"/>
  <c r="J2883" i="1" s="1"/>
  <c r="J2884" i="1" a="1"/>
  <c r="J2884" i="1" s="1"/>
  <c r="K2884" i="1" s="1"/>
  <c r="J2885" i="1" a="1"/>
  <c r="J2885" i="1" s="1"/>
  <c r="K2885" i="1" s="1"/>
  <c r="J2886" i="1" a="1"/>
  <c r="J2886" i="1" s="1"/>
  <c r="K2886" i="1" s="1"/>
  <c r="J2887" i="1" a="1"/>
  <c r="J2887" i="1" s="1"/>
  <c r="K2887" i="1" s="1"/>
  <c r="J2888" i="1" a="1"/>
  <c r="J2888" i="1" s="1"/>
  <c r="K2888" i="1" s="1"/>
  <c r="J2889" i="1" a="1"/>
  <c r="J2889" i="1" s="1"/>
  <c r="K2889" i="1" s="1"/>
  <c r="J2890" i="1" a="1"/>
  <c r="J2890" i="1" s="1"/>
  <c r="K2890" i="1" s="1"/>
  <c r="J2891" i="1" a="1"/>
  <c r="J2891" i="1" s="1"/>
  <c r="J2892" i="1" a="1"/>
  <c r="J2892" i="1" s="1"/>
  <c r="K2892" i="1" s="1"/>
  <c r="J2893" i="1" a="1"/>
  <c r="J2893" i="1" s="1"/>
  <c r="K2893" i="1" s="1"/>
  <c r="J2894" i="1" a="1"/>
  <c r="J2894" i="1" s="1"/>
  <c r="K2894" i="1" s="1"/>
  <c r="J2895" i="1" a="1"/>
  <c r="J2895" i="1" s="1"/>
  <c r="J2896" i="1" a="1"/>
  <c r="J2896" i="1" s="1"/>
  <c r="J2897" i="1" a="1"/>
  <c r="J2897" i="1" s="1"/>
  <c r="J2898" i="1" a="1"/>
  <c r="J2898" i="1" s="1"/>
  <c r="K2898" i="1" s="1"/>
  <c r="J2899" i="1" a="1"/>
  <c r="J2899" i="1" s="1"/>
  <c r="K2899" i="1" s="1"/>
  <c r="J2900" i="1" a="1"/>
  <c r="J2900" i="1" s="1"/>
  <c r="K2900" i="1" s="1"/>
  <c r="J2901" i="1" a="1"/>
  <c r="J2901" i="1" s="1"/>
  <c r="J2902" i="1" a="1"/>
  <c r="J2902" i="1" s="1"/>
  <c r="K2902" i="1" s="1"/>
  <c r="J2903" i="1" a="1"/>
  <c r="J2903" i="1" s="1"/>
  <c r="K2903" i="1" s="1"/>
  <c r="J2904" i="1" a="1"/>
  <c r="J2904" i="1" s="1"/>
  <c r="K2904" i="1" s="1"/>
  <c r="J2905" i="1" a="1"/>
  <c r="J2905" i="1" s="1"/>
  <c r="K2905" i="1" s="1"/>
  <c r="J2906" i="1" a="1"/>
  <c r="J2906" i="1" s="1"/>
  <c r="K2906" i="1" s="1"/>
  <c r="J2907" i="1" a="1"/>
  <c r="J2907" i="1" s="1"/>
  <c r="K2907" i="1" s="1"/>
  <c r="J2908" i="1" a="1"/>
  <c r="J2908" i="1" s="1"/>
  <c r="J2909" i="1" a="1"/>
  <c r="J2909" i="1" s="1"/>
  <c r="K2909" i="1" s="1"/>
  <c r="J2910" i="1" a="1"/>
  <c r="J2910" i="1" s="1"/>
  <c r="K2910" i="1" s="1"/>
  <c r="J2911" i="1" a="1"/>
  <c r="J2911" i="1" s="1"/>
  <c r="K2911" i="1" s="1"/>
  <c r="J2912" i="1" a="1"/>
  <c r="J2912" i="1" s="1"/>
  <c r="J2913" i="1" a="1"/>
  <c r="J2913" i="1" s="1"/>
  <c r="K2913" i="1" s="1"/>
  <c r="J2914" i="1" a="1"/>
  <c r="J2914" i="1" s="1"/>
  <c r="J2915" i="1" a="1"/>
  <c r="J2915" i="1" s="1"/>
  <c r="J2916" i="1" a="1"/>
  <c r="J2916" i="1" s="1"/>
  <c r="K2916" i="1" s="1"/>
  <c r="J2917" i="1" a="1"/>
  <c r="J2917" i="1" s="1"/>
  <c r="K2917" i="1" s="1"/>
  <c r="J2918" i="1" a="1"/>
  <c r="J2918" i="1" s="1"/>
  <c r="K2918" i="1" s="1"/>
  <c r="J2919" i="1" a="1"/>
  <c r="J2919" i="1" s="1"/>
  <c r="K2919" i="1" s="1"/>
  <c r="J2920" i="1" a="1"/>
  <c r="J2920" i="1" s="1"/>
  <c r="K2920" i="1" s="1"/>
  <c r="J2921" i="1" a="1"/>
  <c r="J2921" i="1" s="1"/>
  <c r="J2922" i="1" a="1"/>
  <c r="J2922" i="1" s="1"/>
  <c r="K2922" i="1" s="1"/>
  <c r="J2923" i="1" a="1"/>
  <c r="J2923" i="1" s="1"/>
  <c r="K2923" i="1" s="1"/>
  <c r="J2924" i="1" a="1"/>
  <c r="J2924" i="1" s="1"/>
  <c r="K2924" i="1" s="1"/>
  <c r="J2925" i="1" a="1"/>
  <c r="J2925" i="1" s="1"/>
  <c r="J2926" i="1" a="1"/>
  <c r="J2926" i="1" s="1"/>
  <c r="K2926" i="1" s="1"/>
  <c r="J2927" i="1" a="1"/>
  <c r="J2927" i="1" s="1"/>
  <c r="K2927" i="1" s="1"/>
  <c r="J2928" i="1" a="1"/>
  <c r="J2928" i="1" s="1"/>
  <c r="J2929" i="1" a="1"/>
  <c r="J2929" i="1" s="1"/>
  <c r="K2929" i="1" s="1"/>
  <c r="J2930" i="1" a="1"/>
  <c r="J2930" i="1" s="1"/>
  <c r="K2930" i="1" s="1"/>
  <c r="J2931" i="1" a="1"/>
  <c r="J2931" i="1" s="1"/>
  <c r="J2932" i="1" a="1"/>
  <c r="J2932" i="1" s="1"/>
  <c r="K2932" i="1" s="1"/>
  <c r="J2933" i="1" a="1"/>
  <c r="J2933" i="1" s="1"/>
  <c r="K2933" i="1" s="1"/>
  <c r="J2934" i="1" a="1"/>
  <c r="J2934" i="1" s="1"/>
  <c r="K2934" i="1" s="1"/>
  <c r="J2935" i="1" a="1"/>
  <c r="J2935" i="1" s="1"/>
  <c r="K2935" i="1" s="1"/>
  <c r="J2936" i="1" a="1"/>
  <c r="J2936" i="1" s="1"/>
  <c r="J2937" i="1" a="1"/>
  <c r="J2937" i="1" s="1"/>
  <c r="K2937" i="1" s="1"/>
  <c r="J2938" i="1" a="1"/>
  <c r="J2938" i="1" s="1"/>
  <c r="K2938" i="1" s="1"/>
  <c r="J2939" i="1" a="1"/>
  <c r="J2939" i="1" s="1"/>
  <c r="K2939" i="1" s="1"/>
  <c r="J2940" i="1" a="1"/>
  <c r="J2940" i="1" s="1"/>
  <c r="J2941" i="1" a="1"/>
  <c r="J2941" i="1" s="1"/>
  <c r="K2941" i="1" s="1"/>
  <c r="J2942" i="1" a="1"/>
  <c r="J2942" i="1" s="1"/>
  <c r="K2942" i="1" s="1"/>
  <c r="J2943" i="1" a="1"/>
  <c r="J2943" i="1" s="1"/>
  <c r="K2943" i="1" s="1"/>
  <c r="J2944" i="1" a="1"/>
  <c r="J2944" i="1" s="1"/>
  <c r="K2944" i="1" s="1"/>
  <c r="J2945" i="1" a="1"/>
  <c r="J2945" i="1" s="1"/>
  <c r="K2945" i="1" s="1"/>
  <c r="J2946" i="1" a="1"/>
  <c r="J2946" i="1" s="1"/>
  <c r="K2946" i="1" s="1"/>
  <c r="J2947" i="1" a="1"/>
  <c r="J2947" i="1" s="1"/>
  <c r="K2947" i="1" s="1"/>
  <c r="J2948" i="1" a="1"/>
  <c r="J2948" i="1" s="1"/>
  <c r="K2948" i="1" s="1"/>
  <c r="J2949" i="1" a="1"/>
  <c r="J2949" i="1" s="1"/>
  <c r="K2949" i="1" s="1"/>
  <c r="J2950" i="1" a="1"/>
  <c r="J2950" i="1" s="1"/>
  <c r="K2950" i="1" s="1"/>
  <c r="J2951" i="1" a="1"/>
  <c r="J2951" i="1" s="1"/>
  <c r="K2951" i="1" s="1"/>
  <c r="J2952" i="1" a="1"/>
  <c r="J2952" i="1" s="1"/>
  <c r="K2952" i="1" s="1"/>
  <c r="J2953" i="1" a="1"/>
  <c r="J2953" i="1" s="1"/>
  <c r="K2953" i="1" s="1"/>
  <c r="J2954" i="1" a="1"/>
  <c r="J2954" i="1" s="1"/>
  <c r="J2955" i="1" a="1"/>
  <c r="J2955" i="1" s="1"/>
  <c r="J2956" i="1" a="1"/>
  <c r="J2956" i="1" s="1"/>
  <c r="K2956" i="1" s="1"/>
  <c r="J2957" i="1" a="1"/>
  <c r="J2957" i="1" s="1"/>
  <c r="K2957" i="1" s="1"/>
  <c r="J2958" i="1" a="1"/>
  <c r="J2958" i="1" s="1"/>
  <c r="K2958" i="1" s="1"/>
  <c r="J2959" i="1" a="1"/>
  <c r="J2959" i="1" s="1"/>
  <c r="K2959" i="1" s="1"/>
  <c r="J2960" i="1" a="1"/>
  <c r="J2960" i="1" s="1"/>
  <c r="K2960" i="1" s="1"/>
  <c r="J2961" i="1" a="1"/>
  <c r="J2961" i="1" s="1"/>
  <c r="J2962" i="1" a="1"/>
  <c r="J2962" i="1" s="1"/>
  <c r="K2962" i="1" s="1"/>
  <c r="J2963" i="1" a="1"/>
  <c r="J2963" i="1" s="1"/>
  <c r="K2963" i="1" s="1"/>
  <c r="J2964" i="1" a="1"/>
  <c r="J2964" i="1" s="1"/>
  <c r="K2964" i="1" s="1"/>
  <c r="J2965" i="1" a="1"/>
  <c r="J2965" i="1" s="1"/>
  <c r="K2965" i="1" s="1"/>
  <c r="J2966" i="1" a="1"/>
  <c r="J2966" i="1" s="1"/>
  <c r="K2966" i="1" s="1"/>
  <c r="J2967" i="1" a="1"/>
  <c r="J2967" i="1" s="1"/>
  <c r="K2967" i="1" s="1"/>
  <c r="J2968" i="1" a="1"/>
  <c r="J2968" i="1" s="1"/>
  <c r="J2969" i="1" a="1"/>
  <c r="J2969" i="1" s="1"/>
  <c r="J2970" i="1" a="1"/>
  <c r="J2970" i="1" s="1"/>
  <c r="J2971" i="1" a="1"/>
  <c r="J2971" i="1" s="1"/>
  <c r="K2971" i="1" s="1"/>
  <c r="J2972" i="1" a="1"/>
  <c r="J2972" i="1" s="1"/>
  <c r="K2972" i="1" s="1"/>
  <c r="J2973" i="1" a="1"/>
  <c r="J2973" i="1" s="1"/>
  <c r="K2973" i="1" s="1"/>
  <c r="J2974" i="1" a="1"/>
  <c r="J2974" i="1" s="1"/>
  <c r="K2974" i="1" s="1"/>
  <c r="J2975" i="1" a="1"/>
  <c r="J2975" i="1" s="1"/>
  <c r="K2975" i="1" s="1"/>
  <c r="J2976" i="1" a="1"/>
  <c r="J2976" i="1" s="1"/>
  <c r="K2976" i="1" s="1"/>
  <c r="J2977" i="1" a="1"/>
  <c r="J2977" i="1" s="1"/>
  <c r="K2977" i="1" s="1"/>
  <c r="J2978" i="1" a="1"/>
  <c r="J2978" i="1" s="1"/>
  <c r="K2978" i="1" s="1"/>
  <c r="J2979" i="1" a="1"/>
  <c r="J2979" i="1" s="1"/>
  <c r="K2979" i="1" s="1"/>
  <c r="J2980" i="1" a="1"/>
  <c r="J2980" i="1" s="1"/>
  <c r="K2980" i="1" s="1"/>
  <c r="J2981" i="1" a="1"/>
  <c r="J2981" i="1" s="1"/>
  <c r="K2981" i="1" s="1"/>
  <c r="J2982" i="1" a="1"/>
  <c r="J2982" i="1" s="1"/>
  <c r="K2982" i="1" s="1"/>
  <c r="J2983" i="1" a="1"/>
  <c r="J2983" i="1" s="1"/>
  <c r="K2983" i="1" s="1"/>
  <c r="J2984" i="1" a="1"/>
  <c r="J2984" i="1" s="1"/>
  <c r="K2984" i="1" s="1"/>
  <c r="J2985" i="1" a="1"/>
  <c r="J2985" i="1" s="1"/>
  <c r="K2985" i="1" s="1"/>
  <c r="J2986" i="1" a="1"/>
  <c r="J2986" i="1" s="1"/>
  <c r="K2986" i="1" s="1"/>
  <c r="J2987" i="1" a="1"/>
  <c r="J2987" i="1" s="1"/>
  <c r="K2987" i="1" s="1"/>
  <c r="J2988" i="1" a="1"/>
  <c r="J2988" i="1" s="1"/>
  <c r="K2988" i="1" s="1"/>
  <c r="J2989" i="1" a="1"/>
  <c r="J2989" i="1" s="1"/>
  <c r="K2989" i="1" s="1"/>
  <c r="J2990" i="1" a="1"/>
  <c r="J2990" i="1" s="1"/>
  <c r="K2990" i="1" s="1"/>
  <c r="J2991" i="1" a="1"/>
  <c r="J2991" i="1" s="1"/>
  <c r="K2991" i="1" s="1"/>
  <c r="J2992" i="1" a="1"/>
  <c r="J2992" i="1" s="1"/>
  <c r="K2992" i="1" s="1"/>
  <c r="J2993" i="1" a="1"/>
  <c r="J2993" i="1" s="1"/>
  <c r="K2993" i="1" s="1"/>
  <c r="J2994" i="1" a="1"/>
  <c r="J2994" i="1" s="1"/>
  <c r="K2994" i="1" s="1"/>
  <c r="J2995" i="1" a="1"/>
  <c r="J2995" i="1" s="1"/>
  <c r="J2996" i="1" a="1"/>
  <c r="J2996" i="1" s="1"/>
  <c r="J2997" i="1" a="1"/>
  <c r="J2997" i="1" s="1"/>
  <c r="K2997" i="1" s="1"/>
  <c r="J2998" i="1" a="1"/>
  <c r="J2998" i="1" s="1"/>
  <c r="K2998" i="1" s="1"/>
  <c r="J2999" i="1" a="1"/>
  <c r="J2999" i="1" s="1"/>
  <c r="K2999" i="1" s="1"/>
  <c r="J3000" i="1" a="1"/>
  <c r="J3000" i="1" s="1"/>
  <c r="K3000" i="1" s="1"/>
  <c r="J2" i="1" a="1"/>
  <c r="J2" i="1" s="1"/>
  <c r="K2" i="1" s="1"/>
  <c r="I3" i="1" a="1"/>
  <c r="I3" i="1" s="1"/>
  <c r="I4" i="1" a="1"/>
  <c r="I4" i="1" s="1"/>
  <c r="I5" i="1" a="1"/>
  <c r="I5" i="1" s="1"/>
  <c r="I6" i="1" a="1"/>
  <c r="I6" i="1" s="1"/>
  <c r="I7" i="1" a="1"/>
  <c r="I7" i="1" s="1"/>
  <c r="I8" i="1" a="1"/>
  <c r="I8" i="1" s="1"/>
  <c r="I9" i="1" a="1"/>
  <c r="I9" i="1" s="1"/>
  <c r="I10" i="1" a="1"/>
  <c r="I10" i="1" s="1"/>
  <c r="I11" i="1" a="1"/>
  <c r="I11" i="1" s="1"/>
  <c r="I12" i="1" a="1"/>
  <c r="I12" i="1" s="1"/>
  <c r="I13" i="1" a="1"/>
  <c r="I13" i="1" s="1"/>
  <c r="I14" i="1" a="1"/>
  <c r="I14" i="1" s="1"/>
  <c r="I15" i="1" a="1"/>
  <c r="I15" i="1" s="1"/>
  <c r="I16" i="1" a="1"/>
  <c r="I16" i="1" s="1"/>
  <c r="I17" i="1" a="1"/>
  <c r="I17" i="1" s="1"/>
  <c r="I18" i="1" a="1"/>
  <c r="I18" i="1" s="1"/>
  <c r="I19" i="1" a="1"/>
  <c r="I19" i="1" s="1"/>
  <c r="I20" i="1" a="1"/>
  <c r="I20" i="1" s="1"/>
  <c r="I21" i="1" a="1"/>
  <c r="I21" i="1" s="1"/>
  <c r="I22" i="1" a="1"/>
  <c r="I22" i="1" s="1"/>
  <c r="I23" i="1" a="1"/>
  <c r="I23" i="1" s="1"/>
  <c r="I24" i="1" a="1"/>
  <c r="I24" i="1" s="1"/>
  <c r="I25" i="1" a="1"/>
  <c r="I25" i="1" s="1"/>
  <c r="I26" i="1" a="1"/>
  <c r="I26" i="1" s="1"/>
  <c r="I27" i="1" a="1"/>
  <c r="I27" i="1" s="1"/>
  <c r="I28" i="1" a="1"/>
  <c r="I28" i="1" s="1"/>
  <c r="I29" i="1" a="1"/>
  <c r="I29" i="1" s="1"/>
  <c r="I30" i="1" a="1"/>
  <c r="I30" i="1" s="1"/>
  <c r="I31" i="1" a="1"/>
  <c r="I31" i="1" s="1"/>
  <c r="I32" i="1" a="1"/>
  <c r="I32" i="1" s="1"/>
  <c r="I33" i="1" a="1"/>
  <c r="I33" i="1" s="1"/>
  <c r="I34" i="1" a="1"/>
  <c r="I34" i="1" s="1"/>
  <c r="I35" i="1" a="1"/>
  <c r="I35" i="1" s="1"/>
  <c r="I36" i="1" a="1"/>
  <c r="I36" i="1" s="1"/>
  <c r="I37" i="1" a="1"/>
  <c r="I37" i="1" s="1"/>
  <c r="I38" i="1" a="1"/>
  <c r="I38" i="1" s="1"/>
  <c r="I39" i="1" a="1"/>
  <c r="I39" i="1" s="1"/>
  <c r="I40" i="1" a="1"/>
  <c r="I40" i="1" s="1"/>
  <c r="I41" i="1" a="1"/>
  <c r="I41" i="1" s="1"/>
  <c r="I42" i="1" a="1"/>
  <c r="I42" i="1" s="1"/>
  <c r="I43" i="1" a="1"/>
  <c r="I43" i="1" s="1"/>
  <c r="I44" i="1" a="1"/>
  <c r="I44" i="1" s="1"/>
  <c r="I45" i="1" a="1"/>
  <c r="I45" i="1" s="1"/>
  <c r="I46" i="1" a="1"/>
  <c r="I46" i="1" s="1"/>
  <c r="I47" i="1" a="1"/>
  <c r="I47" i="1" s="1"/>
  <c r="I48" i="1" a="1"/>
  <c r="I48" i="1" s="1"/>
  <c r="I49" i="1" a="1"/>
  <c r="I49" i="1" s="1"/>
  <c r="I50" i="1" a="1"/>
  <c r="I50" i="1" s="1"/>
  <c r="I51" i="1" a="1"/>
  <c r="I51" i="1" s="1"/>
  <c r="I52" i="1" a="1"/>
  <c r="I52" i="1" s="1"/>
  <c r="I53" i="1" a="1"/>
  <c r="I53" i="1" s="1"/>
  <c r="I54" i="1" a="1"/>
  <c r="I54" i="1" s="1"/>
  <c r="I55" i="1" a="1"/>
  <c r="I55" i="1" s="1"/>
  <c r="I56" i="1" a="1"/>
  <c r="I56" i="1" s="1"/>
  <c r="I57" i="1" a="1"/>
  <c r="I57" i="1" s="1"/>
  <c r="I58" i="1" a="1"/>
  <c r="I58" i="1" s="1"/>
  <c r="I59" i="1" a="1"/>
  <c r="I59" i="1" s="1"/>
  <c r="I60" i="1" a="1"/>
  <c r="I60" i="1" s="1"/>
  <c r="I61" i="1" a="1"/>
  <c r="I61" i="1" s="1"/>
  <c r="I62" i="1" a="1"/>
  <c r="I62" i="1" s="1"/>
  <c r="I63" i="1" a="1"/>
  <c r="I63" i="1" s="1"/>
  <c r="I64" i="1" a="1"/>
  <c r="I64" i="1" s="1"/>
  <c r="I65" i="1" a="1"/>
  <c r="I65" i="1" s="1"/>
  <c r="I66" i="1" a="1"/>
  <c r="I66" i="1" s="1"/>
  <c r="I67" i="1" a="1"/>
  <c r="I67" i="1" s="1"/>
  <c r="I68" i="1" a="1"/>
  <c r="I68" i="1" s="1"/>
  <c r="I69" i="1" a="1"/>
  <c r="I69" i="1" s="1"/>
  <c r="I70" i="1" a="1"/>
  <c r="I70" i="1" s="1"/>
  <c r="I71" i="1" a="1"/>
  <c r="I71" i="1" s="1"/>
  <c r="I72" i="1" a="1"/>
  <c r="I72" i="1" s="1"/>
  <c r="I73" i="1" a="1"/>
  <c r="I73" i="1" s="1"/>
  <c r="I74" i="1" a="1"/>
  <c r="I74" i="1" s="1"/>
  <c r="I75" i="1" a="1"/>
  <c r="I75" i="1" s="1"/>
  <c r="I76" i="1" a="1"/>
  <c r="I76" i="1" s="1"/>
  <c r="I77" i="1" a="1"/>
  <c r="I77" i="1" s="1"/>
  <c r="I78" i="1" a="1"/>
  <c r="I78" i="1" s="1"/>
  <c r="I79" i="1" a="1"/>
  <c r="I79" i="1" s="1"/>
  <c r="I80" i="1" a="1"/>
  <c r="I80" i="1" s="1"/>
  <c r="I81" i="1" a="1"/>
  <c r="I81" i="1" s="1"/>
  <c r="I82" i="1" a="1"/>
  <c r="I82" i="1" s="1"/>
  <c r="I83" i="1" a="1"/>
  <c r="I83" i="1" s="1"/>
  <c r="I84" i="1" a="1"/>
  <c r="I84" i="1" s="1"/>
  <c r="I85" i="1" a="1"/>
  <c r="I85" i="1" s="1"/>
  <c r="I86" i="1" a="1"/>
  <c r="I86" i="1" s="1"/>
  <c r="I87" i="1" a="1"/>
  <c r="I87" i="1" s="1"/>
  <c r="I88" i="1" a="1"/>
  <c r="I88" i="1" s="1"/>
  <c r="I89" i="1" a="1"/>
  <c r="I89" i="1" s="1"/>
  <c r="I90" i="1" a="1"/>
  <c r="I90" i="1" s="1"/>
  <c r="I91" i="1" a="1"/>
  <c r="I91" i="1" s="1"/>
  <c r="I92" i="1" a="1"/>
  <c r="I92" i="1" s="1"/>
  <c r="I93" i="1" a="1"/>
  <c r="I93" i="1" s="1"/>
  <c r="I94" i="1" a="1"/>
  <c r="I94" i="1" s="1"/>
  <c r="I95" i="1" a="1"/>
  <c r="I95" i="1" s="1"/>
  <c r="I96" i="1" a="1"/>
  <c r="I96" i="1" s="1"/>
  <c r="I97" i="1" a="1"/>
  <c r="I97" i="1" s="1"/>
  <c r="I98" i="1" a="1"/>
  <c r="I98" i="1" s="1"/>
  <c r="I99" i="1" a="1"/>
  <c r="I99" i="1" s="1"/>
  <c r="I100" i="1" a="1"/>
  <c r="I100" i="1" s="1"/>
  <c r="I101" i="1" a="1"/>
  <c r="I101" i="1" s="1"/>
  <c r="I102" i="1" a="1"/>
  <c r="I102" i="1" s="1"/>
  <c r="I103" i="1" a="1"/>
  <c r="I103" i="1" s="1"/>
  <c r="I104" i="1" a="1"/>
  <c r="I104" i="1" s="1"/>
  <c r="I105" i="1" a="1"/>
  <c r="I105" i="1" s="1"/>
  <c r="I106" i="1" a="1"/>
  <c r="I106" i="1" s="1"/>
  <c r="I107" i="1" a="1"/>
  <c r="I107" i="1" s="1"/>
  <c r="I108" i="1" a="1"/>
  <c r="I108" i="1" s="1"/>
  <c r="I109" i="1" a="1"/>
  <c r="I109" i="1" s="1"/>
  <c r="I110" i="1" a="1"/>
  <c r="I110" i="1" s="1"/>
  <c r="I111" i="1" a="1"/>
  <c r="I111" i="1" s="1"/>
  <c r="I112" i="1" a="1"/>
  <c r="I112" i="1" s="1"/>
  <c r="I113" i="1" a="1"/>
  <c r="I113" i="1" s="1"/>
  <c r="I114" i="1" a="1"/>
  <c r="I114" i="1" s="1"/>
  <c r="I115" i="1" a="1"/>
  <c r="I115" i="1" s="1"/>
  <c r="I116" i="1" a="1"/>
  <c r="I116" i="1" s="1"/>
  <c r="I117" i="1" a="1"/>
  <c r="I117" i="1" s="1"/>
  <c r="I118" i="1" a="1"/>
  <c r="I118" i="1" s="1"/>
  <c r="I119" i="1" a="1"/>
  <c r="I119" i="1" s="1"/>
  <c r="I120" i="1" a="1"/>
  <c r="I120" i="1" s="1"/>
  <c r="I121" i="1" a="1"/>
  <c r="I121" i="1" s="1"/>
  <c r="I122" i="1" a="1"/>
  <c r="I122" i="1" s="1"/>
  <c r="I123" i="1" a="1"/>
  <c r="I123" i="1" s="1"/>
  <c r="I124" i="1" a="1"/>
  <c r="I124" i="1" s="1"/>
  <c r="I125" i="1" a="1"/>
  <c r="I125" i="1" s="1"/>
  <c r="I126" i="1" a="1"/>
  <c r="I126" i="1" s="1"/>
  <c r="I127" i="1" a="1"/>
  <c r="I127" i="1" s="1"/>
  <c r="I128" i="1" a="1"/>
  <c r="I128" i="1" s="1"/>
  <c r="I129" i="1" a="1"/>
  <c r="I129" i="1" s="1"/>
  <c r="I130" i="1" a="1"/>
  <c r="I130" i="1" s="1"/>
  <c r="I131" i="1" a="1"/>
  <c r="I131" i="1" s="1"/>
  <c r="I132" i="1" a="1"/>
  <c r="I132" i="1" s="1"/>
  <c r="I133" i="1" a="1"/>
  <c r="I133" i="1" s="1"/>
  <c r="I134" i="1" a="1"/>
  <c r="I134" i="1" s="1"/>
  <c r="I135" i="1" a="1"/>
  <c r="I135" i="1" s="1"/>
  <c r="I136" i="1" a="1"/>
  <c r="I136" i="1" s="1"/>
  <c r="I137" i="1" a="1"/>
  <c r="I137" i="1" s="1"/>
  <c r="I138" i="1" a="1"/>
  <c r="I138" i="1" s="1"/>
  <c r="I139" i="1" a="1"/>
  <c r="I139" i="1" s="1"/>
  <c r="I140" i="1" a="1"/>
  <c r="I140" i="1" s="1"/>
  <c r="I141" i="1" a="1"/>
  <c r="I141" i="1" s="1"/>
  <c r="I142" i="1" a="1"/>
  <c r="I142" i="1" s="1"/>
  <c r="I143" i="1" a="1"/>
  <c r="I143" i="1" s="1"/>
  <c r="I144" i="1" a="1"/>
  <c r="I144" i="1" s="1"/>
  <c r="I145" i="1" a="1"/>
  <c r="I145" i="1" s="1"/>
  <c r="I146" i="1" a="1"/>
  <c r="I146" i="1" s="1"/>
  <c r="I147" i="1" a="1"/>
  <c r="I147" i="1" s="1"/>
  <c r="I148" i="1" a="1"/>
  <c r="I148" i="1" s="1"/>
  <c r="I149" i="1" a="1"/>
  <c r="I149" i="1" s="1"/>
  <c r="I150" i="1" a="1"/>
  <c r="I150" i="1" s="1"/>
  <c r="I151" i="1" a="1"/>
  <c r="I151" i="1" s="1"/>
  <c r="I152" i="1" a="1"/>
  <c r="I152" i="1" s="1"/>
  <c r="I153" i="1" a="1"/>
  <c r="I153" i="1" s="1"/>
  <c r="I154" i="1" a="1"/>
  <c r="I154" i="1" s="1"/>
  <c r="I155" i="1" a="1"/>
  <c r="I155" i="1" s="1"/>
  <c r="I156" i="1" a="1"/>
  <c r="I156" i="1" s="1"/>
  <c r="I157" i="1" a="1"/>
  <c r="I157" i="1" s="1"/>
  <c r="I158" i="1" a="1"/>
  <c r="I158" i="1" s="1"/>
  <c r="I159" i="1" a="1"/>
  <c r="I159" i="1" s="1"/>
  <c r="I160" i="1" a="1"/>
  <c r="I160" i="1" s="1"/>
  <c r="I161" i="1" a="1"/>
  <c r="I161" i="1" s="1"/>
  <c r="I162" i="1" a="1"/>
  <c r="I162" i="1" s="1"/>
  <c r="I163" i="1" a="1"/>
  <c r="I163" i="1" s="1"/>
  <c r="I164" i="1" a="1"/>
  <c r="I164" i="1" s="1"/>
  <c r="I165" i="1" a="1"/>
  <c r="I165" i="1" s="1"/>
  <c r="I166" i="1" a="1"/>
  <c r="I166" i="1" s="1"/>
  <c r="I167" i="1" a="1"/>
  <c r="I167" i="1" s="1"/>
  <c r="I168" i="1" a="1"/>
  <c r="I168" i="1" s="1"/>
  <c r="I169" i="1" a="1"/>
  <c r="I169" i="1" s="1"/>
  <c r="I170" i="1" a="1"/>
  <c r="I170" i="1" s="1"/>
  <c r="I171" i="1" a="1"/>
  <c r="I171" i="1" s="1"/>
  <c r="I172" i="1" a="1"/>
  <c r="I172" i="1" s="1"/>
  <c r="I173" i="1" a="1"/>
  <c r="I173" i="1" s="1"/>
  <c r="I174" i="1" a="1"/>
  <c r="I174" i="1" s="1"/>
  <c r="I175" i="1" a="1"/>
  <c r="I175" i="1" s="1"/>
  <c r="I176" i="1" a="1"/>
  <c r="I176" i="1" s="1"/>
  <c r="I177" i="1" a="1"/>
  <c r="I177" i="1" s="1"/>
  <c r="I178" i="1" a="1"/>
  <c r="I178" i="1" s="1"/>
  <c r="I179" i="1" a="1"/>
  <c r="I179" i="1" s="1"/>
  <c r="I180" i="1" a="1"/>
  <c r="I180" i="1" s="1"/>
  <c r="I181" i="1" a="1"/>
  <c r="I181" i="1" s="1"/>
  <c r="I182" i="1" a="1"/>
  <c r="I182" i="1" s="1"/>
  <c r="I183" i="1" a="1"/>
  <c r="I183" i="1" s="1"/>
  <c r="I184" i="1" a="1"/>
  <c r="I184" i="1" s="1"/>
  <c r="I185" i="1" a="1"/>
  <c r="I185" i="1" s="1"/>
  <c r="I186" i="1" a="1"/>
  <c r="I186" i="1" s="1"/>
  <c r="I187" i="1" a="1"/>
  <c r="I187" i="1" s="1"/>
  <c r="I188" i="1" a="1"/>
  <c r="I188" i="1" s="1"/>
  <c r="I189" i="1" a="1"/>
  <c r="I189" i="1" s="1"/>
  <c r="I190" i="1" a="1"/>
  <c r="I190" i="1" s="1"/>
  <c r="I191" i="1" a="1"/>
  <c r="I191" i="1" s="1"/>
  <c r="I192" i="1" a="1"/>
  <c r="I192" i="1" s="1"/>
  <c r="I193" i="1" a="1"/>
  <c r="I193" i="1" s="1"/>
  <c r="I194" i="1" a="1"/>
  <c r="I194" i="1" s="1"/>
  <c r="I195" i="1" a="1"/>
  <c r="I195" i="1" s="1"/>
  <c r="I196" i="1" a="1"/>
  <c r="I196" i="1" s="1"/>
  <c r="I197" i="1" a="1"/>
  <c r="I197" i="1" s="1"/>
  <c r="I198" i="1" a="1"/>
  <c r="I198" i="1" s="1"/>
  <c r="I199" i="1" a="1"/>
  <c r="I199" i="1" s="1"/>
  <c r="I200" i="1" a="1"/>
  <c r="I200" i="1" s="1"/>
  <c r="I201" i="1" a="1"/>
  <c r="I201" i="1" s="1"/>
  <c r="I202" i="1" a="1"/>
  <c r="I202" i="1" s="1"/>
  <c r="I203" i="1" a="1"/>
  <c r="I203" i="1" s="1"/>
  <c r="I204" i="1" a="1"/>
  <c r="I204" i="1" s="1"/>
  <c r="I205" i="1" a="1"/>
  <c r="I205" i="1" s="1"/>
  <c r="I206" i="1" a="1"/>
  <c r="I206" i="1" s="1"/>
  <c r="I207" i="1" a="1"/>
  <c r="I207" i="1" s="1"/>
  <c r="I208" i="1" a="1"/>
  <c r="I208" i="1" s="1"/>
  <c r="I209" i="1" a="1"/>
  <c r="I209" i="1" s="1"/>
  <c r="I210" i="1" a="1"/>
  <c r="I210" i="1" s="1"/>
  <c r="I211" i="1" a="1"/>
  <c r="I211" i="1" s="1"/>
  <c r="I212" i="1" a="1"/>
  <c r="I212" i="1" s="1"/>
  <c r="I213" i="1" a="1"/>
  <c r="I213" i="1" s="1"/>
  <c r="I214" i="1" a="1"/>
  <c r="I214" i="1" s="1"/>
  <c r="I215" i="1" a="1"/>
  <c r="I215" i="1" s="1"/>
  <c r="I216" i="1" a="1"/>
  <c r="I216" i="1" s="1"/>
  <c r="I217" i="1" a="1"/>
  <c r="I217" i="1" s="1"/>
  <c r="I218" i="1" a="1"/>
  <c r="I218" i="1" s="1"/>
  <c r="I219" i="1" a="1"/>
  <c r="I219" i="1" s="1"/>
  <c r="I220" i="1" a="1"/>
  <c r="I220" i="1" s="1"/>
  <c r="I221" i="1" a="1"/>
  <c r="I221" i="1" s="1"/>
  <c r="I222" i="1" a="1"/>
  <c r="I222" i="1" s="1"/>
  <c r="I223" i="1" a="1"/>
  <c r="I223" i="1" s="1"/>
  <c r="I224" i="1" a="1"/>
  <c r="I224" i="1" s="1"/>
  <c r="I225" i="1" a="1"/>
  <c r="I225" i="1" s="1"/>
  <c r="I226" i="1" a="1"/>
  <c r="I226" i="1" s="1"/>
  <c r="I227" i="1" a="1"/>
  <c r="I227" i="1" s="1"/>
  <c r="I228" i="1" a="1"/>
  <c r="I228" i="1" s="1"/>
  <c r="I229" i="1" a="1"/>
  <c r="I229" i="1" s="1"/>
  <c r="I230" i="1" a="1"/>
  <c r="I230" i="1" s="1"/>
  <c r="I231" i="1" a="1"/>
  <c r="I231" i="1" s="1"/>
  <c r="I232" i="1" a="1"/>
  <c r="I232" i="1" s="1"/>
  <c r="I233" i="1" a="1"/>
  <c r="I233" i="1" s="1"/>
  <c r="I234" i="1" a="1"/>
  <c r="I234" i="1" s="1"/>
  <c r="I235" i="1" a="1"/>
  <c r="I235" i="1" s="1"/>
  <c r="I236" i="1" a="1"/>
  <c r="I236" i="1" s="1"/>
  <c r="I237" i="1" a="1"/>
  <c r="I237" i="1" s="1"/>
  <c r="I238" i="1" a="1"/>
  <c r="I238" i="1" s="1"/>
  <c r="I239" i="1" a="1"/>
  <c r="I239" i="1" s="1"/>
  <c r="I240" i="1" a="1"/>
  <c r="I240" i="1" s="1"/>
  <c r="I241" i="1" a="1"/>
  <c r="I241" i="1" s="1"/>
  <c r="I242" i="1" a="1"/>
  <c r="I242" i="1" s="1"/>
  <c r="I243" i="1" a="1"/>
  <c r="I243" i="1" s="1"/>
  <c r="I244" i="1" a="1"/>
  <c r="I244" i="1" s="1"/>
  <c r="I245" i="1" a="1"/>
  <c r="I245" i="1" s="1"/>
  <c r="I246" i="1" a="1"/>
  <c r="I246" i="1" s="1"/>
  <c r="I247" i="1" a="1"/>
  <c r="I247" i="1" s="1"/>
  <c r="I248" i="1" a="1"/>
  <c r="I248" i="1" s="1"/>
  <c r="I249" i="1" a="1"/>
  <c r="I249" i="1" s="1"/>
  <c r="I250" i="1" a="1"/>
  <c r="I250" i="1" s="1"/>
  <c r="I251" i="1" a="1"/>
  <c r="I251" i="1" s="1"/>
  <c r="I252" i="1" a="1"/>
  <c r="I252" i="1" s="1"/>
  <c r="I253" i="1" a="1"/>
  <c r="I253" i="1" s="1"/>
  <c r="I254" i="1" a="1"/>
  <c r="I254" i="1" s="1"/>
  <c r="I255" i="1" a="1"/>
  <c r="I255" i="1" s="1"/>
  <c r="I256" i="1" a="1"/>
  <c r="I256" i="1" s="1"/>
  <c r="I257" i="1" a="1"/>
  <c r="I257" i="1" s="1"/>
  <c r="I258" i="1" a="1"/>
  <c r="I258" i="1" s="1"/>
  <c r="I259" i="1" a="1"/>
  <c r="I259" i="1" s="1"/>
  <c r="I260" i="1" a="1"/>
  <c r="I260" i="1" s="1"/>
  <c r="I261" i="1" a="1"/>
  <c r="I261" i="1" s="1"/>
  <c r="I262" i="1" a="1"/>
  <c r="I262" i="1" s="1"/>
  <c r="I263" i="1" a="1"/>
  <c r="I263" i="1" s="1"/>
  <c r="I264" i="1" a="1"/>
  <c r="I264" i="1" s="1"/>
  <c r="I265" i="1" a="1"/>
  <c r="I265" i="1" s="1"/>
  <c r="I266" i="1" a="1"/>
  <c r="I266" i="1" s="1"/>
  <c r="I267" i="1" a="1"/>
  <c r="I267" i="1" s="1"/>
  <c r="I268" i="1" a="1"/>
  <c r="I268" i="1" s="1"/>
  <c r="I269" i="1" a="1"/>
  <c r="I269" i="1" s="1"/>
  <c r="I270" i="1" a="1"/>
  <c r="I270" i="1" s="1"/>
  <c r="I271" i="1" a="1"/>
  <c r="I271" i="1" s="1"/>
  <c r="I272" i="1" a="1"/>
  <c r="I272" i="1" s="1"/>
  <c r="I273" i="1" a="1"/>
  <c r="I273" i="1" s="1"/>
  <c r="I274" i="1" a="1"/>
  <c r="I274" i="1" s="1"/>
  <c r="I275" i="1" a="1"/>
  <c r="I275" i="1" s="1"/>
  <c r="I276" i="1" a="1"/>
  <c r="I276" i="1" s="1"/>
  <c r="I277" i="1" a="1"/>
  <c r="I277" i="1" s="1"/>
  <c r="I278" i="1" a="1"/>
  <c r="I278" i="1" s="1"/>
  <c r="I279" i="1" a="1"/>
  <c r="I279" i="1" s="1"/>
  <c r="I280" i="1" a="1"/>
  <c r="I280" i="1" s="1"/>
  <c r="I281" i="1" a="1"/>
  <c r="I281" i="1" s="1"/>
  <c r="I282" i="1" a="1"/>
  <c r="I282" i="1" s="1"/>
  <c r="I283" i="1" a="1"/>
  <c r="I283" i="1" s="1"/>
  <c r="I284" i="1" a="1"/>
  <c r="I284" i="1" s="1"/>
  <c r="I285" i="1" a="1"/>
  <c r="I285" i="1" s="1"/>
  <c r="I286" i="1" a="1"/>
  <c r="I286" i="1" s="1"/>
  <c r="I287" i="1" a="1"/>
  <c r="I287" i="1" s="1"/>
  <c r="I288" i="1" a="1"/>
  <c r="I288" i="1" s="1"/>
  <c r="I289" i="1" a="1"/>
  <c r="I289" i="1" s="1"/>
  <c r="I290" i="1" a="1"/>
  <c r="I290" i="1" s="1"/>
  <c r="I291" i="1" a="1"/>
  <c r="I291" i="1" s="1"/>
  <c r="I292" i="1" a="1"/>
  <c r="I292" i="1" s="1"/>
  <c r="I293" i="1" a="1"/>
  <c r="I293" i="1" s="1"/>
  <c r="I294" i="1" a="1"/>
  <c r="I294" i="1" s="1"/>
  <c r="I295" i="1" a="1"/>
  <c r="I295" i="1" s="1"/>
  <c r="I296" i="1" a="1"/>
  <c r="I296" i="1" s="1"/>
  <c r="I297" i="1" a="1"/>
  <c r="I297" i="1" s="1"/>
  <c r="I298" i="1" a="1"/>
  <c r="I298" i="1" s="1"/>
  <c r="I299" i="1" a="1"/>
  <c r="I299" i="1" s="1"/>
  <c r="I300" i="1" a="1"/>
  <c r="I300" i="1" s="1"/>
  <c r="I301" i="1" a="1"/>
  <c r="I301" i="1" s="1"/>
  <c r="I302" i="1" a="1"/>
  <c r="I302" i="1" s="1"/>
  <c r="I303" i="1" a="1"/>
  <c r="I303" i="1" s="1"/>
  <c r="I304" i="1" a="1"/>
  <c r="I304" i="1" s="1"/>
  <c r="I305" i="1" a="1"/>
  <c r="I305" i="1" s="1"/>
  <c r="I306" i="1" a="1"/>
  <c r="I306" i="1" s="1"/>
  <c r="I307" i="1" a="1"/>
  <c r="I307" i="1" s="1"/>
  <c r="I308" i="1" a="1"/>
  <c r="I308" i="1" s="1"/>
  <c r="I309" i="1" a="1"/>
  <c r="I309" i="1" s="1"/>
  <c r="I310" i="1" a="1"/>
  <c r="I310" i="1" s="1"/>
  <c r="I311" i="1" a="1"/>
  <c r="I311" i="1" s="1"/>
  <c r="I312" i="1" a="1"/>
  <c r="I312" i="1" s="1"/>
  <c r="I313" i="1" a="1"/>
  <c r="I313" i="1" s="1"/>
  <c r="I314" i="1" a="1"/>
  <c r="I314" i="1" s="1"/>
  <c r="I315" i="1" a="1"/>
  <c r="I315" i="1" s="1"/>
  <c r="I316" i="1" a="1"/>
  <c r="I316" i="1" s="1"/>
  <c r="I317" i="1" a="1"/>
  <c r="I317" i="1" s="1"/>
  <c r="I318" i="1" a="1"/>
  <c r="I318" i="1" s="1"/>
  <c r="I319" i="1" a="1"/>
  <c r="I319" i="1" s="1"/>
  <c r="I320" i="1" a="1"/>
  <c r="I320" i="1" s="1"/>
  <c r="I321" i="1" a="1"/>
  <c r="I321" i="1" s="1"/>
  <c r="I322" i="1" a="1"/>
  <c r="I322" i="1" s="1"/>
  <c r="I323" i="1" a="1"/>
  <c r="I323" i="1" s="1"/>
  <c r="I324" i="1" a="1"/>
  <c r="I324" i="1" s="1"/>
  <c r="I325" i="1" a="1"/>
  <c r="I325" i="1" s="1"/>
  <c r="I326" i="1" a="1"/>
  <c r="I326" i="1" s="1"/>
  <c r="I327" i="1" a="1"/>
  <c r="I327" i="1" s="1"/>
  <c r="I328" i="1" a="1"/>
  <c r="I328" i="1" s="1"/>
  <c r="I329" i="1" a="1"/>
  <c r="I329" i="1" s="1"/>
  <c r="I330" i="1" a="1"/>
  <c r="I330" i="1" s="1"/>
  <c r="I331" i="1" a="1"/>
  <c r="I331" i="1" s="1"/>
  <c r="I332" i="1" a="1"/>
  <c r="I332" i="1" s="1"/>
  <c r="I333" i="1" a="1"/>
  <c r="I333" i="1" s="1"/>
  <c r="I334" i="1" a="1"/>
  <c r="I334" i="1" s="1"/>
  <c r="I335" i="1" a="1"/>
  <c r="I335" i="1" s="1"/>
  <c r="I336" i="1" a="1"/>
  <c r="I336" i="1" s="1"/>
  <c r="I337" i="1" a="1"/>
  <c r="I337" i="1" s="1"/>
  <c r="I338" i="1" a="1"/>
  <c r="I338" i="1" s="1"/>
  <c r="I339" i="1" a="1"/>
  <c r="I339" i="1" s="1"/>
  <c r="I340" i="1" a="1"/>
  <c r="I340" i="1" s="1"/>
  <c r="I341" i="1" a="1"/>
  <c r="I341" i="1" s="1"/>
  <c r="I342" i="1" a="1"/>
  <c r="I342" i="1" s="1"/>
  <c r="I343" i="1" a="1"/>
  <c r="I343" i="1" s="1"/>
  <c r="I344" i="1" a="1"/>
  <c r="I344" i="1" s="1"/>
  <c r="I345" i="1" a="1"/>
  <c r="I345" i="1" s="1"/>
  <c r="I346" i="1" a="1"/>
  <c r="I346" i="1" s="1"/>
  <c r="I347" i="1" a="1"/>
  <c r="I347" i="1" s="1"/>
  <c r="I348" i="1" a="1"/>
  <c r="I348" i="1" s="1"/>
  <c r="I349" i="1" a="1"/>
  <c r="I349" i="1" s="1"/>
  <c r="I350" i="1" a="1"/>
  <c r="I350" i="1" s="1"/>
  <c r="I351" i="1" a="1"/>
  <c r="I351" i="1" s="1"/>
  <c r="I352" i="1" a="1"/>
  <c r="I352" i="1" s="1"/>
  <c r="I353" i="1" a="1"/>
  <c r="I353" i="1" s="1"/>
  <c r="I354" i="1" a="1"/>
  <c r="I354" i="1" s="1"/>
  <c r="I355" i="1" a="1"/>
  <c r="I355" i="1" s="1"/>
  <c r="I356" i="1" a="1"/>
  <c r="I356" i="1" s="1"/>
  <c r="I357" i="1" a="1"/>
  <c r="I357" i="1" s="1"/>
  <c r="I358" i="1" a="1"/>
  <c r="I358" i="1" s="1"/>
  <c r="I359" i="1" a="1"/>
  <c r="I359" i="1" s="1"/>
  <c r="I360" i="1" a="1"/>
  <c r="I360" i="1" s="1"/>
  <c r="I361" i="1" a="1"/>
  <c r="I361" i="1" s="1"/>
  <c r="I362" i="1" a="1"/>
  <c r="I362" i="1" s="1"/>
  <c r="I363" i="1" a="1"/>
  <c r="I363" i="1" s="1"/>
  <c r="I364" i="1" a="1"/>
  <c r="I364" i="1" s="1"/>
  <c r="I365" i="1" a="1"/>
  <c r="I365" i="1" s="1"/>
  <c r="I366" i="1" a="1"/>
  <c r="I366" i="1" s="1"/>
  <c r="I367" i="1" a="1"/>
  <c r="I367" i="1" s="1"/>
  <c r="I368" i="1" a="1"/>
  <c r="I368" i="1" s="1"/>
  <c r="I369" i="1" a="1"/>
  <c r="I369" i="1" s="1"/>
  <c r="I370" i="1" a="1"/>
  <c r="I370" i="1" s="1"/>
  <c r="I371" i="1" a="1"/>
  <c r="I371" i="1" s="1"/>
  <c r="I372" i="1" a="1"/>
  <c r="I372" i="1" s="1"/>
  <c r="I373" i="1" a="1"/>
  <c r="I373" i="1" s="1"/>
  <c r="I374" i="1" a="1"/>
  <c r="I374" i="1" s="1"/>
  <c r="I375" i="1" a="1"/>
  <c r="I375" i="1" s="1"/>
  <c r="I376" i="1" a="1"/>
  <c r="I376" i="1" s="1"/>
  <c r="I377" i="1" a="1"/>
  <c r="I377" i="1" s="1"/>
  <c r="I378" i="1" a="1"/>
  <c r="I378" i="1" s="1"/>
  <c r="I379" i="1" a="1"/>
  <c r="I379" i="1" s="1"/>
  <c r="I380" i="1" a="1"/>
  <c r="I380" i="1" s="1"/>
  <c r="I381" i="1" a="1"/>
  <c r="I381" i="1" s="1"/>
  <c r="I382" i="1" a="1"/>
  <c r="I382" i="1" s="1"/>
  <c r="I383" i="1" a="1"/>
  <c r="I383" i="1" s="1"/>
  <c r="I384" i="1" a="1"/>
  <c r="I384" i="1" s="1"/>
  <c r="I385" i="1" a="1"/>
  <c r="I385" i="1" s="1"/>
  <c r="I386" i="1" a="1"/>
  <c r="I386" i="1" s="1"/>
  <c r="I387" i="1" a="1"/>
  <c r="I387" i="1" s="1"/>
  <c r="I388" i="1" a="1"/>
  <c r="I388" i="1" s="1"/>
  <c r="I389" i="1" a="1"/>
  <c r="I389" i="1" s="1"/>
  <c r="I390" i="1" a="1"/>
  <c r="I390" i="1" s="1"/>
  <c r="I391" i="1" a="1"/>
  <c r="I391" i="1" s="1"/>
  <c r="I392" i="1" a="1"/>
  <c r="I392" i="1" s="1"/>
  <c r="I393" i="1" a="1"/>
  <c r="I393" i="1" s="1"/>
  <c r="I394" i="1" a="1"/>
  <c r="I394" i="1" s="1"/>
  <c r="I395" i="1" a="1"/>
  <c r="I395" i="1" s="1"/>
  <c r="I396" i="1" a="1"/>
  <c r="I396" i="1" s="1"/>
  <c r="I397" i="1" a="1"/>
  <c r="I397" i="1" s="1"/>
  <c r="I398" i="1" a="1"/>
  <c r="I398" i="1" s="1"/>
  <c r="I399" i="1" a="1"/>
  <c r="I399" i="1" s="1"/>
  <c r="I400" i="1" a="1"/>
  <c r="I400" i="1" s="1"/>
  <c r="I401" i="1" a="1"/>
  <c r="I401" i="1" s="1"/>
  <c r="I402" i="1" a="1"/>
  <c r="I402" i="1" s="1"/>
  <c r="I403" i="1" a="1"/>
  <c r="I403" i="1" s="1"/>
  <c r="I404" i="1" a="1"/>
  <c r="I404" i="1" s="1"/>
  <c r="I405" i="1" a="1"/>
  <c r="I405" i="1" s="1"/>
  <c r="I406" i="1" a="1"/>
  <c r="I406" i="1" s="1"/>
  <c r="I407" i="1" a="1"/>
  <c r="I407" i="1" s="1"/>
  <c r="I408" i="1" a="1"/>
  <c r="I408" i="1" s="1"/>
  <c r="I409" i="1" a="1"/>
  <c r="I409" i="1" s="1"/>
  <c r="I410" i="1" a="1"/>
  <c r="I410" i="1" s="1"/>
  <c r="I411" i="1" a="1"/>
  <c r="I411" i="1" s="1"/>
  <c r="I412" i="1" a="1"/>
  <c r="I412" i="1" s="1"/>
  <c r="I413" i="1" a="1"/>
  <c r="I413" i="1" s="1"/>
  <c r="I414" i="1" a="1"/>
  <c r="I414" i="1" s="1"/>
  <c r="I415" i="1" a="1"/>
  <c r="I415" i="1" s="1"/>
  <c r="I416" i="1" a="1"/>
  <c r="I416" i="1" s="1"/>
  <c r="I417" i="1" a="1"/>
  <c r="I417" i="1" s="1"/>
  <c r="I418" i="1" a="1"/>
  <c r="I418" i="1" s="1"/>
  <c r="I419" i="1" a="1"/>
  <c r="I419" i="1" s="1"/>
  <c r="I420" i="1" a="1"/>
  <c r="I420" i="1" s="1"/>
  <c r="I421" i="1" a="1"/>
  <c r="I421" i="1" s="1"/>
  <c r="I422" i="1" a="1"/>
  <c r="I422" i="1" s="1"/>
  <c r="I423" i="1" a="1"/>
  <c r="I423" i="1" s="1"/>
  <c r="I424" i="1" a="1"/>
  <c r="I424" i="1" s="1"/>
  <c r="I425" i="1" a="1"/>
  <c r="I425" i="1" s="1"/>
  <c r="I426" i="1" a="1"/>
  <c r="I426" i="1" s="1"/>
  <c r="I427" i="1" a="1"/>
  <c r="I427" i="1" s="1"/>
  <c r="I428" i="1" a="1"/>
  <c r="I428" i="1" s="1"/>
  <c r="I429" i="1" a="1"/>
  <c r="I429" i="1" s="1"/>
  <c r="I430" i="1" a="1"/>
  <c r="I430" i="1" s="1"/>
  <c r="I431" i="1" a="1"/>
  <c r="I431" i="1" s="1"/>
  <c r="I432" i="1" a="1"/>
  <c r="I432" i="1" s="1"/>
  <c r="I433" i="1" a="1"/>
  <c r="I433" i="1" s="1"/>
  <c r="I434" i="1" a="1"/>
  <c r="I434" i="1" s="1"/>
  <c r="I435" i="1" a="1"/>
  <c r="I435" i="1" s="1"/>
  <c r="I436" i="1" a="1"/>
  <c r="I436" i="1" s="1"/>
  <c r="I437" i="1" a="1"/>
  <c r="I437" i="1" s="1"/>
  <c r="I438" i="1" a="1"/>
  <c r="I438" i="1" s="1"/>
  <c r="I439" i="1" a="1"/>
  <c r="I439" i="1" s="1"/>
  <c r="I440" i="1" a="1"/>
  <c r="I440" i="1" s="1"/>
  <c r="I441" i="1" a="1"/>
  <c r="I441" i="1" s="1"/>
  <c r="I442" i="1" a="1"/>
  <c r="I442" i="1" s="1"/>
  <c r="I443" i="1" a="1"/>
  <c r="I443" i="1" s="1"/>
  <c r="I444" i="1" a="1"/>
  <c r="I444" i="1" s="1"/>
  <c r="I445" i="1" a="1"/>
  <c r="I445" i="1" s="1"/>
  <c r="I446" i="1" a="1"/>
  <c r="I446" i="1" s="1"/>
  <c r="I447" i="1" a="1"/>
  <c r="I447" i="1" s="1"/>
  <c r="I448" i="1" a="1"/>
  <c r="I448" i="1" s="1"/>
  <c r="I449" i="1" a="1"/>
  <c r="I449" i="1" s="1"/>
  <c r="I450" i="1" a="1"/>
  <c r="I450" i="1" s="1"/>
  <c r="I451" i="1" a="1"/>
  <c r="I451" i="1" s="1"/>
  <c r="I452" i="1" a="1"/>
  <c r="I452" i="1" s="1"/>
  <c r="I453" i="1" a="1"/>
  <c r="I453" i="1" s="1"/>
  <c r="I454" i="1" a="1"/>
  <c r="I454" i="1" s="1"/>
  <c r="I455" i="1" a="1"/>
  <c r="I455" i="1" s="1"/>
  <c r="I456" i="1" a="1"/>
  <c r="I456" i="1" s="1"/>
  <c r="I457" i="1" a="1"/>
  <c r="I457" i="1" s="1"/>
  <c r="I458" i="1" a="1"/>
  <c r="I458" i="1" s="1"/>
  <c r="I459" i="1" a="1"/>
  <c r="I459" i="1" s="1"/>
  <c r="I460" i="1" a="1"/>
  <c r="I460" i="1" s="1"/>
  <c r="I461" i="1" a="1"/>
  <c r="I461" i="1" s="1"/>
  <c r="I462" i="1" a="1"/>
  <c r="I462" i="1" s="1"/>
  <c r="I463" i="1" a="1"/>
  <c r="I463" i="1" s="1"/>
  <c r="I464" i="1" a="1"/>
  <c r="I464" i="1" s="1"/>
  <c r="I465" i="1" a="1"/>
  <c r="I465" i="1" s="1"/>
  <c r="I466" i="1" a="1"/>
  <c r="I466" i="1" s="1"/>
  <c r="I467" i="1" a="1"/>
  <c r="I467" i="1" s="1"/>
  <c r="I468" i="1" a="1"/>
  <c r="I468" i="1" s="1"/>
  <c r="I469" i="1" a="1"/>
  <c r="I469" i="1" s="1"/>
  <c r="I470" i="1" a="1"/>
  <c r="I470" i="1" s="1"/>
  <c r="I471" i="1" a="1"/>
  <c r="I471" i="1" s="1"/>
  <c r="I472" i="1" a="1"/>
  <c r="I472" i="1" s="1"/>
  <c r="I473" i="1" a="1"/>
  <c r="I473" i="1" s="1"/>
  <c r="I474" i="1" a="1"/>
  <c r="I474" i="1" s="1"/>
  <c r="I475" i="1" a="1"/>
  <c r="I475" i="1" s="1"/>
  <c r="I476" i="1" a="1"/>
  <c r="I476" i="1" s="1"/>
  <c r="I477" i="1" a="1"/>
  <c r="I477" i="1" s="1"/>
  <c r="I478" i="1" a="1"/>
  <c r="I478" i="1" s="1"/>
  <c r="I479" i="1" a="1"/>
  <c r="I479" i="1" s="1"/>
  <c r="I480" i="1" a="1"/>
  <c r="I480" i="1" s="1"/>
  <c r="I481" i="1" a="1"/>
  <c r="I481" i="1" s="1"/>
  <c r="I482" i="1" a="1"/>
  <c r="I482" i="1" s="1"/>
  <c r="I483" i="1" a="1"/>
  <c r="I483" i="1" s="1"/>
  <c r="I484" i="1" a="1"/>
  <c r="I484" i="1" s="1"/>
  <c r="I485" i="1" a="1"/>
  <c r="I485" i="1" s="1"/>
  <c r="I486" i="1" a="1"/>
  <c r="I486" i="1" s="1"/>
  <c r="I487" i="1" a="1"/>
  <c r="I487" i="1" s="1"/>
  <c r="I488" i="1" a="1"/>
  <c r="I488" i="1" s="1"/>
  <c r="I489" i="1" a="1"/>
  <c r="I489" i="1" s="1"/>
  <c r="I490" i="1" a="1"/>
  <c r="I490" i="1" s="1"/>
  <c r="I491" i="1" a="1"/>
  <c r="I491" i="1" s="1"/>
  <c r="I492" i="1" a="1"/>
  <c r="I492" i="1" s="1"/>
  <c r="I493" i="1" a="1"/>
  <c r="I493" i="1" s="1"/>
  <c r="I494" i="1" a="1"/>
  <c r="I494" i="1" s="1"/>
  <c r="I495" i="1" a="1"/>
  <c r="I495" i="1" s="1"/>
  <c r="I496" i="1" a="1"/>
  <c r="I496" i="1" s="1"/>
  <c r="I497" i="1" a="1"/>
  <c r="I497" i="1" s="1"/>
  <c r="I498" i="1" a="1"/>
  <c r="I498" i="1" s="1"/>
  <c r="I499" i="1" a="1"/>
  <c r="I499" i="1" s="1"/>
  <c r="I500" i="1" a="1"/>
  <c r="I500" i="1" s="1"/>
  <c r="I501" i="1" a="1"/>
  <c r="I501" i="1" s="1"/>
  <c r="I502" i="1" a="1"/>
  <c r="I502" i="1" s="1"/>
  <c r="I503" i="1" a="1"/>
  <c r="I503" i="1" s="1"/>
  <c r="I504" i="1" a="1"/>
  <c r="I504" i="1" s="1"/>
  <c r="I505" i="1" a="1"/>
  <c r="I505" i="1" s="1"/>
  <c r="I506" i="1" a="1"/>
  <c r="I506" i="1" s="1"/>
  <c r="I507" i="1" a="1"/>
  <c r="I507" i="1" s="1"/>
  <c r="I508" i="1" a="1"/>
  <c r="I508" i="1" s="1"/>
  <c r="I509" i="1" a="1"/>
  <c r="I509" i="1" s="1"/>
  <c r="I510" i="1" a="1"/>
  <c r="I510" i="1" s="1"/>
  <c r="I511" i="1" a="1"/>
  <c r="I511" i="1" s="1"/>
  <c r="I512" i="1" a="1"/>
  <c r="I512" i="1" s="1"/>
  <c r="I513" i="1" a="1"/>
  <c r="I513" i="1" s="1"/>
  <c r="I514" i="1" a="1"/>
  <c r="I514" i="1" s="1"/>
  <c r="I515" i="1" a="1"/>
  <c r="I515" i="1" s="1"/>
  <c r="I516" i="1" a="1"/>
  <c r="I516" i="1" s="1"/>
  <c r="I517" i="1" a="1"/>
  <c r="I517" i="1" s="1"/>
  <c r="I518" i="1" a="1"/>
  <c r="I518" i="1" s="1"/>
  <c r="I519" i="1" a="1"/>
  <c r="I519" i="1" s="1"/>
  <c r="I520" i="1" a="1"/>
  <c r="I520" i="1" s="1"/>
  <c r="I521" i="1" a="1"/>
  <c r="I521" i="1" s="1"/>
  <c r="I522" i="1" a="1"/>
  <c r="I522" i="1" s="1"/>
  <c r="I523" i="1" a="1"/>
  <c r="I523" i="1" s="1"/>
  <c r="I524" i="1" a="1"/>
  <c r="I524" i="1" s="1"/>
  <c r="I525" i="1" a="1"/>
  <c r="I525" i="1" s="1"/>
  <c r="I526" i="1" a="1"/>
  <c r="I526" i="1" s="1"/>
  <c r="I527" i="1" a="1"/>
  <c r="I527" i="1" s="1"/>
  <c r="I528" i="1" a="1"/>
  <c r="I528" i="1" s="1"/>
  <c r="I529" i="1" a="1"/>
  <c r="I529" i="1" s="1"/>
  <c r="I530" i="1" a="1"/>
  <c r="I530" i="1" s="1"/>
  <c r="I531" i="1" a="1"/>
  <c r="I531" i="1" s="1"/>
  <c r="I532" i="1" a="1"/>
  <c r="I532" i="1" s="1"/>
  <c r="I533" i="1" a="1"/>
  <c r="I533" i="1" s="1"/>
  <c r="I534" i="1" a="1"/>
  <c r="I534" i="1" s="1"/>
  <c r="I535" i="1" a="1"/>
  <c r="I535" i="1" s="1"/>
  <c r="I536" i="1" a="1"/>
  <c r="I536" i="1" s="1"/>
  <c r="I537" i="1" a="1"/>
  <c r="I537" i="1" s="1"/>
  <c r="I538" i="1" a="1"/>
  <c r="I538" i="1" s="1"/>
  <c r="I539" i="1" a="1"/>
  <c r="I539" i="1" s="1"/>
  <c r="I540" i="1" a="1"/>
  <c r="I540" i="1" s="1"/>
  <c r="I541" i="1" a="1"/>
  <c r="I541" i="1" s="1"/>
  <c r="I542" i="1" a="1"/>
  <c r="I542" i="1" s="1"/>
  <c r="I543" i="1" a="1"/>
  <c r="I543" i="1" s="1"/>
  <c r="I544" i="1" a="1"/>
  <c r="I544" i="1" s="1"/>
  <c r="I545" i="1" a="1"/>
  <c r="I545" i="1" s="1"/>
  <c r="I546" i="1" a="1"/>
  <c r="I546" i="1" s="1"/>
  <c r="I547" i="1" a="1"/>
  <c r="I547" i="1" s="1"/>
  <c r="I548" i="1" a="1"/>
  <c r="I548" i="1" s="1"/>
  <c r="I549" i="1" a="1"/>
  <c r="I549" i="1" s="1"/>
  <c r="I550" i="1" a="1"/>
  <c r="I550" i="1" s="1"/>
  <c r="I551" i="1" a="1"/>
  <c r="I551" i="1" s="1"/>
  <c r="I552" i="1" a="1"/>
  <c r="I552" i="1" s="1"/>
  <c r="I553" i="1" a="1"/>
  <c r="I553" i="1" s="1"/>
  <c r="I554" i="1" a="1"/>
  <c r="I554" i="1" s="1"/>
  <c r="I555" i="1" a="1"/>
  <c r="I555" i="1" s="1"/>
  <c r="I556" i="1" a="1"/>
  <c r="I556" i="1" s="1"/>
  <c r="I557" i="1" a="1"/>
  <c r="I557" i="1" s="1"/>
  <c r="I558" i="1" a="1"/>
  <c r="I558" i="1" s="1"/>
  <c r="I559" i="1" a="1"/>
  <c r="I559" i="1" s="1"/>
  <c r="I560" i="1" a="1"/>
  <c r="I560" i="1" s="1"/>
  <c r="I561" i="1" a="1"/>
  <c r="I561" i="1" s="1"/>
  <c r="I562" i="1" a="1"/>
  <c r="I562" i="1" s="1"/>
  <c r="I563" i="1" a="1"/>
  <c r="I563" i="1" s="1"/>
  <c r="I564" i="1" a="1"/>
  <c r="I564" i="1" s="1"/>
  <c r="I565" i="1" a="1"/>
  <c r="I565" i="1" s="1"/>
  <c r="I566" i="1" a="1"/>
  <c r="I566" i="1" s="1"/>
  <c r="I567" i="1" a="1"/>
  <c r="I567" i="1" s="1"/>
  <c r="I568" i="1" a="1"/>
  <c r="I568" i="1" s="1"/>
  <c r="I569" i="1" a="1"/>
  <c r="I569" i="1" s="1"/>
  <c r="I570" i="1" a="1"/>
  <c r="I570" i="1" s="1"/>
  <c r="I571" i="1" a="1"/>
  <c r="I571" i="1" s="1"/>
  <c r="I572" i="1" a="1"/>
  <c r="I572" i="1" s="1"/>
  <c r="I573" i="1" a="1"/>
  <c r="I573" i="1" s="1"/>
  <c r="I574" i="1" a="1"/>
  <c r="I574" i="1" s="1"/>
  <c r="I575" i="1" a="1"/>
  <c r="I575" i="1" s="1"/>
  <c r="I576" i="1" a="1"/>
  <c r="I576" i="1" s="1"/>
  <c r="I577" i="1" a="1"/>
  <c r="I577" i="1" s="1"/>
  <c r="I578" i="1" a="1"/>
  <c r="I578" i="1" s="1"/>
  <c r="I579" i="1" a="1"/>
  <c r="I579" i="1" s="1"/>
  <c r="I580" i="1" a="1"/>
  <c r="I580" i="1" s="1"/>
  <c r="I581" i="1" a="1"/>
  <c r="I581" i="1" s="1"/>
  <c r="I582" i="1" a="1"/>
  <c r="I582" i="1" s="1"/>
  <c r="I583" i="1" a="1"/>
  <c r="I583" i="1" s="1"/>
  <c r="I584" i="1" a="1"/>
  <c r="I584" i="1" s="1"/>
  <c r="I585" i="1" a="1"/>
  <c r="I585" i="1" s="1"/>
  <c r="I586" i="1" a="1"/>
  <c r="I586" i="1" s="1"/>
  <c r="I587" i="1" a="1"/>
  <c r="I587" i="1" s="1"/>
  <c r="I588" i="1" a="1"/>
  <c r="I588" i="1" s="1"/>
  <c r="I589" i="1" a="1"/>
  <c r="I589" i="1" s="1"/>
  <c r="I590" i="1" a="1"/>
  <c r="I590" i="1" s="1"/>
  <c r="I591" i="1" a="1"/>
  <c r="I591" i="1" s="1"/>
  <c r="I592" i="1" a="1"/>
  <c r="I592" i="1" s="1"/>
  <c r="I593" i="1" a="1"/>
  <c r="I593" i="1" s="1"/>
  <c r="I594" i="1" a="1"/>
  <c r="I594" i="1" s="1"/>
  <c r="I595" i="1" a="1"/>
  <c r="I595" i="1" s="1"/>
  <c r="I596" i="1" a="1"/>
  <c r="I596" i="1" s="1"/>
  <c r="I597" i="1" a="1"/>
  <c r="I597" i="1" s="1"/>
  <c r="I598" i="1" a="1"/>
  <c r="I598" i="1" s="1"/>
  <c r="I599" i="1" a="1"/>
  <c r="I599" i="1" s="1"/>
  <c r="I600" i="1" a="1"/>
  <c r="I600" i="1" s="1"/>
  <c r="I601" i="1" a="1"/>
  <c r="I601" i="1" s="1"/>
  <c r="I602" i="1" a="1"/>
  <c r="I602" i="1" s="1"/>
  <c r="I603" i="1" a="1"/>
  <c r="I603" i="1" s="1"/>
  <c r="I604" i="1" a="1"/>
  <c r="I604" i="1" s="1"/>
  <c r="I605" i="1" a="1"/>
  <c r="I605" i="1" s="1"/>
  <c r="I606" i="1" a="1"/>
  <c r="I606" i="1" s="1"/>
  <c r="I607" i="1" a="1"/>
  <c r="I607" i="1" s="1"/>
  <c r="I608" i="1" a="1"/>
  <c r="I608" i="1" s="1"/>
  <c r="I609" i="1" a="1"/>
  <c r="I609" i="1" s="1"/>
  <c r="I610" i="1" a="1"/>
  <c r="I610" i="1" s="1"/>
  <c r="I611" i="1" a="1"/>
  <c r="I611" i="1" s="1"/>
  <c r="I612" i="1" a="1"/>
  <c r="I612" i="1" s="1"/>
  <c r="I613" i="1" a="1"/>
  <c r="I613" i="1" s="1"/>
  <c r="I614" i="1" a="1"/>
  <c r="I614" i="1" s="1"/>
  <c r="I615" i="1" a="1"/>
  <c r="I615" i="1" s="1"/>
  <c r="I616" i="1" a="1"/>
  <c r="I616" i="1" s="1"/>
  <c r="I617" i="1" a="1"/>
  <c r="I617" i="1" s="1"/>
  <c r="I618" i="1" a="1"/>
  <c r="I618" i="1" s="1"/>
  <c r="I619" i="1" a="1"/>
  <c r="I619" i="1" s="1"/>
  <c r="I620" i="1" a="1"/>
  <c r="I620" i="1" s="1"/>
  <c r="I621" i="1" a="1"/>
  <c r="I621" i="1" s="1"/>
  <c r="I622" i="1" a="1"/>
  <c r="I622" i="1" s="1"/>
  <c r="I623" i="1" a="1"/>
  <c r="I623" i="1" s="1"/>
  <c r="I624" i="1" a="1"/>
  <c r="I624" i="1" s="1"/>
  <c r="I625" i="1" a="1"/>
  <c r="I625" i="1" s="1"/>
  <c r="I626" i="1" a="1"/>
  <c r="I626" i="1" s="1"/>
  <c r="I627" i="1" a="1"/>
  <c r="I627" i="1" s="1"/>
  <c r="I628" i="1" a="1"/>
  <c r="I628" i="1" s="1"/>
  <c r="I629" i="1" a="1"/>
  <c r="I629" i="1" s="1"/>
  <c r="I630" i="1" a="1"/>
  <c r="I630" i="1" s="1"/>
  <c r="I631" i="1" a="1"/>
  <c r="I631" i="1" s="1"/>
  <c r="I632" i="1" a="1"/>
  <c r="I632" i="1" s="1"/>
  <c r="I633" i="1" a="1"/>
  <c r="I633" i="1" s="1"/>
  <c r="I634" i="1" a="1"/>
  <c r="I634" i="1" s="1"/>
  <c r="I635" i="1" a="1"/>
  <c r="I635" i="1" s="1"/>
  <c r="I636" i="1" a="1"/>
  <c r="I636" i="1" s="1"/>
  <c r="I637" i="1" a="1"/>
  <c r="I637" i="1" s="1"/>
  <c r="I638" i="1" a="1"/>
  <c r="I638" i="1" s="1"/>
  <c r="I639" i="1" a="1"/>
  <c r="I639" i="1" s="1"/>
  <c r="I640" i="1" a="1"/>
  <c r="I640" i="1" s="1"/>
  <c r="I641" i="1" a="1"/>
  <c r="I641" i="1" s="1"/>
  <c r="I642" i="1" a="1"/>
  <c r="I642" i="1" s="1"/>
  <c r="I643" i="1" a="1"/>
  <c r="I643" i="1" s="1"/>
  <c r="I644" i="1" a="1"/>
  <c r="I644" i="1" s="1"/>
  <c r="I645" i="1" a="1"/>
  <c r="I645" i="1" s="1"/>
  <c r="I646" i="1" a="1"/>
  <c r="I646" i="1" s="1"/>
  <c r="I647" i="1" a="1"/>
  <c r="I647" i="1" s="1"/>
  <c r="I648" i="1" a="1"/>
  <c r="I648" i="1" s="1"/>
  <c r="I649" i="1" a="1"/>
  <c r="I649" i="1" s="1"/>
  <c r="I650" i="1" a="1"/>
  <c r="I650" i="1" s="1"/>
  <c r="I651" i="1" a="1"/>
  <c r="I651" i="1" s="1"/>
  <c r="I652" i="1" a="1"/>
  <c r="I652" i="1" s="1"/>
  <c r="I653" i="1" a="1"/>
  <c r="I653" i="1" s="1"/>
  <c r="I654" i="1" a="1"/>
  <c r="I654" i="1" s="1"/>
  <c r="I655" i="1" a="1"/>
  <c r="I655" i="1" s="1"/>
  <c r="I656" i="1" a="1"/>
  <c r="I656" i="1" s="1"/>
  <c r="I657" i="1" a="1"/>
  <c r="I657" i="1" s="1"/>
  <c r="I658" i="1" a="1"/>
  <c r="I658" i="1" s="1"/>
  <c r="I659" i="1" a="1"/>
  <c r="I659" i="1" s="1"/>
  <c r="I660" i="1" a="1"/>
  <c r="I660" i="1" s="1"/>
  <c r="I661" i="1" a="1"/>
  <c r="I661" i="1" s="1"/>
  <c r="I662" i="1" a="1"/>
  <c r="I662" i="1" s="1"/>
  <c r="I663" i="1" a="1"/>
  <c r="I663" i="1" s="1"/>
  <c r="I664" i="1" a="1"/>
  <c r="I664" i="1" s="1"/>
  <c r="I665" i="1" a="1"/>
  <c r="I665" i="1" s="1"/>
  <c r="I666" i="1" a="1"/>
  <c r="I666" i="1" s="1"/>
  <c r="I667" i="1" a="1"/>
  <c r="I667" i="1" s="1"/>
  <c r="I668" i="1" a="1"/>
  <c r="I668" i="1" s="1"/>
  <c r="I669" i="1" a="1"/>
  <c r="I669" i="1" s="1"/>
  <c r="I670" i="1" a="1"/>
  <c r="I670" i="1" s="1"/>
  <c r="I671" i="1" a="1"/>
  <c r="I671" i="1" s="1"/>
  <c r="I672" i="1" a="1"/>
  <c r="I672" i="1" s="1"/>
  <c r="I673" i="1" a="1"/>
  <c r="I673" i="1" s="1"/>
  <c r="I674" i="1" a="1"/>
  <c r="I674" i="1" s="1"/>
  <c r="I675" i="1" a="1"/>
  <c r="I675" i="1" s="1"/>
  <c r="I676" i="1" a="1"/>
  <c r="I676" i="1" s="1"/>
  <c r="I677" i="1" a="1"/>
  <c r="I677" i="1" s="1"/>
  <c r="I678" i="1" a="1"/>
  <c r="I678" i="1" s="1"/>
  <c r="I679" i="1" a="1"/>
  <c r="I679" i="1" s="1"/>
  <c r="I680" i="1" a="1"/>
  <c r="I680" i="1" s="1"/>
  <c r="I681" i="1" a="1"/>
  <c r="I681" i="1" s="1"/>
  <c r="I682" i="1" a="1"/>
  <c r="I682" i="1" s="1"/>
  <c r="I683" i="1" a="1"/>
  <c r="I683" i="1" s="1"/>
  <c r="I684" i="1" a="1"/>
  <c r="I684" i="1" s="1"/>
  <c r="I685" i="1" a="1"/>
  <c r="I685" i="1" s="1"/>
  <c r="I686" i="1" a="1"/>
  <c r="I686" i="1" s="1"/>
  <c r="I687" i="1" a="1"/>
  <c r="I687" i="1" s="1"/>
  <c r="I688" i="1" a="1"/>
  <c r="I688" i="1" s="1"/>
  <c r="I689" i="1" a="1"/>
  <c r="I689" i="1" s="1"/>
  <c r="I690" i="1" a="1"/>
  <c r="I690" i="1" s="1"/>
  <c r="I691" i="1" a="1"/>
  <c r="I691" i="1" s="1"/>
  <c r="I692" i="1" a="1"/>
  <c r="I692" i="1" s="1"/>
  <c r="I693" i="1" a="1"/>
  <c r="I693" i="1" s="1"/>
  <c r="I694" i="1" a="1"/>
  <c r="I694" i="1" s="1"/>
  <c r="I695" i="1" a="1"/>
  <c r="I695" i="1" s="1"/>
  <c r="I696" i="1" a="1"/>
  <c r="I696" i="1" s="1"/>
  <c r="I697" i="1" a="1"/>
  <c r="I697" i="1" s="1"/>
  <c r="I698" i="1" a="1"/>
  <c r="I698" i="1" s="1"/>
  <c r="I699" i="1" a="1"/>
  <c r="I699" i="1" s="1"/>
  <c r="I700" i="1" a="1"/>
  <c r="I700" i="1" s="1"/>
  <c r="I701" i="1" a="1"/>
  <c r="I701" i="1" s="1"/>
  <c r="I702" i="1" a="1"/>
  <c r="I702" i="1" s="1"/>
  <c r="I703" i="1" a="1"/>
  <c r="I703" i="1" s="1"/>
  <c r="I704" i="1" a="1"/>
  <c r="I704" i="1" s="1"/>
  <c r="I705" i="1" a="1"/>
  <c r="I705" i="1" s="1"/>
  <c r="I706" i="1" a="1"/>
  <c r="I706" i="1" s="1"/>
  <c r="I707" i="1" a="1"/>
  <c r="I707" i="1" s="1"/>
  <c r="I708" i="1" a="1"/>
  <c r="I708" i="1" s="1"/>
  <c r="I709" i="1" a="1"/>
  <c r="I709" i="1" s="1"/>
  <c r="I710" i="1" a="1"/>
  <c r="I710" i="1" s="1"/>
  <c r="I711" i="1" a="1"/>
  <c r="I711" i="1" s="1"/>
  <c r="I712" i="1" a="1"/>
  <c r="I712" i="1" s="1"/>
  <c r="I713" i="1" a="1"/>
  <c r="I713" i="1" s="1"/>
  <c r="I714" i="1" a="1"/>
  <c r="I714" i="1" s="1"/>
  <c r="I715" i="1" a="1"/>
  <c r="I715" i="1" s="1"/>
  <c r="I716" i="1" a="1"/>
  <c r="I716" i="1" s="1"/>
  <c r="I717" i="1" a="1"/>
  <c r="I717" i="1" s="1"/>
  <c r="I718" i="1" a="1"/>
  <c r="I718" i="1" s="1"/>
  <c r="I719" i="1" a="1"/>
  <c r="I719" i="1" s="1"/>
  <c r="I720" i="1" a="1"/>
  <c r="I720" i="1" s="1"/>
  <c r="I721" i="1" a="1"/>
  <c r="I721" i="1" s="1"/>
  <c r="I722" i="1" a="1"/>
  <c r="I722" i="1" s="1"/>
  <c r="I723" i="1" a="1"/>
  <c r="I723" i="1" s="1"/>
  <c r="I724" i="1" a="1"/>
  <c r="I724" i="1" s="1"/>
  <c r="I725" i="1" a="1"/>
  <c r="I725" i="1" s="1"/>
  <c r="I726" i="1" a="1"/>
  <c r="I726" i="1" s="1"/>
  <c r="I727" i="1" a="1"/>
  <c r="I727" i="1" s="1"/>
  <c r="I728" i="1" a="1"/>
  <c r="I728" i="1" s="1"/>
  <c r="I729" i="1" a="1"/>
  <c r="I729" i="1" s="1"/>
  <c r="I730" i="1" a="1"/>
  <c r="I730" i="1" s="1"/>
  <c r="I731" i="1" a="1"/>
  <c r="I731" i="1" s="1"/>
  <c r="I732" i="1" a="1"/>
  <c r="I732" i="1" s="1"/>
  <c r="I733" i="1" a="1"/>
  <c r="I733" i="1" s="1"/>
  <c r="I734" i="1" a="1"/>
  <c r="I734" i="1" s="1"/>
  <c r="I735" i="1" a="1"/>
  <c r="I735" i="1" s="1"/>
  <c r="I736" i="1" a="1"/>
  <c r="I736" i="1" s="1"/>
  <c r="I737" i="1" a="1"/>
  <c r="I737" i="1" s="1"/>
  <c r="I738" i="1" a="1"/>
  <c r="I738" i="1" s="1"/>
  <c r="I739" i="1" a="1"/>
  <c r="I739" i="1" s="1"/>
  <c r="I740" i="1" a="1"/>
  <c r="I740" i="1" s="1"/>
  <c r="I741" i="1" a="1"/>
  <c r="I741" i="1" s="1"/>
  <c r="I742" i="1" a="1"/>
  <c r="I742" i="1" s="1"/>
  <c r="I743" i="1" a="1"/>
  <c r="I743" i="1" s="1"/>
  <c r="I744" i="1" a="1"/>
  <c r="I744" i="1" s="1"/>
  <c r="I745" i="1" a="1"/>
  <c r="I745" i="1" s="1"/>
  <c r="I746" i="1" a="1"/>
  <c r="I746" i="1" s="1"/>
  <c r="I747" i="1" a="1"/>
  <c r="I747" i="1" s="1"/>
  <c r="I748" i="1" a="1"/>
  <c r="I748" i="1" s="1"/>
  <c r="I749" i="1" a="1"/>
  <c r="I749" i="1" s="1"/>
  <c r="I750" i="1" a="1"/>
  <c r="I750" i="1" s="1"/>
  <c r="I751" i="1" a="1"/>
  <c r="I751" i="1" s="1"/>
  <c r="I752" i="1" a="1"/>
  <c r="I752" i="1" s="1"/>
  <c r="I753" i="1" a="1"/>
  <c r="I753" i="1" s="1"/>
  <c r="I754" i="1" a="1"/>
  <c r="I754" i="1" s="1"/>
  <c r="I755" i="1" a="1"/>
  <c r="I755" i="1" s="1"/>
  <c r="I756" i="1" a="1"/>
  <c r="I756" i="1" s="1"/>
  <c r="I757" i="1" a="1"/>
  <c r="I757" i="1" s="1"/>
  <c r="I758" i="1" a="1"/>
  <c r="I758" i="1" s="1"/>
  <c r="I759" i="1" a="1"/>
  <c r="I759" i="1" s="1"/>
  <c r="I760" i="1" a="1"/>
  <c r="I760" i="1" s="1"/>
  <c r="I761" i="1" a="1"/>
  <c r="I761" i="1" s="1"/>
  <c r="I762" i="1" a="1"/>
  <c r="I762" i="1" s="1"/>
  <c r="I763" i="1" a="1"/>
  <c r="I763" i="1" s="1"/>
  <c r="I764" i="1" a="1"/>
  <c r="I764" i="1" s="1"/>
  <c r="I765" i="1" a="1"/>
  <c r="I765" i="1" s="1"/>
  <c r="I766" i="1" a="1"/>
  <c r="I766" i="1" s="1"/>
  <c r="I767" i="1" a="1"/>
  <c r="I767" i="1" s="1"/>
  <c r="I768" i="1" a="1"/>
  <c r="I768" i="1" s="1"/>
  <c r="I769" i="1" a="1"/>
  <c r="I769" i="1" s="1"/>
  <c r="I770" i="1" a="1"/>
  <c r="I770" i="1" s="1"/>
  <c r="I771" i="1" a="1"/>
  <c r="I771" i="1" s="1"/>
  <c r="I772" i="1" a="1"/>
  <c r="I772" i="1" s="1"/>
  <c r="I773" i="1" a="1"/>
  <c r="I773" i="1" s="1"/>
  <c r="I774" i="1" a="1"/>
  <c r="I774" i="1" s="1"/>
  <c r="I775" i="1" a="1"/>
  <c r="I775" i="1" s="1"/>
  <c r="I776" i="1" a="1"/>
  <c r="I776" i="1" s="1"/>
  <c r="I777" i="1" a="1"/>
  <c r="I777" i="1" s="1"/>
  <c r="I778" i="1" a="1"/>
  <c r="I778" i="1" s="1"/>
  <c r="I779" i="1" a="1"/>
  <c r="I779" i="1" s="1"/>
  <c r="I780" i="1" a="1"/>
  <c r="I780" i="1" s="1"/>
  <c r="I781" i="1" a="1"/>
  <c r="I781" i="1" s="1"/>
  <c r="I782" i="1" a="1"/>
  <c r="I782" i="1" s="1"/>
  <c r="I783" i="1" a="1"/>
  <c r="I783" i="1" s="1"/>
  <c r="I784" i="1" a="1"/>
  <c r="I784" i="1" s="1"/>
  <c r="I785" i="1" a="1"/>
  <c r="I785" i="1" s="1"/>
  <c r="I786" i="1" a="1"/>
  <c r="I786" i="1" s="1"/>
  <c r="I787" i="1" a="1"/>
  <c r="I787" i="1" s="1"/>
  <c r="I788" i="1" a="1"/>
  <c r="I788" i="1" s="1"/>
  <c r="I789" i="1" a="1"/>
  <c r="I789" i="1" s="1"/>
  <c r="I790" i="1" a="1"/>
  <c r="I790" i="1" s="1"/>
  <c r="I791" i="1" a="1"/>
  <c r="I791" i="1" s="1"/>
  <c r="I792" i="1" a="1"/>
  <c r="I792" i="1" s="1"/>
  <c r="I793" i="1" a="1"/>
  <c r="I793" i="1" s="1"/>
  <c r="I794" i="1" a="1"/>
  <c r="I794" i="1" s="1"/>
  <c r="I795" i="1" a="1"/>
  <c r="I795" i="1" s="1"/>
  <c r="I796" i="1" a="1"/>
  <c r="I796" i="1" s="1"/>
  <c r="I797" i="1" a="1"/>
  <c r="I797" i="1" s="1"/>
  <c r="I798" i="1" a="1"/>
  <c r="I798" i="1" s="1"/>
  <c r="I799" i="1" a="1"/>
  <c r="I799" i="1" s="1"/>
  <c r="I800" i="1" a="1"/>
  <c r="I800" i="1" s="1"/>
  <c r="I801" i="1" a="1"/>
  <c r="I801" i="1" s="1"/>
  <c r="I802" i="1" a="1"/>
  <c r="I802" i="1" s="1"/>
  <c r="I803" i="1" a="1"/>
  <c r="I803" i="1" s="1"/>
  <c r="I804" i="1" a="1"/>
  <c r="I804" i="1" s="1"/>
  <c r="I805" i="1" a="1"/>
  <c r="I805" i="1" s="1"/>
  <c r="I806" i="1" a="1"/>
  <c r="I806" i="1" s="1"/>
  <c r="I807" i="1" a="1"/>
  <c r="I807" i="1" s="1"/>
  <c r="I808" i="1" a="1"/>
  <c r="I808" i="1" s="1"/>
  <c r="I809" i="1" a="1"/>
  <c r="I809" i="1" s="1"/>
  <c r="I810" i="1" a="1"/>
  <c r="I810" i="1" s="1"/>
  <c r="I811" i="1" a="1"/>
  <c r="I811" i="1" s="1"/>
  <c r="I812" i="1" a="1"/>
  <c r="I812" i="1" s="1"/>
  <c r="I813" i="1" a="1"/>
  <c r="I813" i="1" s="1"/>
  <c r="I814" i="1" a="1"/>
  <c r="I814" i="1" s="1"/>
  <c r="I815" i="1" a="1"/>
  <c r="I815" i="1" s="1"/>
  <c r="I816" i="1" a="1"/>
  <c r="I816" i="1" s="1"/>
  <c r="I817" i="1" a="1"/>
  <c r="I817" i="1" s="1"/>
  <c r="I818" i="1" a="1"/>
  <c r="I818" i="1" s="1"/>
  <c r="I819" i="1" a="1"/>
  <c r="I819" i="1" s="1"/>
  <c r="I820" i="1" a="1"/>
  <c r="I820" i="1" s="1"/>
  <c r="I821" i="1" a="1"/>
  <c r="I821" i="1" s="1"/>
  <c r="I822" i="1" a="1"/>
  <c r="I822" i="1" s="1"/>
  <c r="I823" i="1" a="1"/>
  <c r="I823" i="1" s="1"/>
  <c r="I824" i="1" a="1"/>
  <c r="I824" i="1" s="1"/>
  <c r="I825" i="1" a="1"/>
  <c r="I825" i="1" s="1"/>
  <c r="I826" i="1" a="1"/>
  <c r="I826" i="1" s="1"/>
  <c r="I827" i="1" a="1"/>
  <c r="I827" i="1" s="1"/>
  <c r="I828" i="1" a="1"/>
  <c r="I828" i="1" s="1"/>
  <c r="I829" i="1" a="1"/>
  <c r="I829" i="1" s="1"/>
  <c r="I830" i="1" a="1"/>
  <c r="I830" i="1" s="1"/>
  <c r="I831" i="1" a="1"/>
  <c r="I831" i="1" s="1"/>
  <c r="I832" i="1" a="1"/>
  <c r="I832" i="1" s="1"/>
  <c r="I833" i="1" a="1"/>
  <c r="I833" i="1" s="1"/>
  <c r="I834" i="1" a="1"/>
  <c r="I834" i="1" s="1"/>
  <c r="I835" i="1" a="1"/>
  <c r="I835" i="1" s="1"/>
  <c r="I836" i="1" a="1"/>
  <c r="I836" i="1" s="1"/>
  <c r="I837" i="1" a="1"/>
  <c r="I837" i="1" s="1"/>
  <c r="I838" i="1" a="1"/>
  <c r="I838" i="1" s="1"/>
  <c r="I839" i="1" a="1"/>
  <c r="I839" i="1" s="1"/>
  <c r="I840" i="1" a="1"/>
  <c r="I840" i="1" s="1"/>
  <c r="I841" i="1" a="1"/>
  <c r="I841" i="1" s="1"/>
  <c r="I842" i="1" a="1"/>
  <c r="I842" i="1" s="1"/>
  <c r="I843" i="1" a="1"/>
  <c r="I843" i="1" s="1"/>
  <c r="I844" i="1" a="1"/>
  <c r="I844" i="1" s="1"/>
  <c r="I845" i="1" a="1"/>
  <c r="I845" i="1" s="1"/>
  <c r="I846" i="1" a="1"/>
  <c r="I846" i="1" s="1"/>
  <c r="I847" i="1" a="1"/>
  <c r="I847" i="1" s="1"/>
  <c r="I848" i="1" a="1"/>
  <c r="I848" i="1" s="1"/>
  <c r="I849" i="1" a="1"/>
  <c r="I849" i="1" s="1"/>
  <c r="I850" i="1" a="1"/>
  <c r="I850" i="1" s="1"/>
  <c r="I851" i="1" a="1"/>
  <c r="I851" i="1" s="1"/>
  <c r="I852" i="1" a="1"/>
  <c r="I852" i="1" s="1"/>
  <c r="I853" i="1" a="1"/>
  <c r="I853" i="1" s="1"/>
  <c r="I854" i="1" a="1"/>
  <c r="I854" i="1" s="1"/>
  <c r="I855" i="1" a="1"/>
  <c r="I855" i="1" s="1"/>
  <c r="I856" i="1" a="1"/>
  <c r="I856" i="1" s="1"/>
  <c r="I857" i="1" a="1"/>
  <c r="I857" i="1" s="1"/>
  <c r="I858" i="1" a="1"/>
  <c r="I858" i="1" s="1"/>
  <c r="I859" i="1" a="1"/>
  <c r="I859" i="1" s="1"/>
  <c r="I860" i="1" a="1"/>
  <c r="I860" i="1" s="1"/>
  <c r="I861" i="1" a="1"/>
  <c r="I861" i="1" s="1"/>
  <c r="I862" i="1" a="1"/>
  <c r="I862" i="1" s="1"/>
  <c r="I863" i="1" a="1"/>
  <c r="I863" i="1" s="1"/>
  <c r="I864" i="1" a="1"/>
  <c r="I864" i="1" s="1"/>
  <c r="I865" i="1" a="1"/>
  <c r="I865" i="1" s="1"/>
  <c r="I866" i="1" a="1"/>
  <c r="I866" i="1" s="1"/>
  <c r="I867" i="1" a="1"/>
  <c r="I867" i="1" s="1"/>
  <c r="I868" i="1" a="1"/>
  <c r="I868" i="1" s="1"/>
  <c r="I869" i="1" a="1"/>
  <c r="I869" i="1" s="1"/>
  <c r="I870" i="1" a="1"/>
  <c r="I870" i="1" s="1"/>
  <c r="I871" i="1" a="1"/>
  <c r="I871" i="1" s="1"/>
  <c r="I872" i="1" a="1"/>
  <c r="I872" i="1" s="1"/>
  <c r="I873" i="1" a="1"/>
  <c r="I873" i="1" s="1"/>
  <c r="I874" i="1" a="1"/>
  <c r="I874" i="1" s="1"/>
  <c r="I875" i="1" a="1"/>
  <c r="I875" i="1" s="1"/>
  <c r="I876" i="1" a="1"/>
  <c r="I876" i="1" s="1"/>
  <c r="I877" i="1" a="1"/>
  <c r="I877" i="1" s="1"/>
  <c r="I878" i="1" a="1"/>
  <c r="I878" i="1" s="1"/>
  <c r="I879" i="1" a="1"/>
  <c r="I879" i="1" s="1"/>
  <c r="I880" i="1" a="1"/>
  <c r="I880" i="1" s="1"/>
  <c r="I881" i="1" a="1"/>
  <c r="I881" i="1" s="1"/>
  <c r="I882" i="1" a="1"/>
  <c r="I882" i="1" s="1"/>
  <c r="I883" i="1" a="1"/>
  <c r="I883" i="1" s="1"/>
  <c r="I884" i="1" a="1"/>
  <c r="I884" i="1" s="1"/>
  <c r="I885" i="1" a="1"/>
  <c r="I885" i="1" s="1"/>
  <c r="I886" i="1" a="1"/>
  <c r="I886" i="1" s="1"/>
  <c r="I887" i="1" a="1"/>
  <c r="I887" i="1" s="1"/>
  <c r="I888" i="1" a="1"/>
  <c r="I888" i="1" s="1"/>
  <c r="I889" i="1" a="1"/>
  <c r="I889" i="1" s="1"/>
  <c r="I890" i="1" a="1"/>
  <c r="I890" i="1" s="1"/>
  <c r="I891" i="1" a="1"/>
  <c r="I891" i="1" s="1"/>
  <c r="I892" i="1" a="1"/>
  <c r="I892" i="1" s="1"/>
  <c r="I893" i="1" a="1"/>
  <c r="I893" i="1" s="1"/>
  <c r="I894" i="1" a="1"/>
  <c r="I894" i="1" s="1"/>
  <c r="I895" i="1" a="1"/>
  <c r="I895" i="1" s="1"/>
  <c r="I896" i="1" a="1"/>
  <c r="I896" i="1" s="1"/>
  <c r="I897" i="1" a="1"/>
  <c r="I897" i="1" s="1"/>
  <c r="I898" i="1" a="1"/>
  <c r="I898" i="1" s="1"/>
  <c r="I899" i="1" a="1"/>
  <c r="I899" i="1" s="1"/>
  <c r="I900" i="1" a="1"/>
  <c r="I900" i="1" s="1"/>
  <c r="I901" i="1" a="1"/>
  <c r="I901" i="1" s="1"/>
  <c r="I902" i="1" a="1"/>
  <c r="I902" i="1" s="1"/>
  <c r="I903" i="1" a="1"/>
  <c r="I903" i="1" s="1"/>
  <c r="I904" i="1" a="1"/>
  <c r="I904" i="1" s="1"/>
  <c r="I905" i="1" a="1"/>
  <c r="I905" i="1" s="1"/>
  <c r="I906" i="1" a="1"/>
  <c r="I906" i="1" s="1"/>
  <c r="I907" i="1" a="1"/>
  <c r="I907" i="1" s="1"/>
  <c r="I908" i="1" a="1"/>
  <c r="I908" i="1" s="1"/>
  <c r="I909" i="1" a="1"/>
  <c r="I909" i="1" s="1"/>
  <c r="I910" i="1" a="1"/>
  <c r="I910" i="1" s="1"/>
  <c r="I911" i="1" a="1"/>
  <c r="I911" i="1" s="1"/>
  <c r="I912" i="1" a="1"/>
  <c r="I912" i="1" s="1"/>
  <c r="I913" i="1" a="1"/>
  <c r="I913" i="1" s="1"/>
  <c r="I914" i="1" a="1"/>
  <c r="I914" i="1" s="1"/>
  <c r="I915" i="1" a="1"/>
  <c r="I915" i="1" s="1"/>
  <c r="I916" i="1" a="1"/>
  <c r="I916" i="1" s="1"/>
  <c r="I917" i="1" a="1"/>
  <c r="I917" i="1" s="1"/>
  <c r="I918" i="1" a="1"/>
  <c r="I918" i="1" s="1"/>
  <c r="I919" i="1" a="1"/>
  <c r="I919" i="1" s="1"/>
  <c r="I920" i="1" a="1"/>
  <c r="I920" i="1" s="1"/>
  <c r="I921" i="1" a="1"/>
  <c r="I921" i="1" s="1"/>
  <c r="I922" i="1" a="1"/>
  <c r="I922" i="1" s="1"/>
  <c r="I923" i="1" a="1"/>
  <c r="I923" i="1" s="1"/>
  <c r="I924" i="1" a="1"/>
  <c r="I924" i="1" s="1"/>
  <c r="I925" i="1" a="1"/>
  <c r="I925" i="1" s="1"/>
  <c r="I926" i="1" a="1"/>
  <c r="I926" i="1" s="1"/>
  <c r="I927" i="1" a="1"/>
  <c r="I927" i="1" s="1"/>
  <c r="I928" i="1" a="1"/>
  <c r="I928" i="1" s="1"/>
  <c r="I929" i="1" a="1"/>
  <c r="I929" i="1" s="1"/>
  <c r="I930" i="1" a="1"/>
  <c r="I930" i="1" s="1"/>
  <c r="I931" i="1" a="1"/>
  <c r="I931" i="1" s="1"/>
  <c r="I932" i="1" a="1"/>
  <c r="I932" i="1" s="1"/>
  <c r="I933" i="1" a="1"/>
  <c r="I933" i="1" s="1"/>
  <c r="I934" i="1" a="1"/>
  <c r="I934" i="1" s="1"/>
  <c r="I935" i="1" a="1"/>
  <c r="I935" i="1" s="1"/>
  <c r="I936" i="1" a="1"/>
  <c r="I936" i="1" s="1"/>
  <c r="I937" i="1" a="1"/>
  <c r="I937" i="1" s="1"/>
  <c r="I938" i="1" a="1"/>
  <c r="I938" i="1" s="1"/>
  <c r="I939" i="1" a="1"/>
  <c r="I939" i="1" s="1"/>
  <c r="I940" i="1" a="1"/>
  <c r="I940" i="1" s="1"/>
  <c r="I941" i="1" a="1"/>
  <c r="I941" i="1" s="1"/>
  <c r="I942" i="1" a="1"/>
  <c r="I942" i="1" s="1"/>
  <c r="I943" i="1" a="1"/>
  <c r="I943" i="1" s="1"/>
  <c r="I944" i="1" a="1"/>
  <c r="I944" i="1" s="1"/>
  <c r="I945" i="1" a="1"/>
  <c r="I945" i="1" s="1"/>
  <c r="I946" i="1" a="1"/>
  <c r="I946" i="1" s="1"/>
  <c r="I947" i="1" a="1"/>
  <c r="I947" i="1" s="1"/>
  <c r="I948" i="1" a="1"/>
  <c r="I948" i="1" s="1"/>
  <c r="I949" i="1" a="1"/>
  <c r="I949" i="1" s="1"/>
  <c r="I950" i="1" a="1"/>
  <c r="I950" i="1" s="1"/>
  <c r="I951" i="1" a="1"/>
  <c r="I951" i="1" s="1"/>
  <c r="I952" i="1" a="1"/>
  <c r="I952" i="1" s="1"/>
  <c r="I953" i="1" a="1"/>
  <c r="I953" i="1" s="1"/>
  <c r="I954" i="1" a="1"/>
  <c r="I954" i="1" s="1"/>
  <c r="I955" i="1" a="1"/>
  <c r="I955" i="1" s="1"/>
  <c r="I956" i="1" a="1"/>
  <c r="I956" i="1" s="1"/>
  <c r="I957" i="1" a="1"/>
  <c r="I957" i="1" s="1"/>
  <c r="I958" i="1" a="1"/>
  <c r="I958" i="1" s="1"/>
  <c r="I959" i="1" a="1"/>
  <c r="I959" i="1" s="1"/>
  <c r="I960" i="1" a="1"/>
  <c r="I960" i="1" s="1"/>
  <c r="I961" i="1" a="1"/>
  <c r="I961" i="1" s="1"/>
  <c r="I962" i="1" a="1"/>
  <c r="I962" i="1" s="1"/>
  <c r="I963" i="1" a="1"/>
  <c r="I963" i="1" s="1"/>
  <c r="I964" i="1" a="1"/>
  <c r="I964" i="1" s="1"/>
  <c r="I965" i="1" a="1"/>
  <c r="I965" i="1" s="1"/>
  <c r="I966" i="1" a="1"/>
  <c r="I966" i="1" s="1"/>
  <c r="I967" i="1" a="1"/>
  <c r="I967" i="1" s="1"/>
  <c r="I968" i="1" a="1"/>
  <c r="I968" i="1" s="1"/>
  <c r="I969" i="1" a="1"/>
  <c r="I969" i="1" s="1"/>
  <c r="I970" i="1" a="1"/>
  <c r="I970" i="1" s="1"/>
  <c r="I971" i="1" a="1"/>
  <c r="I971" i="1" s="1"/>
  <c r="I972" i="1" a="1"/>
  <c r="I972" i="1" s="1"/>
  <c r="I973" i="1" a="1"/>
  <c r="I973" i="1" s="1"/>
  <c r="I974" i="1" a="1"/>
  <c r="I974" i="1" s="1"/>
  <c r="I975" i="1" a="1"/>
  <c r="I975" i="1" s="1"/>
  <c r="I976" i="1" a="1"/>
  <c r="I976" i="1" s="1"/>
  <c r="I977" i="1" a="1"/>
  <c r="I977" i="1" s="1"/>
  <c r="I978" i="1" a="1"/>
  <c r="I978" i="1" s="1"/>
  <c r="I979" i="1" a="1"/>
  <c r="I979" i="1" s="1"/>
  <c r="I980" i="1" a="1"/>
  <c r="I980" i="1" s="1"/>
  <c r="I981" i="1" a="1"/>
  <c r="I981" i="1" s="1"/>
  <c r="I982" i="1" a="1"/>
  <c r="I982" i="1" s="1"/>
  <c r="I983" i="1" a="1"/>
  <c r="I983" i="1" s="1"/>
  <c r="I984" i="1" a="1"/>
  <c r="I984" i="1" s="1"/>
  <c r="I985" i="1" a="1"/>
  <c r="I985" i="1" s="1"/>
  <c r="I986" i="1" a="1"/>
  <c r="I986" i="1" s="1"/>
  <c r="I987" i="1" a="1"/>
  <c r="I987" i="1" s="1"/>
  <c r="I988" i="1" a="1"/>
  <c r="I988" i="1" s="1"/>
  <c r="I989" i="1" a="1"/>
  <c r="I989" i="1" s="1"/>
  <c r="I990" i="1" a="1"/>
  <c r="I990" i="1" s="1"/>
  <c r="I991" i="1" a="1"/>
  <c r="I991" i="1" s="1"/>
  <c r="I992" i="1" a="1"/>
  <c r="I992" i="1" s="1"/>
  <c r="I993" i="1" a="1"/>
  <c r="I993" i="1" s="1"/>
  <c r="I994" i="1" a="1"/>
  <c r="I994" i="1" s="1"/>
  <c r="I995" i="1" a="1"/>
  <c r="I995" i="1" s="1"/>
  <c r="I996" i="1" a="1"/>
  <c r="I996" i="1" s="1"/>
  <c r="I997" i="1" a="1"/>
  <c r="I997" i="1" s="1"/>
  <c r="I998" i="1" a="1"/>
  <c r="I998" i="1" s="1"/>
  <c r="I999" i="1" a="1"/>
  <c r="I999" i="1" s="1"/>
  <c r="I1000" i="1" a="1"/>
  <c r="I1000" i="1" s="1"/>
  <c r="I1001" i="1" a="1"/>
  <c r="I1001" i="1" s="1"/>
  <c r="I1002" i="1" a="1"/>
  <c r="I1002" i="1" s="1"/>
  <c r="I1003" i="1" a="1"/>
  <c r="I1003" i="1" s="1"/>
  <c r="I1004" i="1" a="1"/>
  <c r="I1004" i="1" s="1"/>
  <c r="I1005" i="1" a="1"/>
  <c r="I1005" i="1" s="1"/>
  <c r="I1006" i="1" a="1"/>
  <c r="I1006" i="1" s="1"/>
  <c r="I1007" i="1" a="1"/>
  <c r="I1007" i="1" s="1"/>
  <c r="I1008" i="1" a="1"/>
  <c r="I1008" i="1" s="1"/>
  <c r="I1009" i="1" a="1"/>
  <c r="I1009" i="1" s="1"/>
  <c r="I1010" i="1" a="1"/>
  <c r="I1010" i="1" s="1"/>
  <c r="I1011" i="1" a="1"/>
  <c r="I1011" i="1" s="1"/>
  <c r="I1012" i="1" a="1"/>
  <c r="I1012" i="1" s="1"/>
  <c r="I1013" i="1" a="1"/>
  <c r="I1013" i="1" s="1"/>
  <c r="I1014" i="1" a="1"/>
  <c r="I1014" i="1" s="1"/>
  <c r="I1015" i="1" a="1"/>
  <c r="I1015" i="1" s="1"/>
  <c r="I1016" i="1" a="1"/>
  <c r="I1016" i="1" s="1"/>
  <c r="I1017" i="1" a="1"/>
  <c r="I1017" i="1" s="1"/>
  <c r="I1018" i="1" a="1"/>
  <c r="I1018" i="1" s="1"/>
  <c r="I1019" i="1" a="1"/>
  <c r="I1019" i="1" s="1"/>
  <c r="I1020" i="1" a="1"/>
  <c r="I1020" i="1" s="1"/>
  <c r="I1021" i="1" a="1"/>
  <c r="I1021" i="1" s="1"/>
  <c r="I1022" i="1" a="1"/>
  <c r="I1022" i="1" s="1"/>
  <c r="I1023" i="1" a="1"/>
  <c r="I1023" i="1" s="1"/>
  <c r="I1024" i="1" a="1"/>
  <c r="I1024" i="1" s="1"/>
  <c r="I1025" i="1" a="1"/>
  <c r="I1025" i="1" s="1"/>
  <c r="I1026" i="1" a="1"/>
  <c r="I1026" i="1" s="1"/>
  <c r="I1027" i="1" a="1"/>
  <c r="I1027" i="1" s="1"/>
  <c r="I1028" i="1" a="1"/>
  <c r="I1028" i="1" s="1"/>
  <c r="I1029" i="1" a="1"/>
  <c r="I1029" i="1" s="1"/>
  <c r="I1030" i="1" a="1"/>
  <c r="I1030" i="1" s="1"/>
  <c r="I1031" i="1" a="1"/>
  <c r="I1031" i="1" s="1"/>
  <c r="I1032" i="1" a="1"/>
  <c r="I1032" i="1" s="1"/>
  <c r="I1033" i="1" a="1"/>
  <c r="I1033" i="1" s="1"/>
  <c r="I1034" i="1" a="1"/>
  <c r="I1034" i="1" s="1"/>
  <c r="I1035" i="1" a="1"/>
  <c r="I1035" i="1" s="1"/>
  <c r="I1036" i="1" a="1"/>
  <c r="I1036" i="1" s="1"/>
  <c r="I1037" i="1" a="1"/>
  <c r="I1037" i="1" s="1"/>
  <c r="I1038" i="1" a="1"/>
  <c r="I1038" i="1" s="1"/>
  <c r="I1039" i="1" a="1"/>
  <c r="I1039" i="1" s="1"/>
  <c r="I1040" i="1" a="1"/>
  <c r="I1040" i="1" s="1"/>
  <c r="I1041" i="1" a="1"/>
  <c r="I1041" i="1" s="1"/>
  <c r="I1042" i="1" a="1"/>
  <c r="I1042" i="1" s="1"/>
  <c r="I1043" i="1" a="1"/>
  <c r="I1043" i="1" s="1"/>
  <c r="I1044" i="1" a="1"/>
  <c r="I1044" i="1" s="1"/>
  <c r="I1045" i="1" a="1"/>
  <c r="I1045" i="1" s="1"/>
  <c r="I1046" i="1" a="1"/>
  <c r="I1046" i="1" s="1"/>
  <c r="I1047" i="1" a="1"/>
  <c r="I1047" i="1" s="1"/>
  <c r="I1048" i="1" a="1"/>
  <c r="I1048" i="1" s="1"/>
  <c r="I1049" i="1" a="1"/>
  <c r="I1049" i="1" s="1"/>
  <c r="I1050" i="1" a="1"/>
  <c r="I1050" i="1" s="1"/>
  <c r="I1051" i="1" a="1"/>
  <c r="I1051" i="1" s="1"/>
  <c r="I1052" i="1" a="1"/>
  <c r="I1052" i="1" s="1"/>
  <c r="I1053" i="1" a="1"/>
  <c r="I1053" i="1" s="1"/>
  <c r="I1054" i="1" a="1"/>
  <c r="I1054" i="1" s="1"/>
  <c r="I1055" i="1" a="1"/>
  <c r="I1055" i="1" s="1"/>
  <c r="I1056" i="1" a="1"/>
  <c r="I1056" i="1" s="1"/>
  <c r="I1057" i="1" a="1"/>
  <c r="I1057" i="1" s="1"/>
  <c r="I1058" i="1" a="1"/>
  <c r="I1058" i="1" s="1"/>
  <c r="I1059" i="1" a="1"/>
  <c r="I1059" i="1" s="1"/>
  <c r="I1060" i="1" a="1"/>
  <c r="I1060" i="1" s="1"/>
  <c r="I1061" i="1" a="1"/>
  <c r="I1061" i="1" s="1"/>
  <c r="I1062" i="1" a="1"/>
  <c r="I1062" i="1" s="1"/>
  <c r="I1063" i="1" a="1"/>
  <c r="I1063" i="1" s="1"/>
  <c r="I1064" i="1" a="1"/>
  <c r="I1064" i="1" s="1"/>
  <c r="I1065" i="1" a="1"/>
  <c r="I1065" i="1" s="1"/>
  <c r="I1066" i="1" a="1"/>
  <c r="I1066" i="1" s="1"/>
  <c r="I1067" i="1" a="1"/>
  <c r="I1067" i="1" s="1"/>
  <c r="I1068" i="1" a="1"/>
  <c r="I1068" i="1" s="1"/>
  <c r="I1069" i="1" a="1"/>
  <c r="I1069" i="1" s="1"/>
  <c r="I1070" i="1" a="1"/>
  <c r="I1070" i="1" s="1"/>
  <c r="I1071" i="1" a="1"/>
  <c r="I1071" i="1" s="1"/>
  <c r="I1072" i="1" a="1"/>
  <c r="I1072" i="1" s="1"/>
  <c r="I1073" i="1" a="1"/>
  <c r="I1073" i="1" s="1"/>
  <c r="I1074" i="1" a="1"/>
  <c r="I1074" i="1" s="1"/>
  <c r="I1075" i="1" a="1"/>
  <c r="I1075" i="1" s="1"/>
  <c r="I1076" i="1" a="1"/>
  <c r="I1076" i="1" s="1"/>
  <c r="I1077" i="1" a="1"/>
  <c r="I1077" i="1" s="1"/>
  <c r="I1078" i="1" a="1"/>
  <c r="I1078" i="1" s="1"/>
  <c r="I1079" i="1" a="1"/>
  <c r="I1079" i="1" s="1"/>
  <c r="I1080" i="1" a="1"/>
  <c r="I1080" i="1" s="1"/>
  <c r="I1081" i="1" a="1"/>
  <c r="I1081" i="1" s="1"/>
  <c r="I1082" i="1" a="1"/>
  <c r="I1082" i="1" s="1"/>
  <c r="I1083" i="1" a="1"/>
  <c r="I1083" i="1" s="1"/>
  <c r="I1084" i="1" a="1"/>
  <c r="I1084" i="1" s="1"/>
  <c r="I1085" i="1" a="1"/>
  <c r="I1085" i="1" s="1"/>
  <c r="I1086" i="1" a="1"/>
  <c r="I1086" i="1" s="1"/>
  <c r="I1087" i="1" a="1"/>
  <c r="I1087" i="1" s="1"/>
  <c r="I1088" i="1" a="1"/>
  <c r="I1088" i="1" s="1"/>
  <c r="I1089" i="1" a="1"/>
  <c r="I1089" i="1" s="1"/>
  <c r="I1090" i="1" a="1"/>
  <c r="I1090" i="1" s="1"/>
  <c r="I1091" i="1" a="1"/>
  <c r="I1091" i="1" s="1"/>
  <c r="I1092" i="1" a="1"/>
  <c r="I1092" i="1" s="1"/>
  <c r="I1093" i="1" a="1"/>
  <c r="I1093" i="1" s="1"/>
  <c r="I1094" i="1" a="1"/>
  <c r="I1094" i="1" s="1"/>
  <c r="I1095" i="1" a="1"/>
  <c r="I1095" i="1" s="1"/>
  <c r="I1096" i="1" a="1"/>
  <c r="I1096" i="1" s="1"/>
  <c r="I1097" i="1" a="1"/>
  <c r="I1097" i="1" s="1"/>
  <c r="I1098" i="1" a="1"/>
  <c r="I1098" i="1" s="1"/>
  <c r="I1099" i="1" a="1"/>
  <c r="I1099" i="1" s="1"/>
  <c r="I1100" i="1" a="1"/>
  <c r="I1100" i="1" s="1"/>
  <c r="I1101" i="1" a="1"/>
  <c r="I1101" i="1" s="1"/>
  <c r="I1102" i="1" a="1"/>
  <c r="I1102" i="1" s="1"/>
  <c r="I1103" i="1" a="1"/>
  <c r="I1103" i="1" s="1"/>
  <c r="I1104" i="1" a="1"/>
  <c r="I1104" i="1" s="1"/>
  <c r="I1105" i="1" a="1"/>
  <c r="I1105" i="1" s="1"/>
  <c r="I1106" i="1" a="1"/>
  <c r="I1106" i="1" s="1"/>
  <c r="I1107" i="1" a="1"/>
  <c r="I1107" i="1" s="1"/>
  <c r="I1108" i="1" a="1"/>
  <c r="I1108" i="1" s="1"/>
  <c r="I1109" i="1" a="1"/>
  <c r="I1109" i="1" s="1"/>
  <c r="I1110" i="1" a="1"/>
  <c r="I1110" i="1" s="1"/>
  <c r="I1111" i="1" a="1"/>
  <c r="I1111" i="1" s="1"/>
  <c r="I1112" i="1" a="1"/>
  <c r="I1112" i="1" s="1"/>
  <c r="I1113" i="1" a="1"/>
  <c r="I1113" i="1" s="1"/>
  <c r="I1114" i="1" a="1"/>
  <c r="I1114" i="1" s="1"/>
  <c r="I1115" i="1" a="1"/>
  <c r="I1115" i="1" s="1"/>
  <c r="I1116" i="1" a="1"/>
  <c r="I1116" i="1" s="1"/>
  <c r="I1117" i="1" a="1"/>
  <c r="I1117" i="1" s="1"/>
  <c r="I1118" i="1" a="1"/>
  <c r="I1118" i="1" s="1"/>
  <c r="I1119" i="1" a="1"/>
  <c r="I1119" i="1" s="1"/>
  <c r="I1120" i="1" a="1"/>
  <c r="I1120" i="1" s="1"/>
  <c r="I1121" i="1" a="1"/>
  <c r="I1121" i="1" s="1"/>
  <c r="I1122" i="1" a="1"/>
  <c r="I1122" i="1" s="1"/>
  <c r="I1123" i="1" a="1"/>
  <c r="I1123" i="1" s="1"/>
  <c r="I1124" i="1" a="1"/>
  <c r="I1124" i="1" s="1"/>
  <c r="I1125" i="1" a="1"/>
  <c r="I1125" i="1" s="1"/>
  <c r="I1126" i="1" a="1"/>
  <c r="I1126" i="1" s="1"/>
  <c r="I1127" i="1" a="1"/>
  <c r="I1127" i="1" s="1"/>
  <c r="I1128" i="1" a="1"/>
  <c r="I1128" i="1" s="1"/>
  <c r="I1129" i="1" a="1"/>
  <c r="I1129" i="1" s="1"/>
  <c r="I1130" i="1" a="1"/>
  <c r="I1130" i="1" s="1"/>
  <c r="I1131" i="1" a="1"/>
  <c r="I1131" i="1" s="1"/>
  <c r="I1132" i="1" a="1"/>
  <c r="I1132" i="1" s="1"/>
  <c r="I1133" i="1" a="1"/>
  <c r="I1133" i="1" s="1"/>
  <c r="I1134" i="1" a="1"/>
  <c r="I1134" i="1" s="1"/>
  <c r="I1135" i="1" a="1"/>
  <c r="I1135" i="1" s="1"/>
  <c r="I1136" i="1" a="1"/>
  <c r="I1136" i="1" s="1"/>
  <c r="I1137" i="1" a="1"/>
  <c r="I1137" i="1" s="1"/>
  <c r="I1138" i="1" a="1"/>
  <c r="I1138" i="1" s="1"/>
  <c r="I1139" i="1" a="1"/>
  <c r="I1139" i="1" s="1"/>
  <c r="I1140" i="1" a="1"/>
  <c r="I1140" i="1" s="1"/>
  <c r="I1141" i="1" a="1"/>
  <c r="I1141" i="1" s="1"/>
  <c r="I1142" i="1" a="1"/>
  <c r="I1142" i="1" s="1"/>
  <c r="I1143" i="1" a="1"/>
  <c r="I1143" i="1" s="1"/>
  <c r="I1144" i="1" a="1"/>
  <c r="I1144" i="1" s="1"/>
  <c r="I1145" i="1" a="1"/>
  <c r="I1145" i="1" s="1"/>
  <c r="I1146" i="1" a="1"/>
  <c r="I1146" i="1" s="1"/>
  <c r="I1147" i="1" a="1"/>
  <c r="I1147" i="1" s="1"/>
  <c r="I1148" i="1" a="1"/>
  <c r="I1148" i="1" s="1"/>
  <c r="I1149" i="1" a="1"/>
  <c r="I1149" i="1" s="1"/>
  <c r="I1150" i="1" a="1"/>
  <c r="I1150" i="1" s="1"/>
  <c r="I1151" i="1" a="1"/>
  <c r="I1151" i="1" s="1"/>
  <c r="I1152" i="1" a="1"/>
  <c r="I1152" i="1" s="1"/>
  <c r="I1153" i="1" a="1"/>
  <c r="I1153" i="1" s="1"/>
  <c r="I1154" i="1" a="1"/>
  <c r="I1154" i="1" s="1"/>
  <c r="I1155" i="1" a="1"/>
  <c r="I1155" i="1" s="1"/>
  <c r="I1156" i="1" a="1"/>
  <c r="I1156" i="1" s="1"/>
  <c r="I1157" i="1" a="1"/>
  <c r="I1157" i="1" s="1"/>
  <c r="I1158" i="1" a="1"/>
  <c r="I1158" i="1" s="1"/>
  <c r="I1159" i="1" a="1"/>
  <c r="I1159" i="1" s="1"/>
  <c r="I1160" i="1" a="1"/>
  <c r="I1160" i="1" s="1"/>
  <c r="I1161" i="1" a="1"/>
  <c r="I1161" i="1" s="1"/>
  <c r="I1162" i="1" a="1"/>
  <c r="I1162" i="1" s="1"/>
  <c r="I1163" i="1" a="1"/>
  <c r="I1163" i="1" s="1"/>
  <c r="I1164" i="1" a="1"/>
  <c r="I1164" i="1" s="1"/>
  <c r="I1165" i="1" a="1"/>
  <c r="I1165" i="1" s="1"/>
  <c r="I1166" i="1" a="1"/>
  <c r="I1166" i="1" s="1"/>
  <c r="I1167" i="1" a="1"/>
  <c r="I1167" i="1" s="1"/>
  <c r="I1168" i="1" a="1"/>
  <c r="I1168" i="1" s="1"/>
  <c r="I1169" i="1" a="1"/>
  <c r="I1169" i="1" s="1"/>
  <c r="I1170" i="1" a="1"/>
  <c r="I1170" i="1" s="1"/>
  <c r="I1171" i="1" a="1"/>
  <c r="I1171" i="1" s="1"/>
  <c r="I1172" i="1" a="1"/>
  <c r="I1172" i="1" s="1"/>
  <c r="I1173" i="1" a="1"/>
  <c r="I1173" i="1" s="1"/>
  <c r="I1174" i="1" a="1"/>
  <c r="I1174" i="1" s="1"/>
  <c r="I1175" i="1" a="1"/>
  <c r="I1175" i="1" s="1"/>
  <c r="I1176" i="1" a="1"/>
  <c r="I1176" i="1" s="1"/>
  <c r="I1177" i="1" a="1"/>
  <c r="I1177" i="1" s="1"/>
  <c r="I1178" i="1" a="1"/>
  <c r="I1178" i="1" s="1"/>
  <c r="I1179" i="1" a="1"/>
  <c r="I1179" i="1" s="1"/>
  <c r="I1180" i="1" a="1"/>
  <c r="I1180" i="1" s="1"/>
  <c r="I1181" i="1" a="1"/>
  <c r="I1181" i="1" s="1"/>
  <c r="I1182" i="1" a="1"/>
  <c r="I1182" i="1" s="1"/>
  <c r="I1183" i="1" a="1"/>
  <c r="I1183" i="1" s="1"/>
  <c r="I1184" i="1" a="1"/>
  <c r="I1184" i="1" s="1"/>
  <c r="I1185" i="1" a="1"/>
  <c r="I1185" i="1" s="1"/>
  <c r="I1186" i="1" a="1"/>
  <c r="I1186" i="1" s="1"/>
  <c r="I1187" i="1" a="1"/>
  <c r="I1187" i="1" s="1"/>
  <c r="I1188" i="1" a="1"/>
  <c r="I1188" i="1" s="1"/>
  <c r="I1189" i="1" a="1"/>
  <c r="I1189" i="1" s="1"/>
  <c r="I1190" i="1" a="1"/>
  <c r="I1190" i="1" s="1"/>
  <c r="I1191" i="1" a="1"/>
  <c r="I1191" i="1" s="1"/>
  <c r="I1192" i="1" a="1"/>
  <c r="I1192" i="1" s="1"/>
  <c r="I1193" i="1" a="1"/>
  <c r="I1193" i="1" s="1"/>
  <c r="I1194" i="1" a="1"/>
  <c r="I1194" i="1" s="1"/>
  <c r="I1195" i="1" a="1"/>
  <c r="I1195" i="1" s="1"/>
  <c r="I1196" i="1" a="1"/>
  <c r="I1196" i="1" s="1"/>
  <c r="I1197" i="1" a="1"/>
  <c r="I1197" i="1" s="1"/>
  <c r="I1198" i="1" a="1"/>
  <c r="I1198" i="1" s="1"/>
  <c r="I1199" i="1" a="1"/>
  <c r="I1199" i="1" s="1"/>
  <c r="I1200" i="1" a="1"/>
  <c r="I1200" i="1" s="1"/>
  <c r="I1201" i="1" a="1"/>
  <c r="I1201" i="1" s="1"/>
  <c r="I1202" i="1" a="1"/>
  <c r="I1202" i="1" s="1"/>
  <c r="I1203" i="1" a="1"/>
  <c r="I1203" i="1" s="1"/>
  <c r="I1204" i="1" a="1"/>
  <c r="I1204" i="1" s="1"/>
  <c r="I1205" i="1" a="1"/>
  <c r="I1205" i="1" s="1"/>
  <c r="I1206" i="1" a="1"/>
  <c r="I1206" i="1" s="1"/>
  <c r="I1207" i="1" a="1"/>
  <c r="I1207" i="1" s="1"/>
  <c r="I1208" i="1" a="1"/>
  <c r="I1208" i="1" s="1"/>
  <c r="I1209" i="1" a="1"/>
  <c r="I1209" i="1" s="1"/>
  <c r="I1210" i="1" a="1"/>
  <c r="I1210" i="1" s="1"/>
  <c r="I1211" i="1" a="1"/>
  <c r="I1211" i="1" s="1"/>
  <c r="I1212" i="1" a="1"/>
  <c r="I1212" i="1" s="1"/>
  <c r="I1213" i="1" a="1"/>
  <c r="I1213" i="1" s="1"/>
  <c r="I1214" i="1" a="1"/>
  <c r="I1214" i="1" s="1"/>
  <c r="I1215" i="1" a="1"/>
  <c r="I1215" i="1" s="1"/>
  <c r="I1216" i="1" a="1"/>
  <c r="I1216" i="1" s="1"/>
  <c r="I1217" i="1" a="1"/>
  <c r="I1217" i="1" s="1"/>
  <c r="I1218" i="1" a="1"/>
  <c r="I1218" i="1" s="1"/>
  <c r="I1219" i="1" a="1"/>
  <c r="I1219" i="1" s="1"/>
  <c r="I1220" i="1" a="1"/>
  <c r="I1220" i="1" s="1"/>
  <c r="I1221" i="1" a="1"/>
  <c r="I1221" i="1" s="1"/>
  <c r="I1222" i="1" a="1"/>
  <c r="I1222" i="1" s="1"/>
  <c r="I1223" i="1" a="1"/>
  <c r="I1223" i="1" s="1"/>
  <c r="I1224" i="1" a="1"/>
  <c r="I1224" i="1" s="1"/>
  <c r="I1225" i="1" a="1"/>
  <c r="I1225" i="1" s="1"/>
  <c r="I1226" i="1" a="1"/>
  <c r="I1226" i="1" s="1"/>
  <c r="I1227" i="1" a="1"/>
  <c r="I1227" i="1" s="1"/>
  <c r="I1228" i="1" a="1"/>
  <c r="I1228" i="1" s="1"/>
  <c r="I1229" i="1" a="1"/>
  <c r="I1229" i="1" s="1"/>
  <c r="I1230" i="1" a="1"/>
  <c r="I1230" i="1" s="1"/>
  <c r="I1231" i="1" a="1"/>
  <c r="I1231" i="1" s="1"/>
  <c r="I1232" i="1" a="1"/>
  <c r="I1232" i="1" s="1"/>
  <c r="I1233" i="1" a="1"/>
  <c r="I1233" i="1" s="1"/>
  <c r="I1234" i="1" a="1"/>
  <c r="I1234" i="1" s="1"/>
  <c r="I1235" i="1" a="1"/>
  <c r="I1235" i="1" s="1"/>
  <c r="I1236" i="1" a="1"/>
  <c r="I1236" i="1" s="1"/>
  <c r="I1237" i="1" a="1"/>
  <c r="I1237" i="1" s="1"/>
  <c r="I1238" i="1" a="1"/>
  <c r="I1238" i="1" s="1"/>
  <c r="I1239" i="1" a="1"/>
  <c r="I1239" i="1" s="1"/>
  <c r="I1240" i="1" a="1"/>
  <c r="I1240" i="1" s="1"/>
  <c r="I1241" i="1" a="1"/>
  <c r="I1241" i="1" s="1"/>
  <c r="I1242" i="1" a="1"/>
  <c r="I1242" i="1" s="1"/>
  <c r="I1243" i="1" a="1"/>
  <c r="I1243" i="1" s="1"/>
  <c r="I1244" i="1" a="1"/>
  <c r="I1244" i="1" s="1"/>
  <c r="I1245" i="1" a="1"/>
  <c r="I1245" i="1" s="1"/>
  <c r="I1246" i="1" a="1"/>
  <c r="I1246" i="1" s="1"/>
  <c r="I1247" i="1" a="1"/>
  <c r="I1247" i="1" s="1"/>
  <c r="I1248" i="1" a="1"/>
  <c r="I1248" i="1" s="1"/>
  <c r="I1249" i="1" a="1"/>
  <c r="I1249" i="1" s="1"/>
  <c r="I1250" i="1" a="1"/>
  <c r="I1250" i="1" s="1"/>
  <c r="I1251" i="1" a="1"/>
  <c r="I1251" i="1" s="1"/>
  <c r="I1252" i="1" a="1"/>
  <c r="I1252" i="1" s="1"/>
  <c r="I1253" i="1" a="1"/>
  <c r="I1253" i="1" s="1"/>
  <c r="I1254" i="1" a="1"/>
  <c r="I1254" i="1" s="1"/>
  <c r="I1255" i="1" a="1"/>
  <c r="I1255" i="1" s="1"/>
  <c r="I1256" i="1" a="1"/>
  <c r="I1256" i="1" s="1"/>
  <c r="I1257" i="1" a="1"/>
  <c r="I1257" i="1" s="1"/>
  <c r="I1258" i="1" a="1"/>
  <c r="I1258" i="1" s="1"/>
  <c r="I1259" i="1" a="1"/>
  <c r="I1259" i="1" s="1"/>
  <c r="I1260" i="1" a="1"/>
  <c r="I1260" i="1" s="1"/>
  <c r="I1261" i="1" a="1"/>
  <c r="I1261" i="1" s="1"/>
  <c r="I1262" i="1" a="1"/>
  <c r="I1262" i="1" s="1"/>
  <c r="I1263" i="1" a="1"/>
  <c r="I1263" i="1" s="1"/>
  <c r="I1264" i="1" a="1"/>
  <c r="I1264" i="1" s="1"/>
  <c r="I1265" i="1" a="1"/>
  <c r="I1265" i="1" s="1"/>
  <c r="I1266" i="1" a="1"/>
  <c r="I1266" i="1" s="1"/>
  <c r="I1267" i="1" a="1"/>
  <c r="I1267" i="1" s="1"/>
  <c r="I1268" i="1" a="1"/>
  <c r="I1268" i="1" s="1"/>
  <c r="I1269" i="1" a="1"/>
  <c r="I1269" i="1" s="1"/>
  <c r="I1270" i="1" a="1"/>
  <c r="I1270" i="1" s="1"/>
  <c r="I1271" i="1" a="1"/>
  <c r="I1271" i="1" s="1"/>
  <c r="I1272" i="1" a="1"/>
  <c r="I1272" i="1" s="1"/>
  <c r="I1273" i="1" a="1"/>
  <c r="I1273" i="1" s="1"/>
  <c r="I1274" i="1" a="1"/>
  <c r="I1274" i="1" s="1"/>
  <c r="I1275" i="1" a="1"/>
  <c r="I1275" i="1" s="1"/>
  <c r="I1276" i="1" a="1"/>
  <c r="I1276" i="1" s="1"/>
  <c r="I1277" i="1" a="1"/>
  <c r="I1277" i="1" s="1"/>
  <c r="I1278" i="1" a="1"/>
  <c r="I1278" i="1" s="1"/>
  <c r="I1279" i="1" a="1"/>
  <c r="I1279" i="1" s="1"/>
  <c r="I1280" i="1" a="1"/>
  <c r="I1280" i="1" s="1"/>
  <c r="I1281" i="1" a="1"/>
  <c r="I1281" i="1" s="1"/>
  <c r="I1282" i="1" a="1"/>
  <c r="I1282" i="1" s="1"/>
  <c r="I1283" i="1" a="1"/>
  <c r="I1283" i="1" s="1"/>
  <c r="I1284" i="1" a="1"/>
  <c r="I1284" i="1" s="1"/>
  <c r="I1285" i="1" a="1"/>
  <c r="I1285" i="1" s="1"/>
  <c r="I1286" i="1" a="1"/>
  <c r="I1286" i="1" s="1"/>
  <c r="I1287" i="1" a="1"/>
  <c r="I1287" i="1" s="1"/>
  <c r="I1288" i="1" a="1"/>
  <c r="I1288" i="1" s="1"/>
  <c r="I1289" i="1" a="1"/>
  <c r="I1289" i="1" s="1"/>
  <c r="I1290" i="1" a="1"/>
  <c r="I1290" i="1" s="1"/>
  <c r="I1291" i="1" a="1"/>
  <c r="I1291" i="1" s="1"/>
  <c r="I1292" i="1" a="1"/>
  <c r="I1292" i="1" s="1"/>
  <c r="I1293" i="1" a="1"/>
  <c r="I1293" i="1" s="1"/>
  <c r="I1294" i="1" a="1"/>
  <c r="I1294" i="1" s="1"/>
  <c r="I1295" i="1" a="1"/>
  <c r="I1295" i="1" s="1"/>
  <c r="I1296" i="1" a="1"/>
  <c r="I1296" i="1" s="1"/>
  <c r="I1297" i="1" a="1"/>
  <c r="I1297" i="1" s="1"/>
  <c r="I1298" i="1" a="1"/>
  <c r="I1298" i="1" s="1"/>
  <c r="I1299" i="1" a="1"/>
  <c r="I1299" i="1" s="1"/>
  <c r="I1300" i="1" a="1"/>
  <c r="I1300" i="1" s="1"/>
  <c r="I1301" i="1" a="1"/>
  <c r="I1301" i="1" s="1"/>
  <c r="I1302" i="1" a="1"/>
  <c r="I1302" i="1" s="1"/>
  <c r="I1303" i="1" a="1"/>
  <c r="I1303" i="1" s="1"/>
  <c r="I1304" i="1" a="1"/>
  <c r="I1304" i="1" s="1"/>
  <c r="I1305" i="1" a="1"/>
  <c r="I1305" i="1" s="1"/>
  <c r="I1306" i="1" a="1"/>
  <c r="I1306" i="1" s="1"/>
  <c r="I1307" i="1" a="1"/>
  <c r="I1307" i="1" s="1"/>
  <c r="I1308" i="1" a="1"/>
  <c r="I1308" i="1" s="1"/>
  <c r="I1309" i="1" a="1"/>
  <c r="I1309" i="1" s="1"/>
  <c r="I1310" i="1" a="1"/>
  <c r="I1310" i="1" s="1"/>
  <c r="I1311" i="1" a="1"/>
  <c r="I1311" i="1" s="1"/>
  <c r="I1312" i="1" a="1"/>
  <c r="I1312" i="1" s="1"/>
  <c r="I1313" i="1" a="1"/>
  <c r="I1313" i="1" s="1"/>
  <c r="I1314" i="1" a="1"/>
  <c r="I1314" i="1" s="1"/>
  <c r="I1315" i="1" a="1"/>
  <c r="I1315" i="1" s="1"/>
  <c r="I1316" i="1" a="1"/>
  <c r="I1316" i="1" s="1"/>
  <c r="I1317" i="1" a="1"/>
  <c r="I1317" i="1" s="1"/>
  <c r="I1318" i="1" a="1"/>
  <c r="I1318" i="1" s="1"/>
  <c r="I1319" i="1" a="1"/>
  <c r="I1319" i="1" s="1"/>
  <c r="I1320" i="1" a="1"/>
  <c r="I1320" i="1" s="1"/>
  <c r="I1321" i="1" a="1"/>
  <c r="I1321" i="1" s="1"/>
  <c r="I1322" i="1" a="1"/>
  <c r="I1322" i="1" s="1"/>
  <c r="I1323" i="1" a="1"/>
  <c r="I1323" i="1" s="1"/>
  <c r="I1324" i="1" a="1"/>
  <c r="I1324" i="1" s="1"/>
  <c r="I1325" i="1" a="1"/>
  <c r="I1325" i="1" s="1"/>
  <c r="I1326" i="1" a="1"/>
  <c r="I1326" i="1" s="1"/>
  <c r="I1327" i="1" a="1"/>
  <c r="I1327" i="1" s="1"/>
  <c r="I1328" i="1" a="1"/>
  <c r="I1328" i="1" s="1"/>
  <c r="I1329" i="1" a="1"/>
  <c r="I1329" i="1" s="1"/>
  <c r="I1330" i="1" a="1"/>
  <c r="I1330" i="1" s="1"/>
  <c r="I1331" i="1" a="1"/>
  <c r="I1331" i="1" s="1"/>
  <c r="I1332" i="1" a="1"/>
  <c r="I1332" i="1" s="1"/>
  <c r="I1333" i="1" a="1"/>
  <c r="I1333" i="1" s="1"/>
  <c r="I1334" i="1" a="1"/>
  <c r="I1334" i="1" s="1"/>
  <c r="I1335" i="1" a="1"/>
  <c r="I1335" i="1" s="1"/>
  <c r="I1336" i="1" a="1"/>
  <c r="I1336" i="1" s="1"/>
  <c r="I1337" i="1" a="1"/>
  <c r="I1337" i="1" s="1"/>
  <c r="I1338" i="1" a="1"/>
  <c r="I1338" i="1" s="1"/>
  <c r="I1339" i="1" a="1"/>
  <c r="I1339" i="1" s="1"/>
  <c r="I1340" i="1" a="1"/>
  <c r="I1340" i="1" s="1"/>
  <c r="I1341" i="1" a="1"/>
  <c r="I1341" i="1" s="1"/>
  <c r="I1342" i="1" a="1"/>
  <c r="I1342" i="1" s="1"/>
  <c r="I1343" i="1" a="1"/>
  <c r="I1343" i="1" s="1"/>
  <c r="I1344" i="1" a="1"/>
  <c r="I1344" i="1" s="1"/>
  <c r="I1345" i="1" a="1"/>
  <c r="I1345" i="1" s="1"/>
  <c r="I1346" i="1" a="1"/>
  <c r="I1346" i="1" s="1"/>
  <c r="I1347" i="1" a="1"/>
  <c r="I1347" i="1" s="1"/>
  <c r="I1348" i="1" a="1"/>
  <c r="I1348" i="1" s="1"/>
  <c r="I1349" i="1" a="1"/>
  <c r="I1349" i="1" s="1"/>
  <c r="I1350" i="1" a="1"/>
  <c r="I1350" i="1" s="1"/>
  <c r="I1351" i="1" a="1"/>
  <c r="I1351" i="1" s="1"/>
  <c r="I1352" i="1" a="1"/>
  <c r="I1352" i="1" s="1"/>
  <c r="I1353" i="1" a="1"/>
  <c r="I1353" i="1" s="1"/>
  <c r="I1354" i="1" a="1"/>
  <c r="I1354" i="1" s="1"/>
  <c r="I1355" i="1" a="1"/>
  <c r="I1355" i="1" s="1"/>
  <c r="I1356" i="1" a="1"/>
  <c r="I1356" i="1" s="1"/>
  <c r="I1357" i="1" a="1"/>
  <c r="I1357" i="1" s="1"/>
  <c r="I1358" i="1" a="1"/>
  <c r="I1358" i="1" s="1"/>
  <c r="I1359" i="1" a="1"/>
  <c r="I1359" i="1" s="1"/>
  <c r="I1360" i="1" a="1"/>
  <c r="I1360" i="1" s="1"/>
  <c r="I1361" i="1" a="1"/>
  <c r="I1361" i="1" s="1"/>
  <c r="I1362" i="1" a="1"/>
  <c r="I1362" i="1" s="1"/>
  <c r="I1363" i="1" a="1"/>
  <c r="I1363" i="1" s="1"/>
  <c r="I1364" i="1" a="1"/>
  <c r="I1364" i="1" s="1"/>
  <c r="I1365" i="1" a="1"/>
  <c r="I1365" i="1" s="1"/>
  <c r="I1366" i="1" a="1"/>
  <c r="I1366" i="1" s="1"/>
  <c r="I1367" i="1" a="1"/>
  <c r="I1367" i="1" s="1"/>
  <c r="I1368" i="1" a="1"/>
  <c r="I1368" i="1" s="1"/>
  <c r="I1369" i="1" a="1"/>
  <c r="I1369" i="1" s="1"/>
  <c r="I1370" i="1" a="1"/>
  <c r="I1370" i="1" s="1"/>
  <c r="I1371" i="1" a="1"/>
  <c r="I1371" i="1" s="1"/>
  <c r="I1372" i="1" a="1"/>
  <c r="I1372" i="1" s="1"/>
  <c r="I1373" i="1" a="1"/>
  <c r="I1373" i="1" s="1"/>
  <c r="I1374" i="1" a="1"/>
  <c r="I1374" i="1" s="1"/>
  <c r="I1375" i="1" a="1"/>
  <c r="I1375" i="1" s="1"/>
  <c r="I1376" i="1" a="1"/>
  <c r="I1376" i="1" s="1"/>
  <c r="I1377" i="1" a="1"/>
  <c r="I1377" i="1" s="1"/>
  <c r="I1378" i="1" a="1"/>
  <c r="I1378" i="1" s="1"/>
  <c r="I1379" i="1" a="1"/>
  <c r="I1379" i="1" s="1"/>
  <c r="I1380" i="1" a="1"/>
  <c r="I1380" i="1" s="1"/>
  <c r="I1381" i="1" a="1"/>
  <c r="I1381" i="1" s="1"/>
  <c r="I1382" i="1" a="1"/>
  <c r="I1382" i="1" s="1"/>
  <c r="I1383" i="1" a="1"/>
  <c r="I1383" i="1" s="1"/>
  <c r="I1384" i="1" a="1"/>
  <c r="I1384" i="1" s="1"/>
  <c r="I1385" i="1" a="1"/>
  <c r="I1385" i="1" s="1"/>
  <c r="I1386" i="1" a="1"/>
  <c r="I1386" i="1" s="1"/>
  <c r="I1387" i="1" a="1"/>
  <c r="I1387" i="1" s="1"/>
  <c r="I1388" i="1" a="1"/>
  <c r="I1388" i="1" s="1"/>
  <c r="I1389" i="1" a="1"/>
  <c r="I1389" i="1" s="1"/>
  <c r="I1390" i="1" a="1"/>
  <c r="I1390" i="1" s="1"/>
  <c r="I1391" i="1" a="1"/>
  <c r="I1391" i="1" s="1"/>
  <c r="I1392" i="1" a="1"/>
  <c r="I1392" i="1" s="1"/>
  <c r="I1393" i="1" a="1"/>
  <c r="I1393" i="1" s="1"/>
  <c r="I1394" i="1" a="1"/>
  <c r="I1394" i="1" s="1"/>
  <c r="I1395" i="1" a="1"/>
  <c r="I1395" i="1" s="1"/>
  <c r="I1396" i="1" a="1"/>
  <c r="I1396" i="1" s="1"/>
  <c r="I1397" i="1" a="1"/>
  <c r="I1397" i="1" s="1"/>
  <c r="I1398" i="1" a="1"/>
  <c r="I1398" i="1" s="1"/>
  <c r="I1399" i="1" a="1"/>
  <c r="I1399" i="1" s="1"/>
  <c r="I1400" i="1" a="1"/>
  <c r="I1400" i="1" s="1"/>
  <c r="I1401" i="1" a="1"/>
  <c r="I1401" i="1" s="1"/>
  <c r="I1402" i="1" a="1"/>
  <c r="I1402" i="1" s="1"/>
  <c r="I1403" i="1" a="1"/>
  <c r="I1403" i="1" s="1"/>
  <c r="I1404" i="1" a="1"/>
  <c r="I1404" i="1" s="1"/>
  <c r="I1405" i="1" a="1"/>
  <c r="I1405" i="1" s="1"/>
  <c r="I1406" i="1" a="1"/>
  <c r="I1406" i="1" s="1"/>
  <c r="I1407" i="1" a="1"/>
  <c r="I1407" i="1" s="1"/>
  <c r="I1408" i="1" a="1"/>
  <c r="I1408" i="1" s="1"/>
  <c r="I1409" i="1" a="1"/>
  <c r="I1409" i="1" s="1"/>
  <c r="I1410" i="1" a="1"/>
  <c r="I1410" i="1" s="1"/>
  <c r="I1411" i="1" a="1"/>
  <c r="I1411" i="1" s="1"/>
  <c r="I1412" i="1" a="1"/>
  <c r="I1412" i="1" s="1"/>
  <c r="I1413" i="1" a="1"/>
  <c r="I1413" i="1" s="1"/>
  <c r="I1414" i="1" a="1"/>
  <c r="I1414" i="1" s="1"/>
  <c r="I1415" i="1" a="1"/>
  <c r="I1415" i="1" s="1"/>
  <c r="I1416" i="1" a="1"/>
  <c r="I1416" i="1" s="1"/>
  <c r="I1417" i="1" a="1"/>
  <c r="I1417" i="1" s="1"/>
  <c r="I1418" i="1" a="1"/>
  <c r="I1418" i="1" s="1"/>
  <c r="I1419" i="1" a="1"/>
  <c r="I1419" i="1" s="1"/>
  <c r="I1420" i="1" a="1"/>
  <c r="I1420" i="1" s="1"/>
  <c r="I1421" i="1" a="1"/>
  <c r="I1421" i="1" s="1"/>
  <c r="I1422" i="1" a="1"/>
  <c r="I1422" i="1" s="1"/>
  <c r="I1423" i="1" a="1"/>
  <c r="I1423" i="1" s="1"/>
  <c r="I1424" i="1" a="1"/>
  <c r="I1424" i="1" s="1"/>
  <c r="I1425" i="1" a="1"/>
  <c r="I1425" i="1" s="1"/>
  <c r="I1426" i="1" a="1"/>
  <c r="I1426" i="1" s="1"/>
  <c r="I1427" i="1" a="1"/>
  <c r="I1427" i="1" s="1"/>
  <c r="I1428" i="1" a="1"/>
  <c r="I1428" i="1" s="1"/>
  <c r="I1429" i="1" a="1"/>
  <c r="I1429" i="1" s="1"/>
  <c r="I1430" i="1" a="1"/>
  <c r="I1430" i="1" s="1"/>
  <c r="I1431" i="1" a="1"/>
  <c r="I1431" i="1" s="1"/>
  <c r="I1432" i="1" a="1"/>
  <c r="I1432" i="1" s="1"/>
  <c r="I1433" i="1" a="1"/>
  <c r="I1433" i="1" s="1"/>
  <c r="I1434" i="1" a="1"/>
  <c r="I1434" i="1" s="1"/>
  <c r="I1435" i="1" a="1"/>
  <c r="I1435" i="1" s="1"/>
  <c r="I1436" i="1" a="1"/>
  <c r="I1436" i="1" s="1"/>
  <c r="I1437" i="1" a="1"/>
  <c r="I1437" i="1" s="1"/>
  <c r="I1438" i="1" a="1"/>
  <c r="I1438" i="1" s="1"/>
  <c r="I1439" i="1" a="1"/>
  <c r="I1439" i="1" s="1"/>
  <c r="I1440" i="1" a="1"/>
  <c r="I1440" i="1" s="1"/>
  <c r="I1441" i="1" a="1"/>
  <c r="I1441" i="1" s="1"/>
  <c r="I1442" i="1" a="1"/>
  <c r="I1442" i="1" s="1"/>
  <c r="I1443" i="1" a="1"/>
  <c r="I1443" i="1" s="1"/>
  <c r="I1444" i="1" a="1"/>
  <c r="I1444" i="1" s="1"/>
  <c r="I1445" i="1" a="1"/>
  <c r="I1445" i="1" s="1"/>
  <c r="I1446" i="1" a="1"/>
  <c r="I1446" i="1" s="1"/>
  <c r="I1447" i="1" a="1"/>
  <c r="I1447" i="1" s="1"/>
  <c r="I1448" i="1" a="1"/>
  <c r="I1448" i="1" s="1"/>
  <c r="I1449" i="1" a="1"/>
  <c r="I1449" i="1" s="1"/>
  <c r="I1450" i="1" a="1"/>
  <c r="I1450" i="1" s="1"/>
  <c r="I1451" i="1" a="1"/>
  <c r="I1451" i="1" s="1"/>
  <c r="I1452" i="1" a="1"/>
  <c r="I1452" i="1" s="1"/>
  <c r="I1453" i="1" a="1"/>
  <c r="I1453" i="1" s="1"/>
  <c r="I1454" i="1" a="1"/>
  <c r="I1454" i="1" s="1"/>
  <c r="I1455" i="1" a="1"/>
  <c r="I1455" i="1" s="1"/>
  <c r="I1456" i="1" a="1"/>
  <c r="I1456" i="1" s="1"/>
  <c r="I1457" i="1" a="1"/>
  <c r="I1457" i="1" s="1"/>
  <c r="I1458" i="1" a="1"/>
  <c r="I1458" i="1" s="1"/>
  <c r="I1459" i="1" a="1"/>
  <c r="I1459" i="1" s="1"/>
  <c r="I1460" i="1" a="1"/>
  <c r="I1460" i="1" s="1"/>
  <c r="I1461" i="1" a="1"/>
  <c r="I1461" i="1" s="1"/>
  <c r="I1462" i="1" a="1"/>
  <c r="I1462" i="1" s="1"/>
  <c r="I1463" i="1" a="1"/>
  <c r="I1463" i="1" s="1"/>
  <c r="I1464" i="1" a="1"/>
  <c r="I1464" i="1" s="1"/>
  <c r="I1465" i="1" a="1"/>
  <c r="I1465" i="1" s="1"/>
  <c r="I1466" i="1" a="1"/>
  <c r="I1466" i="1" s="1"/>
  <c r="I1467" i="1" a="1"/>
  <c r="I1467" i="1" s="1"/>
  <c r="I1468" i="1" a="1"/>
  <c r="I1468" i="1" s="1"/>
  <c r="I1469" i="1" a="1"/>
  <c r="I1469" i="1" s="1"/>
  <c r="I1470" i="1" a="1"/>
  <c r="I1470" i="1" s="1"/>
  <c r="I1471" i="1" a="1"/>
  <c r="I1471" i="1" s="1"/>
  <c r="I1472" i="1" a="1"/>
  <c r="I1472" i="1" s="1"/>
  <c r="I1473" i="1" a="1"/>
  <c r="I1473" i="1" s="1"/>
  <c r="I1474" i="1" a="1"/>
  <c r="I1474" i="1" s="1"/>
  <c r="I1475" i="1" a="1"/>
  <c r="I1475" i="1" s="1"/>
  <c r="I1476" i="1" a="1"/>
  <c r="I1476" i="1" s="1"/>
  <c r="I1477" i="1" a="1"/>
  <c r="I1477" i="1" s="1"/>
  <c r="I1478" i="1" a="1"/>
  <c r="I1478" i="1" s="1"/>
  <c r="I1479" i="1" a="1"/>
  <c r="I1479" i="1" s="1"/>
  <c r="I1480" i="1" a="1"/>
  <c r="I1480" i="1" s="1"/>
  <c r="I1481" i="1" a="1"/>
  <c r="I1481" i="1" s="1"/>
  <c r="I1482" i="1" a="1"/>
  <c r="I1482" i="1" s="1"/>
  <c r="I1483" i="1" a="1"/>
  <c r="I1483" i="1" s="1"/>
  <c r="I1484" i="1" a="1"/>
  <c r="I1484" i="1" s="1"/>
  <c r="I1485" i="1" a="1"/>
  <c r="I1485" i="1" s="1"/>
  <c r="I1486" i="1" a="1"/>
  <c r="I1486" i="1" s="1"/>
  <c r="I1487" i="1" a="1"/>
  <c r="I1487" i="1" s="1"/>
  <c r="I1488" i="1" a="1"/>
  <c r="I1488" i="1" s="1"/>
  <c r="I1489" i="1" a="1"/>
  <c r="I1489" i="1" s="1"/>
  <c r="I1490" i="1" a="1"/>
  <c r="I1490" i="1" s="1"/>
  <c r="I1491" i="1" a="1"/>
  <c r="I1491" i="1" s="1"/>
  <c r="I1492" i="1" a="1"/>
  <c r="I1492" i="1" s="1"/>
  <c r="I1493" i="1" a="1"/>
  <c r="I1493" i="1" s="1"/>
  <c r="I1494" i="1" a="1"/>
  <c r="I1494" i="1" s="1"/>
  <c r="I1495" i="1" a="1"/>
  <c r="I1495" i="1" s="1"/>
  <c r="I1496" i="1" a="1"/>
  <c r="I1496" i="1" s="1"/>
  <c r="I1497" i="1" a="1"/>
  <c r="I1497" i="1" s="1"/>
  <c r="I1498" i="1" a="1"/>
  <c r="I1498" i="1" s="1"/>
  <c r="I1499" i="1" a="1"/>
  <c r="I1499" i="1" s="1"/>
  <c r="I1500" i="1" a="1"/>
  <c r="I1500" i="1" s="1"/>
  <c r="I1501" i="1" a="1"/>
  <c r="I1501" i="1" s="1"/>
  <c r="I1502" i="1" a="1"/>
  <c r="I1502" i="1" s="1"/>
  <c r="I1503" i="1" a="1"/>
  <c r="I1503" i="1" s="1"/>
  <c r="I1504" i="1" a="1"/>
  <c r="I1504" i="1" s="1"/>
  <c r="I1505" i="1" a="1"/>
  <c r="I1505" i="1" s="1"/>
  <c r="I1506" i="1" a="1"/>
  <c r="I1506" i="1" s="1"/>
  <c r="I1507" i="1" a="1"/>
  <c r="I1507" i="1" s="1"/>
  <c r="I1508" i="1" a="1"/>
  <c r="I1508" i="1" s="1"/>
  <c r="I1509" i="1" a="1"/>
  <c r="I1509" i="1" s="1"/>
  <c r="I1510" i="1" a="1"/>
  <c r="I1510" i="1" s="1"/>
  <c r="I1511" i="1" a="1"/>
  <c r="I1511" i="1" s="1"/>
  <c r="I1512" i="1" a="1"/>
  <c r="I1512" i="1" s="1"/>
  <c r="I1513" i="1" a="1"/>
  <c r="I1513" i="1" s="1"/>
  <c r="I1514" i="1" a="1"/>
  <c r="I1514" i="1" s="1"/>
  <c r="I1515" i="1" a="1"/>
  <c r="I1515" i="1" s="1"/>
  <c r="I1516" i="1" a="1"/>
  <c r="I1516" i="1" s="1"/>
  <c r="I1517" i="1" a="1"/>
  <c r="I1517" i="1" s="1"/>
  <c r="I1518" i="1" a="1"/>
  <c r="I1518" i="1" s="1"/>
  <c r="I1519" i="1" a="1"/>
  <c r="I1519" i="1" s="1"/>
  <c r="I1520" i="1" a="1"/>
  <c r="I1520" i="1" s="1"/>
  <c r="I1521" i="1" a="1"/>
  <c r="I1521" i="1" s="1"/>
  <c r="I1522" i="1" a="1"/>
  <c r="I1522" i="1" s="1"/>
  <c r="I1523" i="1" a="1"/>
  <c r="I1523" i="1" s="1"/>
  <c r="I1524" i="1" a="1"/>
  <c r="I1524" i="1" s="1"/>
  <c r="I1525" i="1" a="1"/>
  <c r="I1525" i="1" s="1"/>
  <c r="I1526" i="1" a="1"/>
  <c r="I1526" i="1" s="1"/>
  <c r="I1527" i="1" a="1"/>
  <c r="I1527" i="1" s="1"/>
  <c r="I1528" i="1" a="1"/>
  <c r="I1528" i="1" s="1"/>
  <c r="I1529" i="1" a="1"/>
  <c r="I1529" i="1" s="1"/>
  <c r="I1530" i="1" a="1"/>
  <c r="I1530" i="1" s="1"/>
  <c r="I1531" i="1" a="1"/>
  <c r="I1531" i="1" s="1"/>
  <c r="I1532" i="1" a="1"/>
  <c r="I1532" i="1" s="1"/>
  <c r="I1533" i="1" a="1"/>
  <c r="I1533" i="1" s="1"/>
  <c r="I1534" i="1" a="1"/>
  <c r="I1534" i="1" s="1"/>
  <c r="I1535" i="1" a="1"/>
  <c r="I1535" i="1" s="1"/>
  <c r="I1536" i="1" a="1"/>
  <c r="I1536" i="1" s="1"/>
  <c r="I1537" i="1" a="1"/>
  <c r="I1537" i="1" s="1"/>
  <c r="I1538" i="1" a="1"/>
  <c r="I1538" i="1" s="1"/>
  <c r="I1539" i="1" a="1"/>
  <c r="I1539" i="1" s="1"/>
  <c r="I1540" i="1" a="1"/>
  <c r="I1540" i="1" s="1"/>
  <c r="I1541" i="1" a="1"/>
  <c r="I1541" i="1" s="1"/>
  <c r="I1542" i="1" a="1"/>
  <c r="I1542" i="1" s="1"/>
  <c r="I1543" i="1" a="1"/>
  <c r="I1543" i="1" s="1"/>
  <c r="I1544" i="1" a="1"/>
  <c r="I1544" i="1" s="1"/>
  <c r="I1545" i="1" a="1"/>
  <c r="I1545" i="1" s="1"/>
  <c r="I1546" i="1" a="1"/>
  <c r="I1546" i="1" s="1"/>
  <c r="I1547" i="1" a="1"/>
  <c r="I1547" i="1" s="1"/>
  <c r="I1548" i="1" a="1"/>
  <c r="I1548" i="1" s="1"/>
  <c r="I1549" i="1" a="1"/>
  <c r="I1549" i="1" s="1"/>
  <c r="I1550" i="1" a="1"/>
  <c r="I1550" i="1" s="1"/>
  <c r="I1551" i="1" a="1"/>
  <c r="I1551" i="1" s="1"/>
  <c r="I1552" i="1" a="1"/>
  <c r="I1552" i="1" s="1"/>
  <c r="I1553" i="1" a="1"/>
  <c r="I1553" i="1" s="1"/>
  <c r="I1554" i="1" a="1"/>
  <c r="I1554" i="1" s="1"/>
  <c r="I1555" i="1" a="1"/>
  <c r="I1555" i="1" s="1"/>
  <c r="I1556" i="1" a="1"/>
  <c r="I1556" i="1" s="1"/>
  <c r="I1557" i="1" a="1"/>
  <c r="I1557" i="1" s="1"/>
  <c r="I1558" i="1" a="1"/>
  <c r="I1558" i="1" s="1"/>
  <c r="I1559" i="1" a="1"/>
  <c r="I1559" i="1" s="1"/>
  <c r="I1560" i="1" a="1"/>
  <c r="I1560" i="1" s="1"/>
  <c r="I1561" i="1" a="1"/>
  <c r="I1561" i="1" s="1"/>
  <c r="I1562" i="1" a="1"/>
  <c r="I1562" i="1" s="1"/>
  <c r="I1563" i="1" a="1"/>
  <c r="I1563" i="1" s="1"/>
  <c r="I1564" i="1" a="1"/>
  <c r="I1564" i="1" s="1"/>
  <c r="I1565" i="1" a="1"/>
  <c r="I1565" i="1" s="1"/>
  <c r="I1566" i="1" a="1"/>
  <c r="I1566" i="1" s="1"/>
  <c r="I1567" i="1" a="1"/>
  <c r="I1567" i="1" s="1"/>
  <c r="I1568" i="1" a="1"/>
  <c r="I1568" i="1" s="1"/>
  <c r="I1569" i="1" a="1"/>
  <c r="I1569" i="1" s="1"/>
  <c r="I1570" i="1" a="1"/>
  <c r="I1570" i="1" s="1"/>
  <c r="I1571" i="1" a="1"/>
  <c r="I1571" i="1" s="1"/>
  <c r="I1572" i="1" a="1"/>
  <c r="I1572" i="1" s="1"/>
  <c r="I1573" i="1" a="1"/>
  <c r="I1573" i="1" s="1"/>
  <c r="I1574" i="1" a="1"/>
  <c r="I1574" i="1" s="1"/>
  <c r="I1575" i="1" a="1"/>
  <c r="I1575" i="1" s="1"/>
  <c r="I1576" i="1" a="1"/>
  <c r="I1576" i="1" s="1"/>
  <c r="I1577" i="1" a="1"/>
  <c r="I1577" i="1" s="1"/>
  <c r="I1578" i="1" a="1"/>
  <c r="I1578" i="1" s="1"/>
  <c r="I1579" i="1" a="1"/>
  <c r="I1579" i="1" s="1"/>
  <c r="I1580" i="1" a="1"/>
  <c r="I1580" i="1" s="1"/>
  <c r="I1581" i="1" a="1"/>
  <c r="I1581" i="1" s="1"/>
  <c r="I1582" i="1" a="1"/>
  <c r="I1582" i="1" s="1"/>
  <c r="I1583" i="1" a="1"/>
  <c r="I1583" i="1" s="1"/>
  <c r="I1584" i="1" a="1"/>
  <c r="I1584" i="1" s="1"/>
  <c r="I1585" i="1" a="1"/>
  <c r="I1585" i="1" s="1"/>
  <c r="I1586" i="1" a="1"/>
  <c r="I1586" i="1" s="1"/>
  <c r="I1587" i="1" a="1"/>
  <c r="I1587" i="1" s="1"/>
  <c r="I1588" i="1" a="1"/>
  <c r="I1588" i="1" s="1"/>
  <c r="I1589" i="1" a="1"/>
  <c r="I1589" i="1" s="1"/>
  <c r="I1590" i="1" a="1"/>
  <c r="I1590" i="1" s="1"/>
  <c r="I1591" i="1" a="1"/>
  <c r="I1591" i="1" s="1"/>
  <c r="I1592" i="1" a="1"/>
  <c r="I1592" i="1" s="1"/>
  <c r="I1593" i="1" a="1"/>
  <c r="I1593" i="1" s="1"/>
  <c r="I1594" i="1" a="1"/>
  <c r="I1594" i="1" s="1"/>
  <c r="I1595" i="1" a="1"/>
  <c r="I1595" i="1" s="1"/>
  <c r="I1596" i="1" a="1"/>
  <c r="I1596" i="1" s="1"/>
  <c r="I1597" i="1" a="1"/>
  <c r="I1597" i="1" s="1"/>
  <c r="I1598" i="1" a="1"/>
  <c r="I1598" i="1" s="1"/>
  <c r="I1599" i="1" a="1"/>
  <c r="I1599" i="1" s="1"/>
  <c r="I1600" i="1" a="1"/>
  <c r="I1600" i="1" s="1"/>
  <c r="I1601" i="1" a="1"/>
  <c r="I1601" i="1" s="1"/>
  <c r="I1602" i="1" a="1"/>
  <c r="I1602" i="1" s="1"/>
  <c r="I1603" i="1" a="1"/>
  <c r="I1603" i="1" s="1"/>
  <c r="I1604" i="1" a="1"/>
  <c r="I1604" i="1" s="1"/>
  <c r="I1605" i="1" a="1"/>
  <c r="I1605" i="1" s="1"/>
  <c r="I1606" i="1" a="1"/>
  <c r="I1606" i="1" s="1"/>
  <c r="I1607" i="1" a="1"/>
  <c r="I1607" i="1" s="1"/>
  <c r="I1608" i="1" a="1"/>
  <c r="I1608" i="1" s="1"/>
  <c r="I1609" i="1" a="1"/>
  <c r="I1609" i="1" s="1"/>
  <c r="I1610" i="1" a="1"/>
  <c r="I1610" i="1" s="1"/>
  <c r="I1611" i="1" a="1"/>
  <c r="I1611" i="1" s="1"/>
  <c r="I1612" i="1" a="1"/>
  <c r="I1612" i="1" s="1"/>
  <c r="I1613" i="1" a="1"/>
  <c r="I1613" i="1" s="1"/>
  <c r="I1614" i="1" a="1"/>
  <c r="I1614" i="1" s="1"/>
  <c r="I1615" i="1" a="1"/>
  <c r="I1615" i="1" s="1"/>
  <c r="I1616" i="1" a="1"/>
  <c r="I1616" i="1" s="1"/>
  <c r="I1617" i="1" a="1"/>
  <c r="I1617" i="1" s="1"/>
  <c r="I1618" i="1" a="1"/>
  <c r="I1618" i="1" s="1"/>
  <c r="I1619" i="1" a="1"/>
  <c r="I1619" i="1" s="1"/>
  <c r="I1620" i="1" a="1"/>
  <c r="I1620" i="1" s="1"/>
  <c r="I1621" i="1" a="1"/>
  <c r="I1621" i="1" s="1"/>
  <c r="I1622" i="1" a="1"/>
  <c r="I1622" i="1" s="1"/>
  <c r="I1623" i="1" a="1"/>
  <c r="I1623" i="1" s="1"/>
  <c r="I1624" i="1" a="1"/>
  <c r="I1624" i="1" s="1"/>
  <c r="I1625" i="1" a="1"/>
  <c r="I1625" i="1" s="1"/>
  <c r="I1626" i="1" a="1"/>
  <c r="I1626" i="1" s="1"/>
  <c r="I1627" i="1" a="1"/>
  <c r="I1627" i="1" s="1"/>
  <c r="I1628" i="1" a="1"/>
  <c r="I1628" i="1" s="1"/>
  <c r="I1629" i="1" a="1"/>
  <c r="I1629" i="1" s="1"/>
  <c r="I1630" i="1" a="1"/>
  <c r="I1630" i="1" s="1"/>
  <c r="I1631" i="1" a="1"/>
  <c r="I1631" i="1" s="1"/>
  <c r="I1632" i="1" a="1"/>
  <c r="I1632" i="1" s="1"/>
  <c r="I1633" i="1" a="1"/>
  <c r="I1633" i="1" s="1"/>
  <c r="I1634" i="1" a="1"/>
  <c r="I1634" i="1" s="1"/>
  <c r="I1635" i="1" a="1"/>
  <c r="I1635" i="1" s="1"/>
  <c r="I1636" i="1" a="1"/>
  <c r="I1636" i="1" s="1"/>
  <c r="I1637" i="1" a="1"/>
  <c r="I1637" i="1" s="1"/>
  <c r="I1638" i="1" a="1"/>
  <c r="I1638" i="1" s="1"/>
  <c r="I1639" i="1" a="1"/>
  <c r="I1639" i="1" s="1"/>
  <c r="I1640" i="1" a="1"/>
  <c r="I1640" i="1" s="1"/>
  <c r="I1641" i="1" a="1"/>
  <c r="I1641" i="1" s="1"/>
  <c r="I1642" i="1" a="1"/>
  <c r="I1642" i="1" s="1"/>
  <c r="I1643" i="1" a="1"/>
  <c r="I1643" i="1" s="1"/>
  <c r="I1644" i="1" a="1"/>
  <c r="I1644" i="1" s="1"/>
  <c r="I1645" i="1" a="1"/>
  <c r="I1645" i="1" s="1"/>
  <c r="I1646" i="1" a="1"/>
  <c r="I1646" i="1" s="1"/>
  <c r="I1647" i="1" a="1"/>
  <c r="I1647" i="1" s="1"/>
  <c r="I1648" i="1" a="1"/>
  <c r="I1648" i="1" s="1"/>
  <c r="I1649" i="1" a="1"/>
  <c r="I1649" i="1" s="1"/>
  <c r="I1650" i="1" a="1"/>
  <c r="I1650" i="1" s="1"/>
  <c r="I1651" i="1" a="1"/>
  <c r="I1651" i="1" s="1"/>
  <c r="I1652" i="1" a="1"/>
  <c r="I1652" i="1" s="1"/>
  <c r="I1653" i="1" a="1"/>
  <c r="I1653" i="1" s="1"/>
  <c r="I1654" i="1" a="1"/>
  <c r="I1654" i="1" s="1"/>
  <c r="I1655" i="1" a="1"/>
  <c r="I1655" i="1" s="1"/>
  <c r="I1656" i="1" a="1"/>
  <c r="I1656" i="1" s="1"/>
  <c r="I1657" i="1" a="1"/>
  <c r="I1657" i="1" s="1"/>
  <c r="I1658" i="1" a="1"/>
  <c r="I1658" i="1" s="1"/>
  <c r="I1659" i="1" a="1"/>
  <c r="I1659" i="1" s="1"/>
  <c r="I1660" i="1" a="1"/>
  <c r="I1660" i="1" s="1"/>
  <c r="I1661" i="1" a="1"/>
  <c r="I1661" i="1" s="1"/>
  <c r="I1662" i="1" a="1"/>
  <c r="I1662" i="1" s="1"/>
  <c r="I1663" i="1" a="1"/>
  <c r="I1663" i="1" s="1"/>
  <c r="I1664" i="1" a="1"/>
  <c r="I1664" i="1" s="1"/>
  <c r="I1665" i="1" a="1"/>
  <c r="I1665" i="1" s="1"/>
  <c r="I1666" i="1" a="1"/>
  <c r="I1666" i="1" s="1"/>
  <c r="I1667" i="1" a="1"/>
  <c r="I1667" i="1" s="1"/>
  <c r="I1668" i="1" a="1"/>
  <c r="I1668" i="1" s="1"/>
  <c r="I1669" i="1" a="1"/>
  <c r="I1669" i="1" s="1"/>
  <c r="I1670" i="1" a="1"/>
  <c r="I1670" i="1" s="1"/>
  <c r="I1671" i="1" a="1"/>
  <c r="I1671" i="1" s="1"/>
  <c r="I1672" i="1" a="1"/>
  <c r="I1672" i="1" s="1"/>
  <c r="I1673" i="1" a="1"/>
  <c r="I1673" i="1" s="1"/>
  <c r="I1674" i="1" a="1"/>
  <c r="I1674" i="1" s="1"/>
  <c r="I1675" i="1" a="1"/>
  <c r="I1675" i="1" s="1"/>
  <c r="I1676" i="1" a="1"/>
  <c r="I1676" i="1" s="1"/>
  <c r="I1677" i="1" a="1"/>
  <c r="I1677" i="1" s="1"/>
  <c r="I1678" i="1" a="1"/>
  <c r="I1678" i="1" s="1"/>
  <c r="I1679" i="1" a="1"/>
  <c r="I1679" i="1" s="1"/>
  <c r="I1680" i="1" a="1"/>
  <c r="I1680" i="1" s="1"/>
  <c r="I1681" i="1" a="1"/>
  <c r="I1681" i="1" s="1"/>
  <c r="I1682" i="1" a="1"/>
  <c r="I1682" i="1" s="1"/>
  <c r="I1683" i="1" a="1"/>
  <c r="I1683" i="1" s="1"/>
  <c r="I1684" i="1" a="1"/>
  <c r="I1684" i="1" s="1"/>
  <c r="I1685" i="1" a="1"/>
  <c r="I1685" i="1" s="1"/>
  <c r="I1686" i="1" a="1"/>
  <c r="I1686" i="1" s="1"/>
  <c r="I1687" i="1" a="1"/>
  <c r="I1687" i="1" s="1"/>
  <c r="I1688" i="1" a="1"/>
  <c r="I1688" i="1" s="1"/>
  <c r="I1689" i="1" a="1"/>
  <c r="I1689" i="1" s="1"/>
  <c r="I1690" i="1" a="1"/>
  <c r="I1690" i="1" s="1"/>
  <c r="I1691" i="1" a="1"/>
  <c r="I1691" i="1" s="1"/>
  <c r="I1692" i="1" a="1"/>
  <c r="I1692" i="1" s="1"/>
  <c r="I1693" i="1" a="1"/>
  <c r="I1693" i="1" s="1"/>
  <c r="I1694" i="1" a="1"/>
  <c r="I1694" i="1" s="1"/>
  <c r="I1695" i="1" a="1"/>
  <c r="I1695" i="1" s="1"/>
  <c r="I1696" i="1" a="1"/>
  <c r="I1696" i="1" s="1"/>
  <c r="I1697" i="1" a="1"/>
  <c r="I1697" i="1" s="1"/>
  <c r="I1698" i="1" a="1"/>
  <c r="I1698" i="1" s="1"/>
  <c r="I1699" i="1" a="1"/>
  <c r="I1699" i="1" s="1"/>
  <c r="I1700" i="1" a="1"/>
  <c r="I1700" i="1" s="1"/>
  <c r="I1701" i="1" a="1"/>
  <c r="I1701" i="1" s="1"/>
  <c r="I1702" i="1" a="1"/>
  <c r="I1702" i="1" s="1"/>
  <c r="I1703" i="1" a="1"/>
  <c r="I1703" i="1" s="1"/>
  <c r="I1704" i="1" a="1"/>
  <c r="I1704" i="1" s="1"/>
  <c r="I1705" i="1" a="1"/>
  <c r="I1705" i="1" s="1"/>
  <c r="I1706" i="1" a="1"/>
  <c r="I1706" i="1" s="1"/>
  <c r="I1707" i="1" a="1"/>
  <c r="I1707" i="1" s="1"/>
  <c r="I1708" i="1" a="1"/>
  <c r="I1708" i="1" s="1"/>
  <c r="I1709" i="1" a="1"/>
  <c r="I1709" i="1" s="1"/>
  <c r="I1710" i="1" a="1"/>
  <c r="I1710" i="1" s="1"/>
  <c r="I1711" i="1" a="1"/>
  <c r="I1711" i="1" s="1"/>
  <c r="I1712" i="1" a="1"/>
  <c r="I1712" i="1" s="1"/>
  <c r="I1713" i="1" a="1"/>
  <c r="I1713" i="1" s="1"/>
  <c r="I1714" i="1" a="1"/>
  <c r="I1714" i="1" s="1"/>
  <c r="I1715" i="1" a="1"/>
  <c r="I1715" i="1" s="1"/>
  <c r="I1716" i="1" a="1"/>
  <c r="I1716" i="1" s="1"/>
  <c r="I1717" i="1" a="1"/>
  <c r="I1717" i="1" s="1"/>
  <c r="I1718" i="1" a="1"/>
  <c r="I1718" i="1" s="1"/>
  <c r="I1719" i="1" a="1"/>
  <c r="I1719" i="1" s="1"/>
  <c r="I1720" i="1" a="1"/>
  <c r="I1720" i="1" s="1"/>
  <c r="I1721" i="1" a="1"/>
  <c r="I1721" i="1" s="1"/>
  <c r="I1722" i="1" a="1"/>
  <c r="I1722" i="1" s="1"/>
  <c r="I1723" i="1" a="1"/>
  <c r="I1723" i="1" s="1"/>
  <c r="I1724" i="1" a="1"/>
  <c r="I1724" i="1" s="1"/>
  <c r="I1725" i="1" a="1"/>
  <c r="I1725" i="1" s="1"/>
  <c r="I1726" i="1" a="1"/>
  <c r="I1726" i="1" s="1"/>
  <c r="I1727" i="1" a="1"/>
  <c r="I1727" i="1" s="1"/>
  <c r="I1728" i="1" a="1"/>
  <c r="I1728" i="1" s="1"/>
  <c r="I1729" i="1" a="1"/>
  <c r="I1729" i="1" s="1"/>
  <c r="I1730" i="1" a="1"/>
  <c r="I1730" i="1" s="1"/>
  <c r="I1731" i="1" a="1"/>
  <c r="I1731" i="1" s="1"/>
  <c r="I1732" i="1" a="1"/>
  <c r="I1732" i="1" s="1"/>
  <c r="I1733" i="1" a="1"/>
  <c r="I1733" i="1" s="1"/>
  <c r="I1734" i="1" a="1"/>
  <c r="I1734" i="1" s="1"/>
  <c r="I1735" i="1" a="1"/>
  <c r="I1735" i="1" s="1"/>
  <c r="I1736" i="1" a="1"/>
  <c r="I1736" i="1" s="1"/>
  <c r="I1737" i="1" a="1"/>
  <c r="I1737" i="1" s="1"/>
  <c r="I1738" i="1" a="1"/>
  <c r="I1738" i="1" s="1"/>
  <c r="I1739" i="1" a="1"/>
  <c r="I1739" i="1" s="1"/>
  <c r="I1740" i="1" a="1"/>
  <c r="I1740" i="1" s="1"/>
  <c r="I1741" i="1" a="1"/>
  <c r="I1741" i="1" s="1"/>
  <c r="I1742" i="1" a="1"/>
  <c r="I1742" i="1" s="1"/>
  <c r="I1743" i="1" a="1"/>
  <c r="I1743" i="1" s="1"/>
  <c r="I1744" i="1" a="1"/>
  <c r="I1744" i="1" s="1"/>
  <c r="I1745" i="1" a="1"/>
  <c r="I1745" i="1" s="1"/>
  <c r="I1746" i="1" a="1"/>
  <c r="I1746" i="1" s="1"/>
  <c r="I1747" i="1" a="1"/>
  <c r="I1747" i="1" s="1"/>
  <c r="I1748" i="1" a="1"/>
  <c r="I1748" i="1" s="1"/>
  <c r="I1749" i="1" a="1"/>
  <c r="I1749" i="1" s="1"/>
  <c r="I1750" i="1" a="1"/>
  <c r="I1750" i="1" s="1"/>
  <c r="I1751" i="1" a="1"/>
  <c r="I1751" i="1" s="1"/>
  <c r="I1752" i="1" a="1"/>
  <c r="I1752" i="1" s="1"/>
  <c r="I1753" i="1" a="1"/>
  <c r="I1753" i="1" s="1"/>
  <c r="I1754" i="1" a="1"/>
  <c r="I1754" i="1" s="1"/>
  <c r="I1755" i="1" a="1"/>
  <c r="I1755" i="1" s="1"/>
  <c r="I1756" i="1" a="1"/>
  <c r="I1756" i="1" s="1"/>
  <c r="I1757" i="1" a="1"/>
  <c r="I1757" i="1" s="1"/>
  <c r="I1758" i="1" a="1"/>
  <c r="I1758" i="1" s="1"/>
  <c r="I1759" i="1" a="1"/>
  <c r="I1759" i="1" s="1"/>
  <c r="I1760" i="1" a="1"/>
  <c r="I1760" i="1" s="1"/>
  <c r="I1761" i="1" a="1"/>
  <c r="I1761" i="1" s="1"/>
  <c r="I1762" i="1" a="1"/>
  <c r="I1762" i="1" s="1"/>
  <c r="I1763" i="1" a="1"/>
  <c r="I1763" i="1" s="1"/>
  <c r="I1764" i="1" a="1"/>
  <c r="I1764" i="1" s="1"/>
  <c r="I1765" i="1" a="1"/>
  <c r="I1765" i="1" s="1"/>
  <c r="I1766" i="1" a="1"/>
  <c r="I1766" i="1" s="1"/>
  <c r="I1767" i="1" a="1"/>
  <c r="I1767" i="1" s="1"/>
  <c r="I1768" i="1" a="1"/>
  <c r="I1768" i="1" s="1"/>
  <c r="I1769" i="1" a="1"/>
  <c r="I1769" i="1" s="1"/>
  <c r="I1770" i="1" a="1"/>
  <c r="I1770" i="1" s="1"/>
  <c r="I1771" i="1" a="1"/>
  <c r="I1771" i="1" s="1"/>
  <c r="I1772" i="1" a="1"/>
  <c r="I1772" i="1" s="1"/>
  <c r="I1773" i="1" a="1"/>
  <c r="I1773" i="1" s="1"/>
  <c r="I1774" i="1" a="1"/>
  <c r="I1774" i="1" s="1"/>
  <c r="I1775" i="1" a="1"/>
  <c r="I1775" i="1" s="1"/>
  <c r="I1776" i="1" a="1"/>
  <c r="I1776" i="1" s="1"/>
  <c r="I1777" i="1" a="1"/>
  <c r="I1777" i="1" s="1"/>
  <c r="I1778" i="1" a="1"/>
  <c r="I1778" i="1" s="1"/>
  <c r="I1779" i="1" a="1"/>
  <c r="I1779" i="1" s="1"/>
  <c r="I1780" i="1" a="1"/>
  <c r="I1780" i="1" s="1"/>
  <c r="I1781" i="1" a="1"/>
  <c r="I1781" i="1" s="1"/>
  <c r="I1782" i="1" a="1"/>
  <c r="I1782" i="1" s="1"/>
  <c r="I1783" i="1" a="1"/>
  <c r="I1783" i="1" s="1"/>
  <c r="I1784" i="1" a="1"/>
  <c r="I1784" i="1" s="1"/>
  <c r="I1785" i="1" a="1"/>
  <c r="I1785" i="1" s="1"/>
  <c r="I1786" i="1" a="1"/>
  <c r="I1786" i="1" s="1"/>
  <c r="I1787" i="1" a="1"/>
  <c r="I1787" i="1" s="1"/>
  <c r="I1788" i="1" a="1"/>
  <c r="I1788" i="1" s="1"/>
  <c r="I1789" i="1" a="1"/>
  <c r="I1789" i="1" s="1"/>
  <c r="I1790" i="1" a="1"/>
  <c r="I1790" i="1" s="1"/>
  <c r="I1791" i="1" a="1"/>
  <c r="I1791" i="1" s="1"/>
  <c r="I1792" i="1" a="1"/>
  <c r="I1792" i="1" s="1"/>
  <c r="I1793" i="1" a="1"/>
  <c r="I1793" i="1" s="1"/>
  <c r="I1794" i="1" a="1"/>
  <c r="I1794" i="1" s="1"/>
  <c r="I1795" i="1" a="1"/>
  <c r="I1795" i="1" s="1"/>
  <c r="I1796" i="1" a="1"/>
  <c r="I1796" i="1" s="1"/>
  <c r="I1797" i="1" a="1"/>
  <c r="I1797" i="1" s="1"/>
  <c r="I1798" i="1" a="1"/>
  <c r="I1798" i="1" s="1"/>
  <c r="I1799" i="1" a="1"/>
  <c r="I1799" i="1" s="1"/>
  <c r="I1800" i="1" a="1"/>
  <c r="I1800" i="1" s="1"/>
  <c r="I1801" i="1" a="1"/>
  <c r="I1801" i="1" s="1"/>
  <c r="I1802" i="1" a="1"/>
  <c r="I1802" i="1" s="1"/>
  <c r="I1803" i="1" a="1"/>
  <c r="I1803" i="1" s="1"/>
  <c r="I1804" i="1" a="1"/>
  <c r="I1804" i="1" s="1"/>
  <c r="I1805" i="1" a="1"/>
  <c r="I1805" i="1" s="1"/>
  <c r="I1806" i="1" a="1"/>
  <c r="I1806" i="1" s="1"/>
  <c r="I1807" i="1" a="1"/>
  <c r="I1807" i="1" s="1"/>
  <c r="I1808" i="1" a="1"/>
  <c r="I1808" i="1" s="1"/>
  <c r="I1809" i="1" a="1"/>
  <c r="I1809" i="1" s="1"/>
  <c r="I1810" i="1" a="1"/>
  <c r="I1810" i="1" s="1"/>
  <c r="I1811" i="1" a="1"/>
  <c r="I1811" i="1" s="1"/>
  <c r="I1812" i="1" a="1"/>
  <c r="I1812" i="1" s="1"/>
  <c r="I1813" i="1" a="1"/>
  <c r="I1813" i="1" s="1"/>
  <c r="I1814" i="1" a="1"/>
  <c r="I1814" i="1" s="1"/>
  <c r="I1815" i="1" a="1"/>
  <c r="I1815" i="1" s="1"/>
  <c r="I1816" i="1" a="1"/>
  <c r="I1816" i="1" s="1"/>
  <c r="I1817" i="1" a="1"/>
  <c r="I1817" i="1" s="1"/>
  <c r="I1818" i="1" a="1"/>
  <c r="I1818" i="1" s="1"/>
  <c r="I1819" i="1" a="1"/>
  <c r="I1819" i="1" s="1"/>
  <c r="I1820" i="1" a="1"/>
  <c r="I1820" i="1" s="1"/>
  <c r="I1821" i="1" a="1"/>
  <c r="I1821" i="1" s="1"/>
  <c r="I1822" i="1" a="1"/>
  <c r="I1822" i="1" s="1"/>
  <c r="I1823" i="1" a="1"/>
  <c r="I1823" i="1" s="1"/>
  <c r="I1824" i="1" a="1"/>
  <c r="I1824" i="1" s="1"/>
  <c r="I1825" i="1" a="1"/>
  <c r="I1825" i="1" s="1"/>
  <c r="I1826" i="1" a="1"/>
  <c r="I1826" i="1" s="1"/>
  <c r="I1827" i="1" a="1"/>
  <c r="I1827" i="1" s="1"/>
  <c r="I1828" i="1" a="1"/>
  <c r="I1828" i="1" s="1"/>
  <c r="I1829" i="1" a="1"/>
  <c r="I1829" i="1" s="1"/>
  <c r="I1830" i="1" a="1"/>
  <c r="I1830" i="1" s="1"/>
  <c r="I1831" i="1" a="1"/>
  <c r="I1831" i="1" s="1"/>
  <c r="I1832" i="1" a="1"/>
  <c r="I1832" i="1" s="1"/>
  <c r="I1833" i="1" a="1"/>
  <c r="I1833" i="1" s="1"/>
  <c r="I1834" i="1" a="1"/>
  <c r="I1834" i="1" s="1"/>
  <c r="I1835" i="1" a="1"/>
  <c r="I1835" i="1" s="1"/>
  <c r="I1836" i="1" a="1"/>
  <c r="I1836" i="1" s="1"/>
  <c r="I1837" i="1" a="1"/>
  <c r="I1837" i="1" s="1"/>
  <c r="I1838" i="1" a="1"/>
  <c r="I1838" i="1" s="1"/>
  <c r="I1839" i="1" a="1"/>
  <c r="I1839" i="1" s="1"/>
  <c r="I1840" i="1" a="1"/>
  <c r="I1840" i="1" s="1"/>
  <c r="I1841" i="1" a="1"/>
  <c r="I1841" i="1" s="1"/>
  <c r="I1842" i="1" a="1"/>
  <c r="I1842" i="1" s="1"/>
  <c r="I1843" i="1" a="1"/>
  <c r="I1843" i="1" s="1"/>
  <c r="I1844" i="1" a="1"/>
  <c r="I1844" i="1" s="1"/>
  <c r="I1845" i="1" a="1"/>
  <c r="I1845" i="1" s="1"/>
  <c r="I1846" i="1" a="1"/>
  <c r="I1846" i="1" s="1"/>
  <c r="I1847" i="1" a="1"/>
  <c r="I1847" i="1" s="1"/>
  <c r="I1848" i="1" a="1"/>
  <c r="I1848" i="1" s="1"/>
  <c r="I1849" i="1" a="1"/>
  <c r="I1849" i="1" s="1"/>
  <c r="I1850" i="1" a="1"/>
  <c r="I1850" i="1" s="1"/>
  <c r="I1851" i="1" a="1"/>
  <c r="I1851" i="1" s="1"/>
  <c r="I1852" i="1" a="1"/>
  <c r="I1852" i="1" s="1"/>
  <c r="I1853" i="1" a="1"/>
  <c r="I1853" i="1" s="1"/>
  <c r="I1854" i="1" a="1"/>
  <c r="I1854" i="1" s="1"/>
  <c r="I1855" i="1" a="1"/>
  <c r="I1855" i="1" s="1"/>
  <c r="I1856" i="1" a="1"/>
  <c r="I1856" i="1" s="1"/>
  <c r="I1857" i="1" a="1"/>
  <c r="I1857" i="1" s="1"/>
  <c r="I1858" i="1" a="1"/>
  <c r="I1858" i="1" s="1"/>
  <c r="I1859" i="1" a="1"/>
  <c r="I1859" i="1" s="1"/>
  <c r="I1860" i="1" a="1"/>
  <c r="I1860" i="1" s="1"/>
  <c r="I1861" i="1" a="1"/>
  <c r="I1861" i="1" s="1"/>
  <c r="I1862" i="1" a="1"/>
  <c r="I1862" i="1" s="1"/>
  <c r="I1863" i="1" a="1"/>
  <c r="I1863" i="1" s="1"/>
  <c r="I1864" i="1" a="1"/>
  <c r="I1864" i="1" s="1"/>
  <c r="I1865" i="1" a="1"/>
  <c r="I1865" i="1" s="1"/>
  <c r="I1866" i="1" a="1"/>
  <c r="I1866" i="1" s="1"/>
  <c r="I1867" i="1" a="1"/>
  <c r="I1867" i="1" s="1"/>
  <c r="I1868" i="1" a="1"/>
  <c r="I1868" i="1" s="1"/>
  <c r="I1869" i="1" a="1"/>
  <c r="I1869" i="1" s="1"/>
  <c r="I1870" i="1" a="1"/>
  <c r="I1870" i="1" s="1"/>
  <c r="I1871" i="1" a="1"/>
  <c r="I1871" i="1" s="1"/>
  <c r="I1872" i="1" a="1"/>
  <c r="I1872" i="1" s="1"/>
  <c r="I1873" i="1" a="1"/>
  <c r="I1873" i="1" s="1"/>
  <c r="I1874" i="1" a="1"/>
  <c r="I1874" i="1" s="1"/>
  <c r="I1875" i="1" a="1"/>
  <c r="I1875" i="1" s="1"/>
  <c r="I1876" i="1" a="1"/>
  <c r="I1876" i="1" s="1"/>
  <c r="I1877" i="1" a="1"/>
  <c r="I1877" i="1" s="1"/>
  <c r="I1878" i="1" a="1"/>
  <c r="I1878" i="1" s="1"/>
  <c r="I1879" i="1" a="1"/>
  <c r="I1879" i="1" s="1"/>
  <c r="I1880" i="1" a="1"/>
  <c r="I1880" i="1" s="1"/>
  <c r="I1881" i="1" a="1"/>
  <c r="I1881" i="1" s="1"/>
  <c r="I1882" i="1" a="1"/>
  <c r="I1882" i="1" s="1"/>
  <c r="I1883" i="1" a="1"/>
  <c r="I1883" i="1" s="1"/>
  <c r="I1884" i="1" a="1"/>
  <c r="I1884" i="1" s="1"/>
  <c r="I1885" i="1" a="1"/>
  <c r="I1885" i="1" s="1"/>
  <c r="I1886" i="1" a="1"/>
  <c r="I1886" i="1" s="1"/>
  <c r="I1887" i="1" a="1"/>
  <c r="I1887" i="1" s="1"/>
  <c r="I1888" i="1" a="1"/>
  <c r="I1888" i="1" s="1"/>
  <c r="I1889" i="1" a="1"/>
  <c r="I1889" i="1" s="1"/>
  <c r="I1890" i="1" a="1"/>
  <c r="I1890" i="1" s="1"/>
  <c r="I1891" i="1" a="1"/>
  <c r="I1891" i="1" s="1"/>
  <c r="I1892" i="1" a="1"/>
  <c r="I1892" i="1" s="1"/>
  <c r="I1893" i="1" a="1"/>
  <c r="I1893" i="1" s="1"/>
  <c r="I1894" i="1" a="1"/>
  <c r="I1894" i="1" s="1"/>
  <c r="I1895" i="1" a="1"/>
  <c r="I1895" i="1" s="1"/>
  <c r="I1896" i="1" a="1"/>
  <c r="I1896" i="1" s="1"/>
  <c r="I1897" i="1" a="1"/>
  <c r="I1897" i="1" s="1"/>
  <c r="I1898" i="1" a="1"/>
  <c r="I1898" i="1" s="1"/>
  <c r="I1899" i="1" a="1"/>
  <c r="I1899" i="1" s="1"/>
  <c r="I1900" i="1" a="1"/>
  <c r="I1900" i="1" s="1"/>
  <c r="I1901" i="1" a="1"/>
  <c r="I1901" i="1" s="1"/>
  <c r="I1902" i="1" a="1"/>
  <c r="I1902" i="1" s="1"/>
  <c r="I1903" i="1" a="1"/>
  <c r="I1903" i="1" s="1"/>
  <c r="I1904" i="1" a="1"/>
  <c r="I1904" i="1" s="1"/>
  <c r="I1905" i="1" a="1"/>
  <c r="I1905" i="1" s="1"/>
  <c r="I1906" i="1" a="1"/>
  <c r="I1906" i="1" s="1"/>
  <c r="I1907" i="1" a="1"/>
  <c r="I1907" i="1" s="1"/>
  <c r="I1908" i="1" a="1"/>
  <c r="I1908" i="1" s="1"/>
  <c r="I1909" i="1" a="1"/>
  <c r="I1909" i="1" s="1"/>
  <c r="I1910" i="1" a="1"/>
  <c r="I1910" i="1" s="1"/>
  <c r="I1911" i="1" a="1"/>
  <c r="I1911" i="1" s="1"/>
  <c r="I1912" i="1" a="1"/>
  <c r="I1912" i="1" s="1"/>
  <c r="I1913" i="1" a="1"/>
  <c r="I1913" i="1" s="1"/>
  <c r="I1914" i="1" a="1"/>
  <c r="I1914" i="1" s="1"/>
  <c r="I1915" i="1" a="1"/>
  <c r="I1915" i="1" s="1"/>
  <c r="I1916" i="1" a="1"/>
  <c r="I1916" i="1" s="1"/>
  <c r="I1917" i="1" a="1"/>
  <c r="I1917" i="1" s="1"/>
  <c r="I1918" i="1" a="1"/>
  <c r="I1918" i="1" s="1"/>
  <c r="I1919" i="1" a="1"/>
  <c r="I1919" i="1" s="1"/>
  <c r="I1920" i="1" a="1"/>
  <c r="I1920" i="1" s="1"/>
  <c r="I1921" i="1" a="1"/>
  <c r="I1921" i="1" s="1"/>
  <c r="I1922" i="1" a="1"/>
  <c r="I1922" i="1" s="1"/>
  <c r="I1923" i="1" a="1"/>
  <c r="I1923" i="1" s="1"/>
  <c r="I1924" i="1" a="1"/>
  <c r="I1924" i="1" s="1"/>
  <c r="I1925" i="1" a="1"/>
  <c r="I1925" i="1" s="1"/>
  <c r="I1926" i="1" a="1"/>
  <c r="I1926" i="1" s="1"/>
  <c r="I1927" i="1" a="1"/>
  <c r="I1927" i="1" s="1"/>
  <c r="I1928" i="1" a="1"/>
  <c r="I1928" i="1" s="1"/>
  <c r="I1929" i="1" a="1"/>
  <c r="I1929" i="1" s="1"/>
  <c r="I1930" i="1" a="1"/>
  <c r="I1930" i="1" s="1"/>
  <c r="I1931" i="1" a="1"/>
  <c r="I1931" i="1" s="1"/>
  <c r="I1932" i="1" a="1"/>
  <c r="I1932" i="1" s="1"/>
  <c r="I1933" i="1" a="1"/>
  <c r="I1933" i="1" s="1"/>
  <c r="I1934" i="1" a="1"/>
  <c r="I1934" i="1" s="1"/>
  <c r="I1935" i="1" a="1"/>
  <c r="I1935" i="1" s="1"/>
  <c r="I1936" i="1" a="1"/>
  <c r="I1936" i="1" s="1"/>
  <c r="I1937" i="1" a="1"/>
  <c r="I1937" i="1" s="1"/>
  <c r="I1938" i="1" a="1"/>
  <c r="I1938" i="1" s="1"/>
  <c r="I1939" i="1" a="1"/>
  <c r="I1939" i="1" s="1"/>
  <c r="I1940" i="1" a="1"/>
  <c r="I1940" i="1" s="1"/>
  <c r="I1941" i="1" a="1"/>
  <c r="I1941" i="1" s="1"/>
  <c r="I1942" i="1" a="1"/>
  <c r="I1942" i="1" s="1"/>
  <c r="I1943" i="1" a="1"/>
  <c r="I1943" i="1" s="1"/>
  <c r="I1944" i="1" a="1"/>
  <c r="I1944" i="1" s="1"/>
  <c r="I1945" i="1" a="1"/>
  <c r="I1945" i="1" s="1"/>
  <c r="I1946" i="1" a="1"/>
  <c r="I1946" i="1" s="1"/>
  <c r="I1947" i="1" a="1"/>
  <c r="I1947" i="1" s="1"/>
  <c r="I1948" i="1" a="1"/>
  <c r="I1948" i="1" s="1"/>
  <c r="I1949" i="1" a="1"/>
  <c r="I1949" i="1" s="1"/>
  <c r="I1950" i="1" a="1"/>
  <c r="I1950" i="1" s="1"/>
  <c r="I1951" i="1" a="1"/>
  <c r="I1951" i="1" s="1"/>
  <c r="I1952" i="1" a="1"/>
  <c r="I1952" i="1" s="1"/>
  <c r="I1953" i="1" a="1"/>
  <c r="I1953" i="1" s="1"/>
  <c r="I1954" i="1" a="1"/>
  <c r="I1954" i="1" s="1"/>
  <c r="I1955" i="1" a="1"/>
  <c r="I1955" i="1" s="1"/>
  <c r="I1956" i="1" a="1"/>
  <c r="I1956" i="1" s="1"/>
  <c r="I1957" i="1" a="1"/>
  <c r="I1957" i="1" s="1"/>
  <c r="I1958" i="1" a="1"/>
  <c r="I1958" i="1" s="1"/>
  <c r="I1959" i="1" a="1"/>
  <c r="I1959" i="1" s="1"/>
  <c r="I1960" i="1" a="1"/>
  <c r="I1960" i="1" s="1"/>
  <c r="I1961" i="1" a="1"/>
  <c r="I1961" i="1" s="1"/>
  <c r="I1962" i="1" a="1"/>
  <c r="I1962" i="1" s="1"/>
  <c r="I1963" i="1" a="1"/>
  <c r="I1963" i="1" s="1"/>
  <c r="I1964" i="1" a="1"/>
  <c r="I1964" i="1" s="1"/>
  <c r="I1965" i="1" a="1"/>
  <c r="I1965" i="1" s="1"/>
  <c r="I1966" i="1" a="1"/>
  <c r="I1966" i="1" s="1"/>
  <c r="I1967" i="1" a="1"/>
  <c r="I1967" i="1" s="1"/>
  <c r="I1968" i="1" a="1"/>
  <c r="I1968" i="1" s="1"/>
  <c r="I1969" i="1" a="1"/>
  <c r="I1969" i="1" s="1"/>
  <c r="I1970" i="1" a="1"/>
  <c r="I1970" i="1" s="1"/>
  <c r="I1971" i="1" a="1"/>
  <c r="I1971" i="1" s="1"/>
  <c r="I1972" i="1" a="1"/>
  <c r="I1972" i="1" s="1"/>
  <c r="I1973" i="1" a="1"/>
  <c r="I1973" i="1" s="1"/>
  <c r="I1974" i="1" a="1"/>
  <c r="I1974" i="1" s="1"/>
  <c r="I1975" i="1" a="1"/>
  <c r="I1975" i="1" s="1"/>
  <c r="I1976" i="1" a="1"/>
  <c r="I1976" i="1" s="1"/>
  <c r="I1977" i="1" a="1"/>
  <c r="I1977" i="1" s="1"/>
  <c r="I1978" i="1" a="1"/>
  <c r="I1978" i="1" s="1"/>
  <c r="I1979" i="1" a="1"/>
  <c r="I1979" i="1" s="1"/>
  <c r="I1980" i="1" a="1"/>
  <c r="I1980" i="1" s="1"/>
  <c r="I1981" i="1" a="1"/>
  <c r="I1981" i="1" s="1"/>
  <c r="I1982" i="1" a="1"/>
  <c r="I1982" i="1" s="1"/>
  <c r="I1983" i="1" a="1"/>
  <c r="I1983" i="1" s="1"/>
  <c r="I1984" i="1" a="1"/>
  <c r="I1984" i="1" s="1"/>
  <c r="I1985" i="1" a="1"/>
  <c r="I1985" i="1" s="1"/>
  <c r="I1986" i="1" a="1"/>
  <c r="I1986" i="1" s="1"/>
  <c r="I1987" i="1" a="1"/>
  <c r="I1987" i="1" s="1"/>
  <c r="I1988" i="1" a="1"/>
  <c r="I1988" i="1" s="1"/>
  <c r="I1989" i="1" a="1"/>
  <c r="I1989" i="1" s="1"/>
  <c r="I1990" i="1" a="1"/>
  <c r="I1990" i="1" s="1"/>
  <c r="I1991" i="1" a="1"/>
  <c r="I1991" i="1" s="1"/>
  <c r="I1992" i="1" a="1"/>
  <c r="I1992" i="1" s="1"/>
  <c r="I1993" i="1" a="1"/>
  <c r="I1993" i="1" s="1"/>
  <c r="I1994" i="1" a="1"/>
  <c r="I1994" i="1" s="1"/>
  <c r="I1995" i="1" a="1"/>
  <c r="I1995" i="1" s="1"/>
  <c r="I1996" i="1" a="1"/>
  <c r="I1996" i="1" s="1"/>
  <c r="I1997" i="1" a="1"/>
  <c r="I1997" i="1" s="1"/>
  <c r="I1998" i="1" a="1"/>
  <c r="I1998" i="1" s="1"/>
  <c r="I1999" i="1" a="1"/>
  <c r="I1999" i="1" s="1"/>
  <c r="I2000" i="1" a="1"/>
  <c r="I2000" i="1" s="1"/>
  <c r="I2001" i="1" a="1"/>
  <c r="I2001" i="1" s="1"/>
  <c r="I2002" i="1" a="1"/>
  <c r="I2002" i="1" s="1"/>
  <c r="I2003" i="1" a="1"/>
  <c r="I2003" i="1" s="1"/>
  <c r="I2004" i="1" a="1"/>
  <c r="I2004" i="1" s="1"/>
  <c r="I2005" i="1" a="1"/>
  <c r="I2005" i="1" s="1"/>
  <c r="I2006" i="1" a="1"/>
  <c r="I2006" i="1" s="1"/>
  <c r="I2007" i="1" a="1"/>
  <c r="I2007" i="1" s="1"/>
  <c r="I2008" i="1" a="1"/>
  <c r="I2008" i="1" s="1"/>
  <c r="I2009" i="1" a="1"/>
  <c r="I2009" i="1" s="1"/>
  <c r="I2010" i="1" a="1"/>
  <c r="I2010" i="1" s="1"/>
  <c r="I2011" i="1" a="1"/>
  <c r="I2011" i="1" s="1"/>
  <c r="I2012" i="1" a="1"/>
  <c r="I2012" i="1" s="1"/>
  <c r="I2013" i="1" a="1"/>
  <c r="I2013" i="1" s="1"/>
  <c r="I2014" i="1" a="1"/>
  <c r="I2014" i="1" s="1"/>
  <c r="I2015" i="1" a="1"/>
  <c r="I2015" i="1" s="1"/>
  <c r="I2016" i="1" a="1"/>
  <c r="I2016" i="1" s="1"/>
  <c r="I2017" i="1" a="1"/>
  <c r="I2017" i="1" s="1"/>
  <c r="I2018" i="1" a="1"/>
  <c r="I2018" i="1" s="1"/>
  <c r="I2019" i="1" a="1"/>
  <c r="I2019" i="1" s="1"/>
  <c r="I2020" i="1" a="1"/>
  <c r="I2020" i="1" s="1"/>
  <c r="I2021" i="1" a="1"/>
  <c r="I2021" i="1" s="1"/>
  <c r="I2022" i="1" a="1"/>
  <c r="I2022" i="1" s="1"/>
  <c r="I2023" i="1" a="1"/>
  <c r="I2023" i="1" s="1"/>
  <c r="I2024" i="1" a="1"/>
  <c r="I2024" i="1" s="1"/>
  <c r="I2025" i="1" a="1"/>
  <c r="I2025" i="1" s="1"/>
  <c r="I2026" i="1" a="1"/>
  <c r="I2026" i="1" s="1"/>
  <c r="I2027" i="1" a="1"/>
  <c r="I2027" i="1" s="1"/>
  <c r="I2028" i="1" a="1"/>
  <c r="I2028" i="1" s="1"/>
  <c r="I2029" i="1" a="1"/>
  <c r="I2029" i="1" s="1"/>
  <c r="I2030" i="1" a="1"/>
  <c r="I2030" i="1" s="1"/>
  <c r="I2031" i="1" a="1"/>
  <c r="I2031" i="1" s="1"/>
  <c r="I2032" i="1" a="1"/>
  <c r="I2032" i="1" s="1"/>
  <c r="I2033" i="1" a="1"/>
  <c r="I2033" i="1" s="1"/>
  <c r="I2034" i="1" a="1"/>
  <c r="I2034" i="1" s="1"/>
  <c r="I2035" i="1" a="1"/>
  <c r="I2035" i="1" s="1"/>
  <c r="I2036" i="1" a="1"/>
  <c r="I2036" i="1" s="1"/>
  <c r="I2037" i="1" a="1"/>
  <c r="I2037" i="1" s="1"/>
  <c r="I2038" i="1" a="1"/>
  <c r="I2038" i="1" s="1"/>
  <c r="I2039" i="1" a="1"/>
  <c r="I2039" i="1" s="1"/>
  <c r="I2040" i="1" a="1"/>
  <c r="I2040" i="1" s="1"/>
  <c r="I2041" i="1" a="1"/>
  <c r="I2041" i="1" s="1"/>
  <c r="I2042" i="1" a="1"/>
  <c r="I2042" i="1" s="1"/>
  <c r="I2043" i="1" a="1"/>
  <c r="I2043" i="1" s="1"/>
  <c r="I2044" i="1" a="1"/>
  <c r="I2044" i="1" s="1"/>
  <c r="I2045" i="1" a="1"/>
  <c r="I2045" i="1" s="1"/>
  <c r="I2046" i="1" a="1"/>
  <c r="I2046" i="1" s="1"/>
  <c r="I2047" i="1" a="1"/>
  <c r="I2047" i="1" s="1"/>
  <c r="I2048" i="1" a="1"/>
  <c r="I2048" i="1" s="1"/>
  <c r="I2049" i="1" a="1"/>
  <c r="I2049" i="1" s="1"/>
  <c r="I2050" i="1" a="1"/>
  <c r="I2050" i="1" s="1"/>
  <c r="I2051" i="1" a="1"/>
  <c r="I2051" i="1" s="1"/>
  <c r="I2052" i="1" a="1"/>
  <c r="I2052" i="1" s="1"/>
  <c r="I2053" i="1" a="1"/>
  <c r="I2053" i="1" s="1"/>
  <c r="I2054" i="1" a="1"/>
  <c r="I2054" i="1" s="1"/>
  <c r="I2055" i="1" a="1"/>
  <c r="I2055" i="1" s="1"/>
  <c r="I2056" i="1" a="1"/>
  <c r="I2056" i="1" s="1"/>
  <c r="I2057" i="1" a="1"/>
  <c r="I2057" i="1" s="1"/>
  <c r="I2058" i="1" a="1"/>
  <c r="I2058" i="1" s="1"/>
  <c r="I2059" i="1" a="1"/>
  <c r="I2059" i="1" s="1"/>
  <c r="I2060" i="1" a="1"/>
  <c r="I2060" i="1" s="1"/>
  <c r="I2061" i="1" a="1"/>
  <c r="I2061" i="1" s="1"/>
  <c r="I2062" i="1" a="1"/>
  <c r="I2062" i="1" s="1"/>
  <c r="I2063" i="1" a="1"/>
  <c r="I2063" i="1" s="1"/>
  <c r="I2064" i="1" a="1"/>
  <c r="I2064" i="1" s="1"/>
  <c r="I2065" i="1" a="1"/>
  <c r="I2065" i="1" s="1"/>
  <c r="I2066" i="1" a="1"/>
  <c r="I2066" i="1" s="1"/>
  <c r="I2067" i="1" a="1"/>
  <c r="I2067" i="1" s="1"/>
  <c r="I2068" i="1" a="1"/>
  <c r="I2068" i="1" s="1"/>
  <c r="I2069" i="1" a="1"/>
  <c r="I2069" i="1" s="1"/>
  <c r="I2070" i="1" a="1"/>
  <c r="I2070" i="1" s="1"/>
  <c r="I2071" i="1" a="1"/>
  <c r="I2071" i="1" s="1"/>
  <c r="I2072" i="1" a="1"/>
  <c r="I2072" i="1" s="1"/>
  <c r="I2073" i="1" a="1"/>
  <c r="I2073" i="1" s="1"/>
  <c r="I2074" i="1" a="1"/>
  <c r="I2074" i="1" s="1"/>
  <c r="I2075" i="1" a="1"/>
  <c r="I2075" i="1" s="1"/>
  <c r="I2076" i="1" a="1"/>
  <c r="I2076" i="1" s="1"/>
  <c r="I2077" i="1" a="1"/>
  <c r="I2077" i="1" s="1"/>
  <c r="I2078" i="1" a="1"/>
  <c r="I2078" i="1" s="1"/>
  <c r="I2079" i="1" a="1"/>
  <c r="I2079" i="1" s="1"/>
  <c r="I2080" i="1" a="1"/>
  <c r="I2080" i="1" s="1"/>
  <c r="I2081" i="1" a="1"/>
  <c r="I2081" i="1" s="1"/>
  <c r="I2082" i="1" a="1"/>
  <c r="I2082" i="1" s="1"/>
  <c r="I2083" i="1" a="1"/>
  <c r="I2083" i="1" s="1"/>
  <c r="I2084" i="1" a="1"/>
  <c r="I2084" i="1" s="1"/>
  <c r="I2085" i="1" a="1"/>
  <c r="I2085" i="1" s="1"/>
  <c r="I2086" i="1" a="1"/>
  <c r="I2086" i="1" s="1"/>
  <c r="I2087" i="1" a="1"/>
  <c r="I2087" i="1" s="1"/>
  <c r="I2088" i="1" a="1"/>
  <c r="I2088" i="1" s="1"/>
  <c r="I2089" i="1" a="1"/>
  <c r="I2089" i="1" s="1"/>
  <c r="I2090" i="1" a="1"/>
  <c r="I2090" i="1" s="1"/>
  <c r="I2091" i="1" a="1"/>
  <c r="I2091" i="1" s="1"/>
  <c r="I2092" i="1" a="1"/>
  <c r="I2092" i="1" s="1"/>
  <c r="I2093" i="1" a="1"/>
  <c r="I2093" i="1" s="1"/>
  <c r="I2094" i="1" a="1"/>
  <c r="I2094" i="1" s="1"/>
  <c r="I2095" i="1" a="1"/>
  <c r="I2095" i="1" s="1"/>
  <c r="I2096" i="1" a="1"/>
  <c r="I2096" i="1" s="1"/>
  <c r="I2097" i="1" a="1"/>
  <c r="I2097" i="1" s="1"/>
  <c r="I2098" i="1" a="1"/>
  <c r="I2098" i="1" s="1"/>
  <c r="I2099" i="1" a="1"/>
  <c r="I2099" i="1" s="1"/>
  <c r="I2100" i="1" a="1"/>
  <c r="I2100" i="1" s="1"/>
  <c r="I2101" i="1" a="1"/>
  <c r="I2101" i="1" s="1"/>
  <c r="I2102" i="1" a="1"/>
  <c r="I2102" i="1" s="1"/>
  <c r="I2103" i="1" a="1"/>
  <c r="I2103" i="1" s="1"/>
  <c r="I2104" i="1" a="1"/>
  <c r="I2104" i="1" s="1"/>
  <c r="I2105" i="1" a="1"/>
  <c r="I2105" i="1" s="1"/>
  <c r="I2106" i="1" a="1"/>
  <c r="I2106" i="1" s="1"/>
  <c r="I2107" i="1" a="1"/>
  <c r="I2107" i="1" s="1"/>
  <c r="I2108" i="1" a="1"/>
  <c r="I2108" i="1" s="1"/>
  <c r="I2109" i="1" a="1"/>
  <c r="I2109" i="1" s="1"/>
  <c r="I2110" i="1" a="1"/>
  <c r="I2110" i="1" s="1"/>
  <c r="I2111" i="1" a="1"/>
  <c r="I2111" i="1" s="1"/>
  <c r="I2112" i="1" a="1"/>
  <c r="I2112" i="1" s="1"/>
  <c r="I2113" i="1" a="1"/>
  <c r="I2113" i="1" s="1"/>
  <c r="I2114" i="1" a="1"/>
  <c r="I2114" i="1" s="1"/>
  <c r="I2115" i="1" a="1"/>
  <c r="I2115" i="1" s="1"/>
  <c r="I2116" i="1" a="1"/>
  <c r="I2116" i="1" s="1"/>
  <c r="I2117" i="1" a="1"/>
  <c r="I2117" i="1" s="1"/>
  <c r="I2118" i="1" a="1"/>
  <c r="I2118" i="1" s="1"/>
  <c r="I2119" i="1" a="1"/>
  <c r="I2119" i="1" s="1"/>
  <c r="I2120" i="1" a="1"/>
  <c r="I2120" i="1" s="1"/>
  <c r="I2121" i="1" a="1"/>
  <c r="I2121" i="1" s="1"/>
  <c r="I2122" i="1" a="1"/>
  <c r="I2122" i="1" s="1"/>
  <c r="I2123" i="1" a="1"/>
  <c r="I2123" i="1" s="1"/>
  <c r="I2124" i="1" a="1"/>
  <c r="I2124" i="1" s="1"/>
  <c r="I2125" i="1" a="1"/>
  <c r="I2125" i="1" s="1"/>
  <c r="I2126" i="1" a="1"/>
  <c r="I2126" i="1" s="1"/>
  <c r="I2127" i="1" a="1"/>
  <c r="I2127" i="1" s="1"/>
  <c r="I2128" i="1" a="1"/>
  <c r="I2128" i="1" s="1"/>
  <c r="I2129" i="1" a="1"/>
  <c r="I2129" i="1" s="1"/>
  <c r="I2130" i="1" a="1"/>
  <c r="I2130" i="1" s="1"/>
  <c r="I2131" i="1" a="1"/>
  <c r="I2131" i="1" s="1"/>
  <c r="I2132" i="1" a="1"/>
  <c r="I2132" i="1" s="1"/>
  <c r="I2133" i="1" a="1"/>
  <c r="I2133" i="1" s="1"/>
  <c r="I2134" i="1" a="1"/>
  <c r="I2134" i="1" s="1"/>
  <c r="I2135" i="1" a="1"/>
  <c r="I2135" i="1" s="1"/>
  <c r="I2136" i="1" a="1"/>
  <c r="I2136" i="1" s="1"/>
  <c r="I2137" i="1" a="1"/>
  <c r="I2137" i="1" s="1"/>
  <c r="I2138" i="1" a="1"/>
  <c r="I2138" i="1" s="1"/>
  <c r="I2139" i="1" a="1"/>
  <c r="I2139" i="1" s="1"/>
  <c r="I2140" i="1" a="1"/>
  <c r="I2140" i="1" s="1"/>
  <c r="I2141" i="1" a="1"/>
  <c r="I2141" i="1" s="1"/>
  <c r="I2142" i="1" a="1"/>
  <c r="I2142" i="1" s="1"/>
  <c r="I2143" i="1" a="1"/>
  <c r="I2143" i="1" s="1"/>
  <c r="I2144" i="1" a="1"/>
  <c r="I2144" i="1" s="1"/>
  <c r="I2145" i="1" a="1"/>
  <c r="I2145" i="1" s="1"/>
  <c r="I2146" i="1" a="1"/>
  <c r="I2146" i="1" s="1"/>
  <c r="I2147" i="1" a="1"/>
  <c r="I2147" i="1" s="1"/>
  <c r="I2148" i="1" a="1"/>
  <c r="I2148" i="1" s="1"/>
  <c r="I2149" i="1" a="1"/>
  <c r="I2149" i="1" s="1"/>
  <c r="I2150" i="1" a="1"/>
  <c r="I2150" i="1" s="1"/>
  <c r="I2151" i="1" a="1"/>
  <c r="I2151" i="1" s="1"/>
  <c r="I2152" i="1" a="1"/>
  <c r="I2152" i="1" s="1"/>
  <c r="I2153" i="1" a="1"/>
  <c r="I2153" i="1" s="1"/>
  <c r="I2154" i="1" a="1"/>
  <c r="I2154" i="1" s="1"/>
  <c r="I2155" i="1" a="1"/>
  <c r="I2155" i="1" s="1"/>
  <c r="I2156" i="1" a="1"/>
  <c r="I2156" i="1" s="1"/>
  <c r="I2157" i="1" a="1"/>
  <c r="I2157" i="1" s="1"/>
  <c r="I2158" i="1" a="1"/>
  <c r="I2158" i="1" s="1"/>
  <c r="I2159" i="1" a="1"/>
  <c r="I2159" i="1" s="1"/>
  <c r="I2160" i="1" a="1"/>
  <c r="I2160" i="1" s="1"/>
  <c r="I2161" i="1" a="1"/>
  <c r="I2161" i="1" s="1"/>
  <c r="I2162" i="1" a="1"/>
  <c r="I2162" i="1" s="1"/>
  <c r="I2163" i="1" a="1"/>
  <c r="I2163" i="1" s="1"/>
  <c r="I2164" i="1" a="1"/>
  <c r="I2164" i="1" s="1"/>
  <c r="I2165" i="1" a="1"/>
  <c r="I2165" i="1" s="1"/>
  <c r="I2166" i="1" a="1"/>
  <c r="I2166" i="1" s="1"/>
  <c r="I2167" i="1" a="1"/>
  <c r="I2167" i="1" s="1"/>
  <c r="I2168" i="1" a="1"/>
  <c r="I2168" i="1" s="1"/>
  <c r="I2169" i="1" a="1"/>
  <c r="I2169" i="1" s="1"/>
  <c r="I2170" i="1" a="1"/>
  <c r="I2170" i="1" s="1"/>
  <c r="I2171" i="1" a="1"/>
  <c r="I2171" i="1" s="1"/>
  <c r="I2172" i="1" a="1"/>
  <c r="I2172" i="1" s="1"/>
  <c r="I2173" i="1" a="1"/>
  <c r="I2173" i="1" s="1"/>
  <c r="I2174" i="1" a="1"/>
  <c r="I2174" i="1" s="1"/>
  <c r="I2175" i="1" a="1"/>
  <c r="I2175" i="1" s="1"/>
  <c r="I2176" i="1" a="1"/>
  <c r="I2176" i="1" s="1"/>
  <c r="I2177" i="1" a="1"/>
  <c r="I2177" i="1" s="1"/>
  <c r="I2178" i="1" a="1"/>
  <c r="I2178" i="1" s="1"/>
  <c r="I2179" i="1" a="1"/>
  <c r="I2179" i="1" s="1"/>
  <c r="I2180" i="1" a="1"/>
  <c r="I2180" i="1" s="1"/>
  <c r="I2181" i="1" a="1"/>
  <c r="I2181" i="1" s="1"/>
  <c r="I2182" i="1" a="1"/>
  <c r="I2182" i="1" s="1"/>
  <c r="I2183" i="1" a="1"/>
  <c r="I2183" i="1" s="1"/>
  <c r="I2184" i="1" a="1"/>
  <c r="I2184" i="1" s="1"/>
  <c r="I2185" i="1" a="1"/>
  <c r="I2185" i="1" s="1"/>
  <c r="I2186" i="1" a="1"/>
  <c r="I2186" i="1" s="1"/>
  <c r="I2187" i="1" a="1"/>
  <c r="I2187" i="1" s="1"/>
  <c r="I2188" i="1" a="1"/>
  <c r="I2188" i="1" s="1"/>
  <c r="I2189" i="1" a="1"/>
  <c r="I2189" i="1" s="1"/>
  <c r="I2190" i="1" a="1"/>
  <c r="I2190" i="1" s="1"/>
  <c r="I2191" i="1" a="1"/>
  <c r="I2191" i="1" s="1"/>
  <c r="I2192" i="1" a="1"/>
  <c r="I2192" i="1" s="1"/>
  <c r="I2193" i="1" a="1"/>
  <c r="I2193" i="1" s="1"/>
  <c r="I2194" i="1" a="1"/>
  <c r="I2194" i="1" s="1"/>
  <c r="I2195" i="1" a="1"/>
  <c r="I2195" i="1" s="1"/>
  <c r="I2196" i="1" a="1"/>
  <c r="I2196" i="1" s="1"/>
  <c r="I2197" i="1" a="1"/>
  <c r="I2197" i="1" s="1"/>
  <c r="I2198" i="1" a="1"/>
  <c r="I2198" i="1" s="1"/>
  <c r="I2199" i="1" a="1"/>
  <c r="I2199" i="1" s="1"/>
  <c r="I2200" i="1" a="1"/>
  <c r="I2200" i="1" s="1"/>
  <c r="I2201" i="1" a="1"/>
  <c r="I2201" i="1" s="1"/>
  <c r="I2202" i="1" a="1"/>
  <c r="I2202" i="1" s="1"/>
  <c r="I2203" i="1" a="1"/>
  <c r="I2203" i="1" s="1"/>
  <c r="I2204" i="1" a="1"/>
  <c r="I2204" i="1" s="1"/>
  <c r="I2205" i="1" a="1"/>
  <c r="I2205" i="1" s="1"/>
  <c r="I2206" i="1" a="1"/>
  <c r="I2206" i="1" s="1"/>
  <c r="I2207" i="1" a="1"/>
  <c r="I2207" i="1" s="1"/>
  <c r="I2208" i="1" a="1"/>
  <c r="I2208" i="1" s="1"/>
  <c r="I2209" i="1" a="1"/>
  <c r="I2209" i="1" s="1"/>
  <c r="I2210" i="1" a="1"/>
  <c r="I2210" i="1" s="1"/>
  <c r="I2211" i="1" a="1"/>
  <c r="I2211" i="1" s="1"/>
  <c r="I2212" i="1" a="1"/>
  <c r="I2212" i="1" s="1"/>
  <c r="I2213" i="1" a="1"/>
  <c r="I2213" i="1" s="1"/>
  <c r="I2214" i="1" a="1"/>
  <c r="I2214" i="1" s="1"/>
  <c r="I2215" i="1" a="1"/>
  <c r="I2215" i="1" s="1"/>
  <c r="I2216" i="1" a="1"/>
  <c r="I2216" i="1" s="1"/>
  <c r="I2217" i="1" a="1"/>
  <c r="I2217" i="1" s="1"/>
  <c r="I2218" i="1" a="1"/>
  <c r="I2218" i="1" s="1"/>
  <c r="I2219" i="1" a="1"/>
  <c r="I2219" i="1" s="1"/>
  <c r="I2220" i="1" a="1"/>
  <c r="I2220" i="1" s="1"/>
  <c r="I2221" i="1" a="1"/>
  <c r="I2221" i="1" s="1"/>
  <c r="I2222" i="1" a="1"/>
  <c r="I2222" i="1" s="1"/>
  <c r="I2223" i="1" a="1"/>
  <c r="I2223" i="1" s="1"/>
  <c r="I2224" i="1" a="1"/>
  <c r="I2224" i="1" s="1"/>
  <c r="I2225" i="1" a="1"/>
  <c r="I2225" i="1" s="1"/>
  <c r="I2226" i="1" a="1"/>
  <c r="I2226" i="1" s="1"/>
  <c r="I2227" i="1" a="1"/>
  <c r="I2227" i="1" s="1"/>
  <c r="I2228" i="1" a="1"/>
  <c r="I2228" i="1" s="1"/>
  <c r="I2229" i="1" a="1"/>
  <c r="I2229" i="1" s="1"/>
  <c r="I2230" i="1" a="1"/>
  <c r="I2230" i="1" s="1"/>
  <c r="I2231" i="1" a="1"/>
  <c r="I2231" i="1" s="1"/>
  <c r="I2232" i="1" a="1"/>
  <c r="I2232" i="1" s="1"/>
  <c r="I2233" i="1" a="1"/>
  <c r="I2233" i="1" s="1"/>
  <c r="I2234" i="1" a="1"/>
  <c r="I2234" i="1" s="1"/>
  <c r="I2235" i="1" a="1"/>
  <c r="I2235" i="1" s="1"/>
  <c r="I2236" i="1" a="1"/>
  <c r="I2236" i="1" s="1"/>
  <c r="I2237" i="1" a="1"/>
  <c r="I2237" i="1" s="1"/>
  <c r="I2238" i="1" a="1"/>
  <c r="I2238" i="1" s="1"/>
  <c r="I2239" i="1" a="1"/>
  <c r="I2239" i="1" s="1"/>
  <c r="I2240" i="1" a="1"/>
  <c r="I2240" i="1" s="1"/>
  <c r="I2241" i="1" a="1"/>
  <c r="I2241" i="1" s="1"/>
  <c r="I2242" i="1" a="1"/>
  <c r="I2242" i="1" s="1"/>
  <c r="I2243" i="1" a="1"/>
  <c r="I2243" i="1" s="1"/>
  <c r="I2244" i="1" a="1"/>
  <c r="I2244" i="1" s="1"/>
  <c r="I2245" i="1" a="1"/>
  <c r="I2245" i="1" s="1"/>
  <c r="I2246" i="1" a="1"/>
  <c r="I2246" i="1" s="1"/>
  <c r="I2247" i="1" a="1"/>
  <c r="I2247" i="1" s="1"/>
  <c r="I2248" i="1" a="1"/>
  <c r="I2248" i="1" s="1"/>
  <c r="I2249" i="1" a="1"/>
  <c r="I2249" i="1" s="1"/>
  <c r="I2250" i="1" a="1"/>
  <c r="I2250" i="1" s="1"/>
  <c r="I2251" i="1" a="1"/>
  <c r="I2251" i="1" s="1"/>
  <c r="I2252" i="1" a="1"/>
  <c r="I2252" i="1" s="1"/>
  <c r="I2253" i="1" a="1"/>
  <c r="I2253" i="1" s="1"/>
  <c r="I2254" i="1" a="1"/>
  <c r="I2254" i="1" s="1"/>
  <c r="I2255" i="1" a="1"/>
  <c r="I2255" i="1" s="1"/>
  <c r="I2256" i="1" a="1"/>
  <c r="I2256" i="1" s="1"/>
  <c r="I2257" i="1" a="1"/>
  <c r="I2257" i="1" s="1"/>
  <c r="I2258" i="1" a="1"/>
  <c r="I2258" i="1" s="1"/>
  <c r="I2259" i="1" a="1"/>
  <c r="I2259" i="1" s="1"/>
  <c r="I2260" i="1" a="1"/>
  <c r="I2260" i="1" s="1"/>
  <c r="I2261" i="1" a="1"/>
  <c r="I2261" i="1" s="1"/>
  <c r="I2262" i="1" a="1"/>
  <c r="I2262" i="1" s="1"/>
  <c r="I2263" i="1" a="1"/>
  <c r="I2263" i="1" s="1"/>
  <c r="I2264" i="1" a="1"/>
  <c r="I2264" i="1" s="1"/>
  <c r="I2265" i="1" a="1"/>
  <c r="I2265" i="1" s="1"/>
  <c r="I2266" i="1" a="1"/>
  <c r="I2266" i="1" s="1"/>
  <c r="I2267" i="1" a="1"/>
  <c r="I2267" i="1" s="1"/>
  <c r="I2268" i="1" a="1"/>
  <c r="I2268" i="1" s="1"/>
  <c r="I2269" i="1" a="1"/>
  <c r="I2269" i="1" s="1"/>
  <c r="I2270" i="1" a="1"/>
  <c r="I2270" i="1" s="1"/>
  <c r="I2271" i="1" a="1"/>
  <c r="I2271" i="1" s="1"/>
  <c r="I2272" i="1" a="1"/>
  <c r="I2272" i="1" s="1"/>
  <c r="I2273" i="1" a="1"/>
  <c r="I2273" i="1" s="1"/>
  <c r="I2274" i="1" a="1"/>
  <c r="I2274" i="1" s="1"/>
  <c r="I2275" i="1" a="1"/>
  <c r="I2275" i="1" s="1"/>
  <c r="I2276" i="1" a="1"/>
  <c r="I2276" i="1" s="1"/>
  <c r="I2277" i="1" a="1"/>
  <c r="I2277" i="1" s="1"/>
  <c r="I2278" i="1" a="1"/>
  <c r="I2278" i="1" s="1"/>
  <c r="I2279" i="1" a="1"/>
  <c r="I2279" i="1" s="1"/>
  <c r="I2280" i="1" a="1"/>
  <c r="I2280" i="1" s="1"/>
  <c r="I2281" i="1" a="1"/>
  <c r="I2281" i="1" s="1"/>
  <c r="I2282" i="1" a="1"/>
  <c r="I2282" i="1" s="1"/>
  <c r="I2283" i="1" a="1"/>
  <c r="I2283" i="1" s="1"/>
  <c r="I2284" i="1" a="1"/>
  <c r="I2284" i="1" s="1"/>
  <c r="I2285" i="1" a="1"/>
  <c r="I2285" i="1" s="1"/>
  <c r="I2286" i="1" a="1"/>
  <c r="I2286" i="1" s="1"/>
  <c r="I2287" i="1" a="1"/>
  <c r="I2287" i="1" s="1"/>
  <c r="I2288" i="1" a="1"/>
  <c r="I2288" i="1" s="1"/>
  <c r="I2289" i="1" a="1"/>
  <c r="I2289" i="1" s="1"/>
  <c r="I2290" i="1" a="1"/>
  <c r="I2290" i="1" s="1"/>
  <c r="I2291" i="1" a="1"/>
  <c r="I2291" i="1" s="1"/>
  <c r="I2292" i="1" a="1"/>
  <c r="I2292" i="1" s="1"/>
  <c r="I2293" i="1" a="1"/>
  <c r="I2293" i="1" s="1"/>
  <c r="I2294" i="1" a="1"/>
  <c r="I2294" i="1" s="1"/>
  <c r="I2295" i="1" a="1"/>
  <c r="I2295" i="1" s="1"/>
  <c r="I2296" i="1" a="1"/>
  <c r="I2296" i="1" s="1"/>
  <c r="I2297" i="1" a="1"/>
  <c r="I2297" i="1" s="1"/>
  <c r="I2298" i="1" a="1"/>
  <c r="I2298" i="1" s="1"/>
  <c r="I2299" i="1" a="1"/>
  <c r="I2299" i="1" s="1"/>
  <c r="I2300" i="1" a="1"/>
  <c r="I2300" i="1" s="1"/>
  <c r="I2301" i="1" a="1"/>
  <c r="I2301" i="1" s="1"/>
  <c r="I2302" i="1" a="1"/>
  <c r="I2302" i="1" s="1"/>
  <c r="I2303" i="1" a="1"/>
  <c r="I2303" i="1" s="1"/>
  <c r="I2304" i="1" a="1"/>
  <c r="I2304" i="1" s="1"/>
  <c r="I2305" i="1" a="1"/>
  <c r="I2305" i="1" s="1"/>
  <c r="I2306" i="1" a="1"/>
  <c r="I2306" i="1" s="1"/>
  <c r="I2307" i="1" a="1"/>
  <c r="I2307" i="1" s="1"/>
  <c r="I2308" i="1" a="1"/>
  <c r="I2308" i="1" s="1"/>
  <c r="I2309" i="1" a="1"/>
  <c r="I2309" i="1" s="1"/>
  <c r="I2310" i="1" a="1"/>
  <c r="I2310" i="1" s="1"/>
  <c r="I2311" i="1" a="1"/>
  <c r="I2311" i="1" s="1"/>
  <c r="I2312" i="1" a="1"/>
  <c r="I2312" i="1" s="1"/>
  <c r="I2313" i="1" a="1"/>
  <c r="I2313" i="1" s="1"/>
  <c r="I2314" i="1" a="1"/>
  <c r="I2314" i="1" s="1"/>
  <c r="I2315" i="1" a="1"/>
  <c r="I2315" i="1" s="1"/>
  <c r="I2316" i="1" a="1"/>
  <c r="I2316" i="1" s="1"/>
  <c r="I2317" i="1" a="1"/>
  <c r="I2317" i="1" s="1"/>
  <c r="I2318" i="1" a="1"/>
  <c r="I2318" i="1" s="1"/>
  <c r="I2319" i="1" a="1"/>
  <c r="I2319" i="1" s="1"/>
  <c r="I2320" i="1" a="1"/>
  <c r="I2320" i="1" s="1"/>
  <c r="I2321" i="1" a="1"/>
  <c r="I2321" i="1" s="1"/>
  <c r="I2322" i="1" a="1"/>
  <c r="I2322" i="1" s="1"/>
  <c r="I2323" i="1" a="1"/>
  <c r="I2323" i="1" s="1"/>
  <c r="I2324" i="1" a="1"/>
  <c r="I2324" i="1" s="1"/>
  <c r="I2325" i="1" a="1"/>
  <c r="I2325" i="1" s="1"/>
  <c r="I2326" i="1" a="1"/>
  <c r="I2326" i="1" s="1"/>
  <c r="I2327" i="1" a="1"/>
  <c r="I2327" i="1" s="1"/>
  <c r="I2328" i="1" a="1"/>
  <c r="I2328" i="1" s="1"/>
  <c r="I2329" i="1" a="1"/>
  <c r="I2329" i="1" s="1"/>
  <c r="I2330" i="1" a="1"/>
  <c r="I2330" i="1" s="1"/>
  <c r="I2331" i="1" a="1"/>
  <c r="I2331" i="1" s="1"/>
  <c r="I2332" i="1" a="1"/>
  <c r="I2332" i="1" s="1"/>
  <c r="I2333" i="1" a="1"/>
  <c r="I2333" i="1" s="1"/>
  <c r="I2334" i="1" a="1"/>
  <c r="I2334" i="1" s="1"/>
  <c r="I2335" i="1" a="1"/>
  <c r="I2335" i="1" s="1"/>
  <c r="I2336" i="1" a="1"/>
  <c r="I2336" i="1" s="1"/>
  <c r="I2337" i="1" a="1"/>
  <c r="I2337" i="1" s="1"/>
  <c r="I2338" i="1" a="1"/>
  <c r="I2338" i="1" s="1"/>
  <c r="I2339" i="1" a="1"/>
  <c r="I2339" i="1" s="1"/>
  <c r="I2340" i="1" a="1"/>
  <c r="I2340" i="1" s="1"/>
  <c r="I2341" i="1" a="1"/>
  <c r="I2341" i="1" s="1"/>
  <c r="I2342" i="1" a="1"/>
  <c r="I2342" i="1" s="1"/>
  <c r="I2343" i="1" a="1"/>
  <c r="I2343" i="1" s="1"/>
  <c r="I2344" i="1" a="1"/>
  <c r="I2344" i="1" s="1"/>
  <c r="I2345" i="1" a="1"/>
  <c r="I2345" i="1" s="1"/>
  <c r="I2346" i="1" a="1"/>
  <c r="I2346" i="1" s="1"/>
  <c r="I2347" i="1" a="1"/>
  <c r="I2347" i="1" s="1"/>
  <c r="I2348" i="1" a="1"/>
  <c r="I2348" i="1" s="1"/>
  <c r="I2349" i="1" a="1"/>
  <c r="I2349" i="1" s="1"/>
  <c r="I2350" i="1" a="1"/>
  <c r="I2350" i="1" s="1"/>
  <c r="I2351" i="1" a="1"/>
  <c r="I2351" i="1" s="1"/>
  <c r="I2352" i="1" a="1"/>
  <c r="I2352" i="1" s="1"/>
  <c r="I2353" i="1" a="1"/>
  <c r="I2353" i="1" s="1"/>
  <c r="I2354" i="1" a="1"/>
  <c r="I2354" i="1" s="1"/>
  <c r="I2355" i="1" a="1"/>
  <c r="I2355" i="1" s="1"/>
  <c r="I2356" i="1" a="1"/>
  <c r="I2356" i="1" s="1"/>
  <c r="I2357" i="1" a="1"/>
  <c r="I2357" i="1" s="1"/>
  <c r="I2358" i="1" a="1"/>
  <c r="I2358" i="1" s="1"/>
  <c r="I2359" i="1" a="1"/>
  <c r="I2359" i="1" s="1"/>
  <c r="I2360" i="1" a="1"/>
  <c r="I2360" i="1" s="1"/>
  <c r="I2361" i="1" a="1"/>
  <c r="I2361" i="1" s="1"/>
  <c r="I2362" i="1" a="1"/>
  <c r="I2362" i="1" s="1"/>
  <c r="I2363" i="1" a="1"/>
  <c r="I2363" i="1" s="1"/>
  <c r="I2364" i="1" a="1"/>
  <c r="I2364" i="1" s="1"/>
  <c r="I2365" i="1" a="1"/>
  <c r="I2365" i="1" s="1"/>
  <c r="I2366" i="1" a="1"/>
  <c r="I2366" i="1" s="1"/>
  <c r="I2367" i="1" a="1"/>
  <c r="I2367" i="1" s="1"/>
  <c r="I2368" i="1" a="1"/>
  <c r="I2368" i="1" s="1"/>
  <c r="I2369" i="1" a="1"/>
  <c r="I2369" i="1" s="1"/>
  <c r="I2370" i="1" a="1"/>
  <c r="I2370" i="1" s="1"/>
  <c r="I2371" i="1" a="1"/>
  <c r="I2371" i="1" s="1"/>
  <c r="I2372" i="1" a="1"/>
  <c r="I2372" i="1" s="1"/>
  <c r="I2373" i="1" a="1"/>
  <c r="I2373" i="1" s="1"/>
  <c r="I2374" i="1" a="1"/>
  <c r="I2374" i="1" s="1"/>
  <c r="I2375" i="1" a="1"/>
  <c r="I2375" i="1" s="1"/>
  <c r="I2376" i="1" a="1"/>
  <c r="I2376" i="1" s="1"/>
  <c r="I2377" i="1" a="1"/>
  <c r="I2377" i="1" s="1"/>
  <c r="I2378" i="1" a="1"/>
  <c r="I2378" i="1" s="1"/>
  <c r="I2379" i="1" a="1"/>
  <c r="I2379" i="1" s="1"/>
  <c r="I2380" i="1" a="1"/>
  <c r="I2380" i="1" s="1"/>
  <c r="I2381" i="1" a="1"/>
  <c r="I2381" i="1" s="1"/>
  <c r="I2382" i="1" a="1"/>
  <c r="I2382" i="1" s="1"/>
  <c r="I2383" i="1" a="1"/>
  <c r="I2383" i="1" s="1"/>
  <c r="I2384" i="1" a="1"/>
  <c r="I2384" i="1" s="1"/>
  <c r="I2385" i="1" a="1"/>
  <c r="I2385" i="1" s="1"/>
  <c r="I2386" i="1" a="1"/>
  <c r="I2386" i="1" s="1"/>
  <c r="I2387" i="1" a="1"/>
  <c r="I2387" i="1" s="1"/>
  <c r="I2388" i="1" a="1"/>
  <c r="I2388" i="1" s="1"/>
  <c r="I2389" i="1" a="1"/>
  <c r="I2389" i="1" s="1"/>
  <c r="I2390" i="1" a="1"/>
  <c r="I2390" i="1" s="1"/>
  <c r="I2391" i="1" a="1"/>
  <c r="I2391" i="1" s="1"/>
  <c r="I2392" i="1" a="1"/>
  <c r="I2392" i="1" s="1"/>
  <c r="I2393" i="1" a="1"/>
  <c r="I2393" i="1" s="1"/>
  <c r="I2394" i="1" a="1"/>
  <c r="I2394" i="1" s="1"/>
  <c r="I2395" i="1" a="1"/>
  <c r="I2395" i="1" s="1"/>
  <c r="I2396" i="1" a="1"/>
  <c r="I2396" i="1" s="1"/>
  <c r="I2397" i="1" a="1"/>
  <c r="I2397" i="1" s="1"/>
  <c r="I2398" i="1" a="1"/>
  <c r="I2398" i="1" s="1"/>
  <c r="I2399" i="1" a="1"/>
  <c r="I2399" i="1" s="1"/>
  <c r="I2400" i="1" a="1"/>
  <c r="I2400" i="1" s="1"/>
  <c r="I2401" i="1" a="1"/>
  <c r="I2401" i="1" s="1"/>
  <c r="I2402" i="1" a="1"/>
  <c r="I2402" i="1" s="1"/>
  <c r="I2403" i="1" a="1"/>
  <c r="I2403" i="1" s="1"/>
  <c r="I2404" i="1" a="1"/>
  <c r="I2404" i="1" s="1"/>
  <c r="I2405" i="1" a="1"/>
  <c r="I2405" i="1" s="1"/>
  <c r="I2406" i="1" a="1"/>
  <c r="I2406" i="1" s="1"/>
  <c r="I2407" i="1" a="1"/>
  <c r="I2407" i="1" s="1"/>
  <c r="I2408" i="1" a="1"/>
  <c r="I2408" i="1" s="1"/>
  <c r="I2409" i="1" a="1"/>
  <c r="I2409" i="1" s="1"/>
  <c r="I2410" i="1" a="1"/>
  <c r="I2410" i="1" s="1"/>
  <c r="I2411" i="1" a="1"/>
  <c r="I2411" i="1" s="1"/>
  <c r="I2412" i="1" a="1"/>
  <c r="I2412" i="1" s="1"/>
  <c r="I2413" i="1" a="1"/>
  <c r="I2413" i="1" s="1"/>
  <c r="I2414" i="1" a="1"/>
  <c r="I2414" i="1" s="1"/>
  <c r="I2415" i="1" a="1"/>
  <c r="I2415" i="1" s="1"/>
  <c r="I2416" i="1" a="1"/>
  <c r="I2416" i="1" s="1"/>
  <c r="I2417" i="1" a="1"/>
  <c r="I2417" i="1" s="1"/>
  <c r="I2418" i="1" a="1"/>
  <c r="I2418" i="1" s="1"/>
  <c r="I2419" i="1" a="1"/>
  <c r="I2419" i="1" s="1"/>
  <c r="I2420" i="1" a="1"/>
  <c r="I2420" i="1" s="1"/>
  <c r="I2421" i="1" a="1"/>
  <c r="I2421" i="1" s="1"/>
  <c r="I2422" i="1" a="1"/>
  <c r="I2422" i="1" s="1"/>
  <c r="I2423" i="1" a="1"/>
  <c r="I2423" i="1" s="1"/>
  <c r="I2424" i="1" a="1"/>
  <c r="I2424" i="1" s="1"/>
  <c r="I2425" i="1" a="1"/>
  <c r="I2425" i="1" s="1"/>
  <c r="I2426" i="1" a="1"/>
  <c r="I2426" i="1" s="1"/>
  <c r="I2427" i="1" a="1"/>
  <c r="I2427" i="1" s="1"/>
  <c r="I2428" i="1" a="1"/>
  <c r="I2428" i="1" s="1"/>
  <c r="I2429" i="1" a="1"/>
  <c r="I2429" i="1" s="1"/>
  <c r="I2430" i="1" a="1"/>
  <c r="I2430" i="1" s="1"/>
  <c r="I2431" i="1" a="1"/>
  <c r="I2431" i="1" s="1"/>
  <c r="I2432" i="1" a="1"/>
  <c r="I2432" i="1" s="1"/>
  <c r="I2433" i="1" a="1"/>
  <c r="I2433" i="1" s="1"/>
  <c r="I2434" i="1" a="1"/>
  <c r="I2434" i="1" s="1"/>
  <c r="I2435" i="1" a="1"/>
  <c r="I2435" i="1" s="1"/>
  <c r="I2436" i="1" a="1"/>
  <c r="I2436" i="1" s="1"/>
  <c r="I2437" i="1" a="1"/>
  <c r="I2437" i="1" s="1"/>
  <c r="I2438" i="1" a="1"/>
  <c r="I2438" i="1" s="1"/>
  <c r="I2439" i="1" a="1"/>
  <c r="I2439" i="1" s="1"/>
  <c r="I2440" i="1" a="1"/>
  <c r="I2440" i="1" s="1"/>
  <c r="I2441" i="1" a="1"/>
  <c r="I2441" i="1" s="1"/>
  <c r="I2442" i="1" a="1"/>
  <c r="I2442" i="1" s="1"/>
  <c r="I2443" i="1" a="1"/>
  <c r="I2443" i="1" s="1"/>
  <c r="I2444" i="1" a="1"/>
  <c r="I2444" i="1" s="1"/>
  <c r="I2445" i="1" a="1"/>
  <c r="I2445" i="1" s="1"/>
  <c r="I2446" i="1" a="1"/>
  <c r="I2446" i="1" s="1"/>
  <c r="I2447" i="1" a="1"/>
  <c r="I2447" i="1" s="1"/>
  <c r="I2448" i="1" a="1"/>
  <c r="I2448" i="1" s="1"/>
  <c r="I2449" i="1" a="1"/>
  <c r="I2449" i="1" s="1"/>
  <c r="I2450" i="1" a="1"/>
  <c r="I2450" i="1" s="1"/>
  <c r="I2451" i="1" a="1"/>
  <c r="I2451" i="1" s="1"/>
  <c r="I2452" i="1" a="1"/>
  <c r="I2452" i="1" s="1"/>
  <c r="I2453" i="1" a="1"/>
  <c r="I2453" i="1" s="1"/>
  <c r="I2454" i="1" a="1"/>
  <c r="I2454" i="1" s="1"/>
  <c r="I2455" i="1" a="1"/>
  <c r="I2455" i="1" s="1"/>
  <c r="I2456" i="1" a="1"/>
  <c r="I2456" i="1" s="1"/>
  <c r="I2457" i="1" a="1"/>
  <c r="I2457" i="1" s="1"/>
  <c r="I2458" i="1" a="1"/>
  <c r="I2458" i="1" s="1"/>
  <c r="I2459" i="1" a="1"/>
  <c r="I2459" i="1" s="1"/>
  <c r="I2460" i="1" a="1"/>
  <c r="I2460" i="1" s="1"/>
  <c r="I2461" i="1" a="1"/>
  <c r="I2461" i="1" s="1"/>
  <c r="I2462" i="1" a="1"/>
  <c r="I2462" i="1" s="1"/>
  <c r="I2463" i="1" a="1"/>
  <c r="I2463" i="1" s="1"/>
  <c r="I2464" i="1" a="1"/>
  <c r="I2464" i="1" s="1"/>
  <c r="I2465" i="1" a="1"/>
  <c r="I2465" i="1" s="1"/>
  <c r="I2466" i="1" a="1"/>
  <c r="I2466" i="1" s="1"/>
  <c r="I2467" i="1" a="1"/>
  <c r="I2467" i="1" s="1"/>
  <c r="I2468" i="1" a="1"/>
  <c r="I2468" i="1" s="1"/>
  <c r="I2469" i="1" a="1"/>
  <c r="I2469" i="1" s="1"/>
  <c r="I2470" i="1" a="1"/>
  <c r="I2470" i="1" s="1"/>
  <c r="I2471" i="1" a="1"/>
  <c r="I2471" i="1" s="1"/>
  <c r="I2472" i="1" a="1"/>
  <c r="I2472" i="1" s="1"/>
  <c r="I2473" i="1" a="1"/>
  <c r="I2473" i="1" s="1"/>
  <c r="I2474" i="1" a="1"/>
  <c r="I2474" i="1" s="1"/>
  <c r="I2475" i="1" a="1"/>
  <c r="I2475" i="1" s="1"/>
  <c r="I2476" i="1" a="1"/>
  <c r="I2476" i="1" s="1"/>
  <c r="I2477" i="1" a="1"/>
  <c r="I2477" i="1" s="1"/>
  <c r="I2478" i="1" a="1"/>
  <c r="I2478" i="1" s="1"/>
  <c r="I2479" i="1" a="1"/>
  <c r="I2479" i="1" s="1"/>
  <c r="I2480" i="1" a="1"/>
  <c r="I2480" i="1" s="1"/>
  <c r="I2481" i="1" a="1"/>
  <c r="I2481" i="1" s="1"/>
  <c r="I2482" i="1" a="1"/>
  <c r="I2482" i="1" s="1"/>
  <c r="I2483" i="1" a="1"/>
  <c r="I2483" i="1" s="1"/>
  <c r="I2484" i="1" a="1"/>
  <c r="I2484" i="1" s="1"/>
  <c r="I2485" i="1" a="1"/>
  <c r="I2485" i="1" s="1"/>
  <c r="I2486" i="1" a="1"/>
  <c r="I2486" i="1" s="1"/>
  <c r="I2487" i="1" a="1"/>
  <c r="I2487" i="1" s="1"/>
  <c r="I2488" i="1" a="1"/>
  <c r="I2488" i="1" s="1"/>
  <c r="I2489" i="1" a="1"/>
  <c r="I2489" i="1" s="1"/>
  <c r="I2490" i="1" a="1"/>
  <c r="I2490" i="1" s="1"/>
  <c r="I2491" i="1" a="1"/>
  <c r="I2491" i="1" s="1"/>
  <c r="I2492" i="1" a="1"/>
  <c r="I2492" i="1" s="1"/>
  <c r="I2493" i="1" a="1"/>
  <c r="I2493" i="1" s="1"/>
  <c r="I2494" i="1" a="1"/>
  <c r="I2494" i="1" s="1"/>
  <c r="I2495" i="1" a="1"/>
  <c r="I2495" i="1" s="1"/>
  <c r="I2496" i="1" a="1"/>
  <c r="I2496" i="1" s="1"/>
  <c r="I2497" i="1" a="1"/>
  <c r="I2497" i="1" s="1"/>
  <c r="I2498" i="1" a="1"/>
  <c r="I2498" i="1" s="1"/>
  <c r="I2499" i="1" a="1"/>
  <c r="I2499" i="1" s="1"/>
  <c r="I2500" i="1" a="1"/>
  <c r="I2500" i="1" s="1"/>
  <c r="I2501" i="1" a="1"/>
  <c r="I2501" i="1" s="1"/>
  <c r="I2502" i="1" a="1"/>
  <c r="I2502" i="1" s="1"/>
  <c r="I2503" i="1" a="1"/>
  <c r="I2503" i="1" s="1"/>
  <c r="I2504" i="1" a="1"/>
  <c r="I2504" i="1" s="1"/>
  <c r="I2505" i="1" a="1"/>
  <c r="I2505" i="1" s="1"/>
  <c r="I2506" i="1" a="1"/>
  <c r="I2506" i="1" s="1"/>
  <c r="I2507" i="1" a="1"/>
  <c r="I2507" i="1" s="1"/>
  <c r="I2508" i="1" a="1"/>
  <c r="I2508" i="1" s="1"/>
  <c r="I2509" i="1" a="1"/>
  <c r="I2509" i="1" s="1"/>
  <c r="I2510" i="1" a="1"/>
  <c r="I2510" i="1" s="1"/>
  <c r="I2511" i="1" a="1"/>
  <c r="I2511" i="1" s="1"/>
  <c r="I2512" i="1" a="1"/>
  <c r="I2512" i="1" s="1"/>
  <c r="I2513" i="1" a="1"/>
  <c r="I2513" i="1" s="1"/>
  <c r="I2514" i="1" a="1"/>
  <c r="I2514" i="1" s="1"/>
  <c r="I2515" i="1" a="1"/>
  <c r="I2515" i="1" s="1"/>
  <c r="I2516" i="1" a="1"/>
  <c r="I2516" i="1" s="1"/>
  <c r="I2517" i="1" a="1"/>
  <c r="I2517" i="1" s="1"/>
  <c r="I2518" i="1" a="1"/>
  <c r="I2518" i="1" s="1"/>
  <c r="I2519" i="1" a="1"/>
  <c r="I2519" i="1" s="1"/>
  <c r="I2520" i="1" a="1"/>
  <c r="I2520" i="1" s="1"/>
  <c r="I2521" i="1" a="1"/>
  <c r="I2521" i="1" s="1"/>
  <c r="I2522" i="1" a="1"/>
  <c r="I2522" i="1" s="1"/>
  <c r="I2523" i="1" a="1"/>
  <c r="I2523" i="1" s="1"/>
  <c r="I2524" i="1" a="1"/>
  <c r="I2524" i="1" s="1"/>
  <c r="I2525" i="1" a="1"/>
  <c r="I2525" i="1" s="1"/>
  <c r="I2526" i="1" a="1"/>
  <c r="I2526" i="1" s="1"/>
  <c r="I2527" i="1" a="1"/>
  <c r="I2527" i="1" s="1"/>
  <c r="I2528" i="1" a="1"/>
  <c r="I2528" i="1" s="1"/>
  <c r="I2529" i="1" a="1"/>
  <c r="I2529" i="1" s="1"/>
  <c r="I2530" i="1" a="1"/>
  <c r="I2530" i="1" s="1"/>
  <c r="I2531" i="1" a="1"/>
  <c r="I2531" i="1" s="1"/>
  <c r="I2532" i="1" a="1"/>
  <c r="I2532" i="1" s="1"/>
  <c r="I2533" i="1" a="1"/>
  <c r="I2533" i="1" s="1"/>
  <c r="I2534" i="1" a="1"/>
  <c r="I2534" i="1" s="1"/>
  <c r="I2535" i="1" a="1"/>
  <c r="I2535" i="1" s="1"/>
  <c r="I2536" i="1" a="1"/>
  <c r="I2536" i="1" s="1"/>
  <c r="I2537" i="1" a="1"/>
  <c r="I2537" i="1" s="1"/>
  <c r="I2538" i="1" a="1"/>
  <c r="I2538" i="1" s="1"/>
  <c r="I2539" i="1" a="1"/>
  <c r="I2539" i="1" s="1"/>
  <c r="I2540" i="1" a="1"/>
  <c r="I2540" i="1" s="1"/>
  <c r="I2541" i="1" a="1"/>
  <c r="I2541" i="1" s="1"/>
  <c r="I2542" i="1" a="1"/>
  <c r="I2542" i="1" s="1"/>
  <c r="I2543" i="1" a="1"/>
  <c r="I2543" i="1" s="1"/>
  <c r="I2544" i="1" a="1"/>
  <c r="I2544" i="1" s="1"/>
  <c r="I2545" i="1" a="1"/>
  <c r="I2545" i="1" s="1"/>
  <c r="I2546" i="1" a="1"/>
  <c r="I2546" i="1" s="1"/>
  <c r="I2547" i="1" a="1"/>
  <c r="I2547" i="1" s="1"/>
  <c r="I2548" i="1" a="1"/>
  <c r="I2548" i="1" s="1"/>
  <c r="I2549" i="1" a="1"/>
  <c r="I2549" i="1" s="1"/>
  <c r="I2550" i="1" a="1"/>
  <c r="I2550" i="1" s="1"/>
  <c r="I2551" i="1" a="1"/>
  <c r="I2551" i="1" s="1"/>
  <c r="I2552" i="1" a="1"/>
  <c r="I2552" i="1" s="1"/>
  <c r="I2553" i="1" a="1"/>
  <c r="I2553" i="1" s="1"/>
  <c r="I2554" i="1" a="1"/>
  <c r="I2554" i="1" s="1"/>
  <c r="I2555" i="1" a="1"/>
  <c r="I2555" i="1" s="1"/>
  <c r="I2556" i="1" a="1"/>
  <c r="I2556" i="1" s="1"/>
  <c r="I2557" i="1" a="1"/>
  <c r="I2557" i="1" s="1"/>
  <c r="I2558" i="1" a="1"/>
  <c r="I2558" i="1" s="1"/>
  <c r="I2559" i="1" a="1"/>
  <c r="I2559" i="1" s="1"/>
  <c r="I2560" i="1" a="1"/>
  <c r="I2560" i="1" s="1"/>
  <c r="I2561" i="1" a="1"/>
  <c r="I2561" i="1" s="1"/>
  <c r="I2562" i="1" a="1"/>
  <c r="I2562" i="1" s="1"/>
  <c r="I2563" i="1" a="1"/>
  <c r="I2563" i="1" s="1"/>
  <c r="I2564" i="1" a="1"/>
  <c r="I2564" i="1" s="1"/>
  <c r="I2565" i="1" a="1"/>
  <c r="I2565" i="1" s="1"/>
  <c r="I2566" i="1" a="1"/>
  <c r="I2566" i="1" s="1"/>
  <c r="I2567" i="1" a="1"/>
  <c r="I2567" i="1" s="1"/>
  <c r="I2568" i="1" a="1"/>
  <c r="I2568" i="1" s="1"/>
  <c r="I2569" i="1" a="1"/>
  <c r="I2569" i="1" s="1"/>
  <c r="I2570" i="1" a="1"/>
  <c r="I2570" i="1" s="1"/>
  <c r="I2571" i="1" a="1"/>
  <c r="I2571" i="1" s="1"/>
  <c r="I2572" i="1" a="1"/>
  <c r="I2572" i="1" s="1"/>
  <c r="I2573" i="1" a="1"/>
  <c r="I2573" i="1" s="1"/>
  <c r="I2574" i="1" a="1"/>
  <c r="I2574" i="1" s="1"/>
  <c r="I2575" i="1" a="1"/>
  <c r="I2575" i="1" s="1"/>
  <c r="I2576" i="1" a="1"/>
  <c r="I2576" i="1" s="1"/>
  <c r="I2577" i="1" a="1"/>
  <c r="I2577" i="1" s="1"/>
  <c r="I2578" i="1" a="1"/>
  <c r="I2578" i="1" s="1"/>
  <c r="I2579" i="1" a="1"/>
  <c r="I2579" i="1" s="1"/>
  <c r="I2580" i="1" a="1"/>
  <c r="I2580" i="1" s="1"/>
  <c r="I2581" i="1" a="1"/>
  <c r="I2581" i="1" s="1"/>
  <c r="I2582" i="1" a="1"/>
  <c r="I2582" i="1" s="1"/>
  <c r="I2583" i="1" a="1"/>
  <c r="I2583" i="1" s="1"/>
  <c r="I2584" i="1" a="1"/>
  <c r="I2584" i="1" s="1"/>
  <c r="I2585" i="1" a="1"/>
  <c r="I2585" i="1" s="1"/>
  <c r="I2586" i="1" a="1"/>
  <c r="I2586" i="1" s="1"/>
  <c r="I2587" i="1" a="1"/>
  <c r="I2587" i="1" s="1"/>
  <c r="I2588" i="1" a="1"/>
  <c r="I2588" i="1" s="1"/>
  <c r="I2589" i="1" a="1"/>
  <c r="I2589" i="1" s="1"/>
  <c r="I2590" i="1" a="1"/>
  <c r="I2590" i="1" s="1"/>
  <c r="I2591" i="1" a="1"/>
  <c r="I2591" i="1" s="1"/>
  <c r="I2592" i="1" a="1"/>
  <c r="I2592" i="1" s="1"/>
  <c r="I2593" i="1" a="1"/>
  <c r="I2593" i="1" s="1"/>
  <c r="I2594" i="1" a="1"/>
  <c r="I2594" i="1" s="1"/>
  <c r="I2595" i="1" a="1"/>
  <c r="I2595" i="1" s="1"/>
  <c r="I2596" i="1" a="1"/>
  <c r="I2596" i="1" s="1"/>
  <c r="I2597" i="1" a="1"/>
  <c r="I2597" i="1" s="1"/>
  <c r="I2598" i="1" a="1"/>
  <c r="I2598" i="1" s="1"/>
  <c r="I2599" i="1" a="1"/>
  <c r="I2599" i="1" s="1"/>
  <c r="I2600" i="1" a="1"/>
  <c r="I2600" i="1" s="1"/>
  <c r="I2601" i="1" a="1"/>
  <c r="I2601" i="1" s="1"/>
  <c r="I2602" i="1" a="1"/>
  <c r="I2602" i="1" s="1"/>
  <c r="I2603" i="1" a="1"/>
  <c r="I2603" i="1" s="1"/>
  <c r="I2604" i="1" a="1"/>
  <c r="I2604" i="1" s="1"/>
  <c r="I2605" i="1" a="1"/>
  <c r="I2605" i="1" s="1"/>
  <c r="I2606" i="1" a="1"/>
  <c r="I2606" i="1" s="1"/>
  <c r="I2607" i="1" a="1"/>
  <c r="I2607" i="1" s="1"/>
  <c r="I2608" i="1" a="1"/>
  <c r="I2608" i="1" s="1"/>
  <c r="I2609" i="1" a="1"/>
  <c r="I2609" i="1" s="1"/>
  <c r="I2610" i="1" a="1"/>
  <c r="I2610" i="1" s="1"/>
  <c r="I2611" i="1" a="1"/>
  <c r="I2611" i="1" s="1"/>
  <c r="I2612" i="1" a="1"/>
  <c r="I2612" i="1" s="1"/>
  <c r="I2613" i="1" a="1"/>
  <c r="I2613" i="1" s="1"/>
  <c r="I2614" i="1" a="1"/>
  <c r="I2614" i="1" s="1"/>
  <c r="I2615" i="1" a="1"/>
  <c r="I2615" i="1" s="1"/>
  <c r="I2616" i="1" a="1"/>
  <c r="I2616" i="1" s="1"/>
  <c r="I2617" i="1" a="1"/>
  <c r="I2617" i="1" s="1"/>
  <c r="I2618" i="1" a="1"/>
  <c r="I2618" i="1" s="1"/>
  <c r="I2619" i="1" a="1"/>
  <c r="I2619" i="1" s="1"/>
  <c r="I2620" i="1" a="1"/>
  <c r="I2620" i="1" s="1"/>
  <c r="I2621" i="1" a="1"/>
  <c r="I2621" i="1" s="1"/>
  <c r="I2622" i="1" a="1"/>
  <c r="I2622" i="1" s="1"/>
  <c r="I2623" i="1" a="1"/>
  <c r="I2623" i="1" s="1"/>
  <c r="I2624" i="1" a="1"/>
  <c r="I2624" i="1" s="1"/>
  <c r="I2625" i="1" a="1"/>
  <c r="I2625" i="1" s="1"/>
  <c r="I2626" i="1" a="1"/>
  <c r="I2626" i="1" s="1"/>
  <c r="I2627" i="1" a="1"/>
  <c r="I2627" i="1" s="1"/>
  <c r="I2628" i="1" a="1"/>
  <c r="I2628" i="1" s="1"/>
  <c r="I2629" i="1" a="1"/>
  <c r="I2629" i="1" s="1"/>
  <c r="I2630" i="1" a="1"/>
  <c r="I2630" i="1" s="1"/>
  <c r="I2631" i="1" a="1"/>
  <c r="I2631" i="1" s="1"/>
  <c r="I2632" i="1" a="1"/>
  <c r="I2632" i="1" s="1"/>
  <c r="I2633" i="1" a="1"/>
  <c r="I2633" i="1" s="1"/>
  <c r="I2634" i="1" a="1"/>
  <c r="I2634" i="1" s="1"/>
  <c r="I2635" i="1" a="1"/>
  <c r="I2635" i="1" s="1"/>
  <c r="I2636" i="1" a="1"/>
  <c r="I2636" i="1" s="1"/>
  <c r="I2637" i="1" a="1"/>
  <c r="I2637" i="1" s="1"/>
  <c r="I2638" i="1" a="1"/>
  <c r="I2638" i="1" s="1"/>
  <c r="I2639" i="1" a="1"/>
  <c r="I2639" i="1" s="1"/>
  <c r="I2640" i="1" a="1"/>
  <c r="I2640" i="1" s="1"/>
  <c r="I2641" i="1" a="1"/>
  <c r="I2641" i="1" s="1"/>
  <c r="I2642" i="1" a="1"/>
  <c r="I2642" i="1" s="1"/>
  <c r="I2643" i="1" a="1"/>
  <c r="I2643" i="1" s="1"/>
  <c r="I2644" i="1" a="1"/>
  <c r="I2644" i="1" s="1"/>
  <c r="I2645" i="1" a="1"/>
  <c r="I2645" i="1" s="1"/>
  <c r="I2646" i="1" a="1"/>
  <c r="I2646" i="1" s="1"/>
  <c r="I2647" i="1" a="1"/>
  <c r="I2647" i="1" s="1"/>
  <c r="I2648" i="1" a="1"/>
  <c r="I2648" i="1" s="1"/>
  <c r="I2649" i="1" a="1"/>
  <c r="I2649" i="1" s="1"/>
  <c r="I2650" i="1" a="1"/>
  <c r="I2650" i="1" s="1"/>
  <c r="I2651" i="1" a="1"/>
  <c r="I2651" i="1" s="1"/>
  <c r="I2652" i="1" a="1"/>
  <c r="I2652" i="1" s="1"/>
  <c r="I2653" i="1" a="1"/>
  <c r="I2653" i="1" s="1"/>
  <c r="I2654" i="1" a="1"/>
  <c r="I2654" i="1" s="1"/>
  <c r="I2655" i="1" a="1"/>
  <c r="I2655" i="1" s="1"/>
  <c r="I2656" i="1" a="1"/>
  <c r="I2656" i="1" s="1"/>
  <c r="I2657" i="1" a="1"/>
  <c r="I2657" i="1" s="1"/>
  <c r="I2658" i="1" a="1"/>
  <c r="I2658" i="1" s="1"/>
  <c r="I2659" i="1" a="1"/>
  <c r="I2659" i="1" s="1"/>
  <c r="I2660" i="1" a="1"/>
  <c r="I2660" i="1" s="1"/>
  <c r="I2661" i="1" a="1"/>
  <c r="I2661" i="1" s="1"/>
  <c r="I2662" i="1" a="1"/>
  <c r="I2662" i="1" s="1"/>
  <c r="I2663" i="1" a="1"/>
  <c r="I2663" i="1" s="1"/>
  <c r="I2664" i="1" a="1"/>
  <c r="I2664" i="1" s="1"/>
  <c r="I2665" i="1" a="1"/>
  <c r="I2665" i="1" s="1"/>
  <c r="I2666" i="1" a="1"/>
  <c r="I2666" i="1" s="1"/>
  <c r="I2667" i="1" a="1"/>
  <c r="I2667" i="1" s="1"/>
  <c r="I2668" i="1" a="1"/>
  <c r="I2668" i="1" s="1"/>
  <c r="I2669" i="1" a="1"/>
  <c r="I2669" i="1" s="1"/>
  <c r="I2670" i="1" a="1"/>
  <c r="I2670" i="1" s="1"/>
  <c r="I2671" i="1" a="1"/>
  <c r="I2671" i="1" s="1"/>
  <c r="I2672" i="1" a="1"/>
  <c r="I2672" i="1" s="1"/>
  <c r="I2673" i="1" a="1"/>
  <c r="I2673" i="1" s="1"/>
  <c r="I2674" i="1" a="1"/>
  <c r="I2674" i="1" s="1"/>
  <c r="I2675" i="1" a="1"/>
  <c r="I2675" i="1" s="1"/>
  <c r="I2676" i="1" a="1"/>
  <c r="I2676" i="1" s="1"/>
  <c r="I2677" i="1" a="1"/>
  <c r="I2677" i="1" s="1"/>
  <c r="I2678" i="1" a="1"/>
  <c r="I2678" i="1" s="1"/>
  <c r="I2679" i="1" a="1"/>
  <c r="I2679" i="1" s="1"/>
  <c r="I2680" i="1" a="1"/>
  <c r="I2680" i="1" s="1"/>
  <c r="I2681" i="1" a="1"/>
  <c r="I2681" i="1" s="1"/>
  <c r="I2682" i="1" a="1"/>
  <c r="I2682" i="1" s="1"/>
  <c r="I2683" i="1" a="1"/>
  <c r="I2683" i="1" s="1"/>
  <c r="I2684" i="1" a="1"/>
  <c r="I2684" i="1" s="1"/>
  <c r="I2685" i="1" a="1"/>
  <c r="I2685" i="1" s="1"/>
  <c r="I2686" i="1" a="1"/>
  <c r="I2686" i="1" s="1"/>
  <c r="I2687" i="1" a="1"/>
  <c r="I2687" i="1" s="1"/>
  <c r="I2688" i="1" a="1"/>
  <c r="I2688" i="1" s="1"/>
  <c r="I2689" i="1" a="1"/>
  <c r="I2689" i="1" s="1"/>
  <c r="I2690" i="1" a="1"/>
  <c r="I2690" i="1" s="1"/>
  <c r="I2691" i="1" a="1"/>
  <c r="I2691" i="1" s="1"/>
  <c r="I2692" i="1" a="1"/>
  <c r="I2692" i="1" s="1"/>
  <c r="I2693" i="1" a="1"/>
  <c r="I2693" i="1" s="1"/>
  <c r="I2694" i="1" a="1"/>
  <c r="I2694" i="1" s="1"/>
  <c r="I2695" i="1" a="1"/>
  <c r="I2695" i="1" s="1"/>
  <c r="I2696" i="1" a="1"/>
  <c r="I2696" i="1" s="1"/>
  <c r="I2697" i="1" a="1"/>
  <c r="I2697" i="1" s="1"/>
  <c r="I2698" i="1" a="1"/>
  <c r="I2698" i="1" s="1"/>
  <c r="I2699" i="1" a="1"/>
  <c r="I2699" i="1" s="1"/>
  <c r="I2700" i="1" a="1"/>
  <c r="I2700" i="1" s="1"/>
  <c r="I2701" i="1" a="1"/>
  <c r="I2701" i="1" s="1"/>
  <c r="I2702" i="1" a="1"/>
  <c r="I2702" i="1" s="1"/>
  <c r="I2703" i="1" a="1"/>
  <c r="I2703" i="1" s="1"/>
  <c r="I2704" i="1" a="1"/>
  <c r="I2704" i="1" s="1"/>
  <c r="I2705" i="1" a="1"/>
  <c r="I2705" i="1" s="1"/>
  <c r="I2706" i="1" a="1"/>
  <c r="I2706" i="1" s="1"/>
  <c r="I2707" i="1" a="1"/>
  <c r="I2707" i="1" s="1"/>
  <c r="I2708" i="1" a="1"/>
  <c r="I2708" i="1" s="1"/>
  <c r="I2709" i="1" a="1"/>
  <c r="I2709" i="1" s="1"/>
  <c r="I2710" i="1" a="1"/>
  <c r="I2710" i="1" s="1"/>
  <c r="I2711" i="1" a="1"/>
  <c r="I2711" i="1" s="1"/>
  <c r="I2712" i="1" a="1"/>
  <c r="I2712" i="1" s="1"/>
  <c r="I2713" i="1" a="1"/>
  <c r="I2713" i="1" s="1"/>
  <c r="I2714" i="1" a="1"/>
  <c r="I2714" i="1" s="1"/>
  <c r="I2715" i="1" a="1"/>
  <c r="I2715" i="1" s="1"/>
  <c r="I2716" i="1" a="1"/>
  <c r="I2716" i="1" s="1"/>
  <c r="I2717" i="1" a="1"/>
  <c r="I2717" i="1" s="1"/>
  <c r="I2718" i="1" a="1"/>
  <c r="I2718" i="1" s="1"/>
  <c r="I2719" i="1" a="1"/>
  <c r="I2719" i="1" s="1"/>
  <c r="I2720" i="1" a="1"/>
  <c r="I2720" i="1" s="1"/>
  <c r="I2721" i="1" a="1"/>
  <c r="I2721" i="1" s="1"/>
  <c r="I2722" i="1" a="1"/>
  <c r="I2722" i="1" s="1"/>
  <c r="I2723" i="1" a="1"/>
  <c r="I2723" i="1" s="1"/>
  <c r="I2724" i="1" a="1"/>
  <c r="I2724" i="1" s="1"/>
  <c r="I2725" i="1" a="1"/>
  <c r="I2725" i="1" s="1"/>
  <c r="I2726" i="1" a="1"/>
  <c r="I2726" i="1" s="1"/>
  <c r="I2727" i="1" a="1"/>
  <c r="I2727" i="1" s="1"/>
  <c r="I2728" i="1" a="1"/>
  <c r="I2728" i="1" s="1"/>
  <c r="I2729" i="1" a="1"/>
  <c r="I2729" i="1" s="1"/>
  <c r="I2730" i="1" a="1"/>
  <c r="I2730" i="1" s="1"/>
  <c r="I2731" i="1" a="1"/>
  <c r="I2731" i="1" s="1"/>
  <c r="I2732" i="1" a="1"/>
  <c r="I2732" i="1" s="1"/>
  <c r="I2733" i="1" a="1"/>
  <c r="I2733" i="1" s="1"/>
  <c r="I2734" i="1" a="1"/>
  <c r="I2734" i="1" s="1"/>
  <c r="I2735" i="1" a="1"/>
  <c r="I2735" i="1" s="1"/>
  <c r="I2736" i="1" a="1"/>
  <c r="I2736" i="1" s="1"/>
  <c r="I2737" i="1" a="1"/>
  <c r="I2737" i="1" s="1"/>
  <c r="I2738" i="1" a="1"/>
  <c r="I2738" i="1" s="1"/>
  <c r="I2739" i="1" a="1"/>
  <c r="I2739" i="1" s="1"/>
  <c r="I2740" i="1" a="1"/>
  <c r="I2740" i="1" s="1"/>
  <c r="I2741" i="1" a="1"/>
  <c r="I2741" i="1" s="1"/>
  <c r="I2742" i="1" a="1"/>
  <c r="I2742" i="1" s="1"/>
  <c r="I2743" i="1" a="1"/>
  <c r="I2743" i="1" s="1"/>
  <c r="I2744" i="1" a="1"/>
  <c r="I2744" i="1" s="1"/>
  <c r="I2745" i="1" a="1"/>
  <c r="I2745" i="1" s="1"/>
  <c r="I2746" i="1" a="1"/>
  <c r="I2746" i="1" s="1"/>
  <c r="I2747" i="1" a="1"/>
  <c r="I2747" i="1" s="1"/>
  <c r="I2748" i="1" a="1"/>
  <c r="I2748" i="1" s="1"/>
  <c r="I2749" i="1" a="1"/>
  <c r="I2749" i="1" s="1"/>
  <c r="I2750" i="1" a="1"/>
  <c r="I2750" i="1" s="1"/>
  <c r="I2751" i="1" a="1"/>
  <c r="I2751" i="1" s="1"/>
  <c r="I2752" i="1" a="1"/>
  <c r="I2752" i="1" s="1"/>
  <c r="I2753" i="1" a="1"/>
  <c r="I2753" i="1" s="1"/>
  <c r="I2754" i="1" a="1"/>
  <c r="I2754" i="1" s="1"/>
  <c r="I2755" i="1" a="1"/>
  <c r="I2755" i="1" s="1"/>
  <c r="I2756" i="1" a="1"/>
  <c r="I2756" i="1" s="1"/>
  <c r="I2757" i="1" a="1"/>
  <c r="I2757" i="1" s="1"/>
  <c r="I2758" i="1" a="1"/>
  <c r="I2758" i="1" s="1"/>
  <c r="I2759" i="1" a="1"/>
  <c r="I2759" i="1" s="1"/>
  <c r="I2760" i="1" a="1"/>
  <c r="I2760" i="1" s="1"/>
  <c r="I2761" i="1" a="1"/>
  <c r="I2761" i="1" s="1"/>
  <c r="I2762" i="1" a="1"/>
  <c r="I2762" i="1" s="1"/>
  <c r="I2763" i="1" a="1"/>
  <c r="I2763" i="1" s="1"/>
  <c r="I2764" i="1" a="1"/>
  <c r="I2764" i="1" s="1"/>
  <c r="I2765" i="1" a="1"/>
  <c r="I2765" i="1" s="1"/>
  <c r="I2766" i="1" a="1"/>
  <c r="I2766" i="1" s="1"/>
  <c r="I2767" i="1" a="1"/>
  <c r="I2767" i="1" s="1"/>
  <c r="I2768" i="1" a="1"/>
  <c r="I2768" i="1" s="1"/>
  <c r="I2769" i="1" a="1"/>
  <c r="I2769" i="1" s="1"/>
  <c r="I2770" i="1" a="1"/>
  <c r="I2770" i="1" s="1"/>
  <c r="I2771" i="1" a="1"/>
  <c r="I2771" i="1" s="1"/>
  <c r="I2772" i="1" a="1"/>
  <c r="I2772" i="1" s="1"/>
  <c r="I2773" i="1" a="1"/>
  <c r="I2773" i="1" s="1"/>
  <c r="I2774" i="1" a="1"/>
  <c r="I2774" i="1" s="1"/>
  <c r="I2775" i="1" a="1"/>
  <c r="I2775" i="1" s="1"/>
  <c r="I2776" i="1" a="1"/>
  <c r="I2776" i="1" s="1"/>
  <c r="I2777" i="1" a="1"/>
  <c r="I2777" i="1" s="1"/>
  <c r="I2778" i="1" a="1"/>
  <c r="I2778" i="1" s="1"/>
  <c r="I2779" i="1" a="1"/>
  <c r="I2779" i="1" s="1"/>
  <c r="I2780" i="1" a="1"/>
  <c r="I2780" i="1" s="1"/>
  <c r="I2781" i="1" a="1"/>
  <c r="I2781" i="1" s="1"/>
  <c r="I2782" i="1" a="1"/>
  <c r="I2782" i="1" s="1"/>
  <c r="I2783" i="1" a="1"/>
  <c r="I2783" i="1" s="1"/>
  <c r="I2784" i="1" a="1"/>
  <c r="I2784" i="1" s="1"/>
  <c r="I2785" i="1" a="1"/>
  <c r="I2785" i="1" s="1"/>
  <c r="I2786" i="1" a="1"/>
  <c r="I2786" i="1" s="1"/>
  <c r="I2787" i="1" a="1"/>
  <c r="I2787" i="1" s="1"/>
  <c r="I2788" i="1" a="1"/>
  <c r="I2788" i="1" s="1"/>
  <c r="I2789" i="1" a="1"/>
  <c r="I2789" i="1" s="1"/>
  <c r="I2790" i="1" a="1"/>
  <c r="I2790" i="1" s="1"/>
  <c r="I2791" i="1" a="1"/>
  <c r="I2791" i="1" s="1"/>
  <c r="I2792" i="1" a="1"/>
  <c r="I2792" i="1" s="1"/>
  <c r="I2793" i="1" a="1"/>
  <c r="I2793" i="1" s="1"/>
  <c r="I2794" i="1" a="1"/>
  <c r="I2794" i="1" s="1"/>
  <c r="I2795" i="1" a="1"/>
  <c r="I2795" i="1" s="1"/>
  <c r="I2796" i="1" a="1"/>
  <c r="I2796" i="1" s="1"/>
  <c r="I2797" i="1" a="1"/>
  <c r="I2797" i="1" s="1"/>
  <c r="I2798" i="1" a="1"/>
  <c r="I2798" i="1" s="1"/>
  <c r="I2799" i="1" a="1"/>
  <c r="I2799" i="1" s="1"/>
  <c r="I2800" i="1" a="1"/>
  <c r="I2800" i="1" s="1"/>
  <c r="I2801" i="1" a="1"/>
  <c r="I2801" i="1" s="1"/>
  <c r="I2802" i="1" a="1"/>
  <c r="I2802" i="1" s="1"/>
  <c r="I2803" i="1" a="1"/>
  <c r="I2803" i="1" s="1"/>
  <c r="I2804" i="1" a="1"/>
  <c r="I2804" i="1" s="1"/>
  <c r="I2805" i="1" a="1"/>
  <c r="I2805" i="1" s="1"/>
  <c r="I2806" i="1" a="1"/>
  <c r="I2806" i="1" s="1"/>
  <c r="I2807" i="1" a="1"/>
  <c r="I2807" i="1" s="1"/>
  <c r="I2808" i="1" a="1"/>
  <c r="I2808" i="1" s="1"/>
  <c r="I2809" i="1" a="1"/>
  <c r="I2809" i="1" s="1"/>
  <c r="I2810" i="1" a="1"/>
  <c r="I2810" i="1" s="1"/>
  <c r="I2811" i="1" a="1"/>
  <c r="I2811" i="1" s="1"/>
  <c r="I2812" i="1" a="1"/>
  <c r="I2812" i="1" s="1"/>
  <c r="I2813" i="1" a="1"/>
  <c r="I2813" i="1" s="1"/>
  <c r="I2814" i="1" a="1"/>
  <c r="I2814" i="1" s="1"/>
  <c r="I2815" i="1" a="1"/>
  <c r="I2815" i="1" s="1"/>
  <c r="I2816" i="1" a="1"/>
  <c r="I2816" i="1" s="1"/>
  <c r="I2817" i="1" a="1"/>
  <c r="I2817" i="1" s="1"/>
  <c r="I2818" i="1" a="1"/>
  <c r="I2818" i="1" s="1"/>
  <c r="I2819" i="1" a="1"/>
  <c r="I2819" i="1" s="1"/>
  <c r="I2820" i="1" a="1"/>
  <c r="I2820" i="1" s="1"/>
  <c r="I2821" i="1" a="1"/>
  <c r="I2821" i="1" s="1"/>
  <c r="I2822" i="1" a="1"/>
  <c r="I2822" i="1" s="1"/>
  <c r="I2823" i="1" a="1"/>
  <c r="I2823" i="1" s="1"/>
  <c r="I2824" i="1" a="1"/>
  <c r="I2824" i="1" s="1"/>
  <c r="I2825" i="1" a="1"/>
  <c r="I2825" i="1" s="1"/>
  <c r="I2826" i="1" a="1"/>
  <c r="I2826" i="1" s="1"/>
  <c r="I2827" i="1" a="1"/>
  <c r="I2827" i="1" s="1"/>
  <c r="I2828" i="1" a="1"/>
  <c r="I2828" i="1" s="1"/>
  <c r="I2829" i="1" a="1"/>
  <c r="I2829" i="1" s="1"/>
  <c r="I2830" i="1" a="1"/>
  <c r="I2830" i="1" s="1"/>
  <c r="I2831" i="1" a="1"/>
  <c r="I2831" i="1" s="1"/>
  <c r="I2832" i="1" a="1"/>
  <c r="I2832" i="1" s="1"/>
  <c r="I2833" i="1" a="1"/>
  <c r="I2833" i="1" s="1"/>
  <c r="I2834" i="1" a="1"/>
  <c r="I2834" i="1" s="1"/>
  <c r="I2835" i="1" a="1"/>
  <c r="I2835" i="1" s="1"/>
  <c r="I2836" i="1" a="1"/>
  <c r="I2836" i="1" s="1"/>
  <c r="I2837" i="1" a="1"/>
  <c r="I2837" i="1" s="1"/>
  <c r="I2838" i="1" a="1"/>
  <c r="I2838" i="1" s="1"/>
  <c r="I2839" i="1" a="1"/>
  <c r="I2839" i="1" s="1"/>
  <c r="I2840" i="1" a="1"/>
  <c r="I2840" i="1" s="1"/>
  <c r="I2841" i="1" a="1"/>
  <c r="I2841" i="1" s="1"/>
  <c r="I2842" i="1" a="1"/>
  <c r="I2842" i="1" s="1"/>
  <c r="I2843" i="1" a="1"/>
  <c r="I2843" i="1" s="1"/>
  <c r="I2844" i="1" a="1"/>
  <c r="I2844" i="1" s="1"/>
  <c r="I2845" i="1" a="1"/>
  <c r="I2845" i="1" s="1"/>
  <c r="I2846" i="1" a="1"/>
  <c r="I2846" i="1" s="1"/>
  <c r="I2847" i="1" a="1"/>
  <c r="I2847" i="1" s="1"/>
  <c r="I2848" i="1" a="1"/>
  <c r="I2848" i="1" s="1"/>
  <c r="I2849" i="1" a="1"/>
  <c r="I2849" i="1" s="1"/>
  <c r="I2850" i="1" a="1"/>
  <c r="I2850" i="1" s="1"/>
  <c r="I2851" i="1" a="1"/>
  <c r="I2851" i="1" s="1"/>
  <c r="I2852" i="1" a="1"/>
  <c r="I2852" i="1" s="1"/>
  <c r="I2853" i="1" a="1"/>
  <c r="I2853" i="1" s="1"/>
  <c r="I2854" i="1" a="1"/>
  <c r="I2854" i="1" s="1"/>
  <c r="I2855" i="1" a="1"/>
  <c r="I2855" i="1" s="1"/>
  <c r="I2856" i="1" a="1"/>
  <c r="I2856" i="1" s="1"/>
  <c r="I2857" i="1" a="1"/>
  <c r="I2857" i="1" s="1"/>
  <c r="I2858" i="1" a="1"/>
  <c r="I2858" i="1" s="1"/>
  <c r="I2859" i="1" a="1"/>
  <c r="I2859" i="1" s="1"/>
  <c r="I2860" i="1" a="1"/>
  <c r="I2860" i="1" s="1"/>
  <c r="I2861" i="1" a="1"/>
  <c r="I2861" i="1" s="1"/>
  <c r="I2862" i="1" a="1"/>
  <c r="I2862" i="1" s="1"/>
  <c r="I2863" i="1" a="1"/>
  <c r="I2863" i="1" s="1"/>
  <c r="I2864" i="1" a="1"/>
  <c r="I2864" i="1" s="1"/>
  <c r="I2865" i="1" a="1"/>
  <c r="I2865" i="1" s="1"/>
  <c r="I2866" i="1" a="1"/>
  <c r="I2866" i="1" s="1"/>
  <c r="I2867" i="1" a="1"/>
  <c r="I2867" i="1" s="1"/>
  <c r="I2868" i="1" a="1"/>
  <c r="I2868" i="1" s="1"/>
  <c r="I2869" i="1" a="1"/>
  <c r="I2869" i="1" s="1"/>
  <c r="I2870" i="1" a="1"/>
  <c r="I2870" i="1" s="1"/>
  <c r="I2871" i="1" a="1"/>
  <c r="I2871" i="1" s="1"/>
  <c r="I2872" i="1" a="1"/>
  <c r="I2872" i="1" s="1"/>
  <c r="I2873" i="1" a="1"/>
  <c r="I2873" i="1" s="1"/>
  <c r="I2874" i="1" a="1"/>
  <c r="I2874" i="1" s="1"/>
  <c r="I2875" i="1" a="1"/>
  <c r="I2875" i="1" s="1"/>
  <c r="I2876" i="1" a="1"/>
  <c r="I2876" i="1" s="1"/>
  <c r="I2877" i="1" a="1"/>
  <c r="I2877" i="1" s="1"/>
  <c r="I2878" i="1" a="1"/>
  <c r="I2878" i="1" s="1"/>
  <c r="I2879" i="1" a="1"/>
  <c r="I2879" i="1" s="1"/>
  <c r="I2880" i="1" a="1"/>
  <c r="I2880" i="1" s="1"/>
  <c r="I2881" i="1" a="1"/>
  <c r="I2881" i="1" s="1"/>
  <c r="I2882" i="1" a="1"/>
  <c r="I2882" i="1" s="1"/>
  <c r="I2883" i="1" a="1"/>
  <c r="I2883" i="1" s="1"/>
  <c r="I2884" i="1" a="1"/>
  <c r="I2884" i="1" s="1"/>
  <c r="I2885" i="1" a="1"/>
  <c r="I2885" i="1" s="1"/>
  <c r="I2886" i="1" a="1"/>
  <c r="I2886" i="1" s="1"/>
  <c r="I2887" i="1" a="1"/>
  <c r="I2887" i="1" s="1"/>
  <c r="I2888" i="1" a="1"/>
  <c r="I2888" i="1" s="1"/>
  <c r="I2889" i="1" a="1"/>
  <c r="I2889" i="1" s="1"/>
  <c r="I2890" i="1" a="1"/>
  <c r="I2890" i="1" s="1"/>
  <c r="I2891" i="1" a="1"/>
  <c r="I2891" i="1" s="1"/>
  <c r="I2892" i="1" a="1"/>
  <c r="I2892" i="1" s="1"/>
  <c r="I2893" i="1" a="1"/>
  <c r="I2893" i="1" s="1"/>
  <c r="I2894" i="1" a="1"/>
  <c r="I2894" i="1" s="1"/>
  <c r="I2895" i="1" a="1"/>
  <c r="I2895" i="1" s="1"/>
  <c r="I2896" i="1" a="1"/>
  <c r="I2896" i="1" s="1"/>
  <c r="I2897" i="1" a="1"/>
  <c r="I2897" i="1" s="1"/>
  <c r="I2898" i="1" a="1"/>
  <c r="I2898" i="1" s="1"/>
  <c r="I2899" i="1" a="1"/>
  <c r="I2899" i="1" s="1"/>
  <c r="I2900" i="1" a="1"/>
  <c r="I2900" i="1" s="1"/>
  <c r="I2901" i="1" a="1"/>
  <c r="I2901" i="1" s="1"/>
  <c r="I2902" i="1" a="1"/>
  <c r="I2902" i="1" s="1"/>
  <c r="I2903" i="1" a="1"/>
  <c r="I2903" i="1" s="1"/>
  <c r="I2904" i="1" a="1"/>
  <c r="I2904" i="1" s="1"/>
  <c r="I2905" i="1" a="1"/>
  <c r="I2905" i="1" s="1"/>
  <c r="I2906" i="1" a="1"/>
  <c r="I2906" i="1" s="1"/>
  <c r="I2907" i="1" a="1"/>
  <c r="I2907" i="1" s="1"/>
  <c r="I2908" i="1" a="1"/>
  <c r="I2908" i="1" s="1"/>
  <c r="I2909" i="1" a="1"/>
  <c r="I2909" i="1" s="1"/>
  <c r="I2910" i="1" a="1"/>
  <c r="I2910" i="1" s="1"/>
  <c r="I2911" i="1" a="1"/>
  <c r="I2911" i="1" s="1"/>
  <c r="I2912" i="1" a="1"/>
  <c r="I2912" i="1" s="1"/>
  <c r="I2913" i="1" a="1"/>
  <c r="I2913" i="1" s="1"/>
  <c r="I2914" i="1" a="1"/>
  <c r="I2914" i="1" s="1"/>
  <c r="I2915" i="1" a="1"/>
  <c r="I2915" i="1" s="1"/>
  <c r="I2916" i="1" a="1"/>
  <c r="I2916" i="1" s="1"/>
  <c r="I2917" i="1" a="1"/>
  <c r="I2917" i="1" s="1"/>
  <c r="I2918" i="1" a="1"/>
  <c r="I2918" i="1" s="1"/>
  <c r="I2919" i="1" a="1"/>
  <c r="I2919" i="1" s="1"/>
  <c r="I2920" i="1" a="1"/>
  <c r="I2920" i="1" s="1"/>
  <c r="I2921" i="1" a="1"/>
  <c r="I2921" i="1" s="1"/>
  <c r="I2922" i="1" a="1"/>
  <c r="I2922" i="1" s="1"/>
  <c r="I2923" i="1" a="1"/>
  <c r="I2923" i="1" s="1"/>
  <c r="I2924" i="1" a="1"/>
  <c r="I2924" i="1" s="1"/>
  <c r="I2925" i="1" a="1"/>
  <c r="I2925" i="1" s="1"/>
  <c r="I2926" i="1" a="1"/>
  <c r="I2926" i="1" s="1"/>
  <c r="I2927" i="1" a="1"/>
  <c r="I2927" i="1" s="1"/>
  <c r="I2928" i="1" a="1"/>
  <c r="I2928" i="1" s="1"/>
  <c r="I2929" i="1" a="1"/>
  <c r="I2929" i="1" s="1"/>
  <c r="I2930" i="1" a="1"/>
  <c r="I2930" i="1" s="1"/>
  <c r="I2931" i="1" a="1"/>
  <c r="I2931" i="1" s="1"/>
  <c r="I2932" i="1" a="1"/>
  <c r="I2932" i="1" s="1"/>
  <c r="I2933" i="1" a="1"/>
  <c r="I2933" i="1" s="1"/>
  <c r="I2934" i="1" a="1"/>
  <c r="I2934" i="1" s="1"/>
  <c r="I2935" i="1" a="1"/>
  <c r="I2935" i="1" s="1"/>
  <c r="I2936" i="1" a="1"/>
  <c r="I2936" i="1" s="1"/>
  <c r="I2937" i="1" a="1"/>
  <c r="I2937" i="1" s="1"/>
  <c r="I2938" i="1" a="1"/>
  <c r="I2938" i="1" s="1"/>
  <c r="I2939" i="1" a="1"/>
  <c r="I2939" i="1" s="1"/>
  <c r="I2940" i="1" a="1"/>
  <c r="I2940" i="1" s="1"/>
  <c r="I2941" i="1" a="1"/>
  <c r="I2941" i="1" s="1"/>
  <c r="I2942" i="1" a="1"/>
  <c r="I2942" i="1" s="1"/>
  <c r="I2943" i="1" a="1"/>
  <c r="I2943" i="1" s="1"/>
  <c r="I2944" i="1" a="1"/>
  <c r="I2944" i="1" s="1"/>
  <c r="I2945" i="1" a="1"/>
  <c r="I2945" i="1" s="1"/>
  <c r="I2946" i="1" a="1"/>
  <c r="I2946" i="1" s="1"/>
  <c r="I2947" i="1" a="1"/>
  <c r="I2947" i="1" s="1"/>
  <c r="I2948" i="1" a="1"/>
  <c r="I2948" i="1" s="1"/>
  <c r="I2949" i="1" a="1"/>
  <c r="I2949" i="1" s="1"/>
  <c r="I2950" i="1" a="1"/>
  <c r="I2950" i="1" s="1"/>
  <c r="I2951" i="1" a="1"/>
  <c r="I2951" i="1" s="1"/>
  <c r="I2952" i="1" a="1"/>
  <c r="I2952" i="1" s="1"/>
  <c r="I2953" i="1" a="1"/>
  <c r="I2953" i="1" s="1"/>
  <c r="I2954" i="1" a="1"/>
  <c r="I2954" i="1" s="1"/>
  <c r="I2955" i="1" a="1"/>
  <c r="I2955" i="1" s="1"/>
  <c r="I2956" i="1" a="1"/>
  <c r="I2956" i="1" s="1"/>
  <c r="I2957" i="1" a="1"/>
  <c r="I2957" i="1" s="1"/>
  <c r="I2958" i="1" a="1"/>
  <c r="I2958" i="1" s="1"/>
  <c r="I2959" i="1" a="1"/>
  <c r="I2959" i="1" s="1"/>
  <c r="I2960" i="1" a="1"/>
  <c r="I2960" i="1" s="1"/>
  <c r="I2961" i="1" a="1"/>
  <c r="I2961" i="1" s="1"/>
  <c r="I2962" i="1" a="1"/>
  <c r="I2962" i="1" s="1"/>
  <c r="I2963" i="1" a="1"/>
  <c r="I2963" i="1" s="1"/>
  <c r="I2964" i="1" a="1"/>
  <c r="I2964" i="1" s="1"/>
  <c r="I2965" i="1" a="1"/>
  <c r="I2965" i="1" s="1"/>
  <c r="I2966" i="1" a="1"/>
  <c r="I2966" i="1" s="1"/>
  <c r="I2967" i="1" a="1"/>
  <c r="I2967" i="1" s="1"/>
  <c r="I2968" i="1" a="1"/>
  <c r="I2968" i="1" s="1"/>
  <c r="I2969" i="1" a="1"/>
  <c r="I2969" i="1" s="1"/>
  <c r="I2970" i="1" a="1"/>
  <c r="I2970" i="1" s="1"/>
  <c r="I2971" i="1" a="1"/>
  <c r="I2971" i="1" s="1"/>
  <c r="I2972" i="1" a="1"/>
  <c r="I2972" i="1" s="1"/>
  <c r="I2973" i="1" a="1"/>
  <c r="I2973" i="1" s="1"/>
  <c r="I2974" i="1" a="1"/>
  <c r="I2974" i="1" s="1"/>
  <c r="I2975" i="1" a="1"/>
  <c r="I2975" i="1" s="1"/>
  <c r="I2976" i="1" a="1"/>
  <c r="I2976" i="1" s="1"/>
  <c r="I2977" i="1" a="1"/>
  <c r="I2977" i="1" s="1"/>
  <c r="I2978" i="1" a="1"/>
  <c r="I2978" i="1" s="1"/>
  <c r="I2979" i="1" a="1"/>
  <c r="I2979" i="1" s="1"/>
  <c r="I2980" i="1" a="1"/>
  <c r="I2980" i="1" s="1"/>
  <c r="I2981" i="1" a="1"/>
  <c r="I2981" i="1" s="1"/>
  <c r="I2982" i="1" a="1"/>
  <c r="I2982" i="1" s="1"/>
  <c r="I2983" i="1" a="1"/>
  <c r="I2983" i="1" s="1"/>
  <c r="I2984" i="1" a="1"/>
  <c r="I2984" i="1" s="1"/>
  <c r="I2985" i="1" a="1"/>
  <c r="I2985" i="1" s="1"/>
  <c r="I2986" i="1" a="1"/>
  <c r="I2986" i="1" s="1"/>
  <c r="I2987" i="1" a="1"/>
  <c r="I2987" i="1" s="1"/>
  <c r="I2988" i="1" a="1"/>
  <c r="I2988" i="1" s="1"/>
  <c r="I2989" i="1" a="1"/>
  <c r="I2989" i="1" s="1"/>
  <c r="I2990" i="1" a="1"/>
  <c r="I2990" i="1" s="1"/>
  <c r="I2991" i="1" a="1"/>
  <c r="I2991" i="1" s="1"/>
  <c r="I2992" i="1" a="1"/>
  <c r="I2992" i="1" s="1"/>
  <c r="I2993" i="1" a="1"/>
  <c r="I2993" i="1" s="1"/>
  <c r="I2994" i="1" a="1"/>
  <c r="I2994" i="1" s="1"/>
  <c r="I2995" i="1" a="1"/>
  <c r="I2995" i="1" s="1"/>
  <c r="I2996" i="1" a="1"/>
  <c r="I2996" i="1" s="1"/>
  <c r="I2997" i="1" a="1"/>
  <c r="I2997" i="1" s="1"/>
  <c r="I2998" i="1" a="1"/>
  <c r="I2998" i="1" s="1"/>
  <c r="I2999" i="1" a="1"/>
  <c r="I2999" i="1" s="1"/>
  <c r="I3000" i="1" a="1"/>
  <c r="I3000" i="1" s="1"/>
  <c r="I2" i="1" a="1"/>
  <c r="I2" i="1" s="1"/>
  <c r="A2" i="2" a="1"/>
  <c r="A2" i="2" s="1"/>
  <c r="P2" i="1" l="1"/>
  <c r="P11" i="1"/>
  <c r="P5" i="1"/>
  <c r="Q15" i="1"/>
  <c r="P15" i="1"/>
  <c r="P8" i="1"/>
  <c r="R1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<sst xmlns="http://schemas.openxmlformats.org/spreadsheetml/2006/main" count="14469" uniqueCount="8475">
  <si>
    <t>OrderID</t>
  </si>
  <si>
    <t>CustomerID</t>
  </si>
  <si>
    <t>ProductName</t>
  </si>
  <si>
    <t>Brand</t>
  </si>
  <si>
    <t>Raw_Weight</t>
  </si>
  <si>
    <t>Country</t>
  </si>
  <si>
    <t>OrderDate</t>
  </si>
  <si>
    <t>UnitPrice</t>
  </si>
  <si>
    <t>REC-861088</t>
  </si>
  <si>
    <t>Perly</t>
  </si>
  <si>
    <t>100 g</t>
  </si>
  <si>
    <t>Morocco,United States</t>
  </si>
  <si>
    <t>REC-900952</t>
  </si>
  <si>
    <t>LU</t>
  </si>
  <si>
    <t>300 g</t>
  </si>
  <si>
    <t>REC-595965</t>
  </si>
  <si>
    <t>Excellence Noir Prodigieux 90% Cacao</t>
  </si>
  <si>
    <t>Lindt EXCELLENCE,Lindt</t>
  </si>
  <si>
    <t>100g</t>
  </si>
  <si>
    <t>REC-942653</t>
  </si>
  <si>
    <t>Tonik</t>
  </si>
  <si>
    <t>Ø¹Ø±Ø¨ÙŠ</t>
  </si>
  <si>
    <t>22 g</t>
  </si>
  <si>
    <t>REC-885998</t>
  </si>
  <si>
    <t>230g</t>
  </si>
  <si>
    <t>REC-674324</t>
  </si>
  <si>
    <t>Ð¨Ð¾ÐºÐ¾Ð»Ð°Ð´ 85% ÐºÐ°ÐºÐ°Ð¾Ð²Ð° Ð¼Ð°ÑÐ°</t>
  </si>
  <si>
    <t>J. D. Gross</t>
  </si>
  <si>
    <t>125g</t>
  </si>
  <si>
    <t>Austria,Belgium,Bulgaria,Estonia,Finland,France,Germany,Italy,Lithuania,Slovakia,Slovenia,Spain,United Kingdom</t>
  </si>
  <si>
    <t>REC-867660</t>
  </si>
  <si>
    <t>CRISTALINE Eau De Source 0.5L</t>
  </si>
  <si>
    <t>Cristaline</t>
  </si>
  <si>
    <t>500 ml</t>
  </si>
  <si>
    <t>REC-448132</t>
  </si>
  <si>
    <t>Henry's</t>
  </si>
  <si>
    <t>42g</t>
  </si>
  <si>
    <t>REC-202400</t>
  </si>
  <si>
    <t>Milk chocolate bar</t>
  </si>
  <si>
    <t>150 g</t>
  </si>
  <si>
    <t>Algeria,Cameroon,France,Morocco,Spain</t>
  </si>
  <si>
    <t>REC-386572</t>
  </si>
  <si>
    <t>Organic 70% Dark Chocolate Bar</t>
  </si>
  <si>
    <t>Green &amp; Black's</t>
  </si>
  <si>
    <t>90g</t>
  </si>
  <si>
    <t>REC-394893</t>
  </si>
  <si>
    <t>KING COOKIES</t>
  </si>
  <si>
    <t>Excelo</t>
  </si>
  <si>
    <t>Morocco</t>
  </si>
  <si>
    <t>REC-965916</t>
  </si>
  <si>
    <t>Sable coco Henry s 42g</t>
  </si>
  <si>
    <t>REC-735024</t>
  </si>
  <si>
    <t>nutella,Ferrero</t>
  </si>
  <si>
    <t>304 g</t>
  </si>
  <si>
    <t>REC-866242</t>
  </si>
  <si>
    <t>Tartine croustillante Authentique</t>
  </si>
  <si>
    <t>wasa</t>
  </si>
  <si>
    <t>275 g</t>
  </si>
  <si>
    <t>REC-167785</t>
  </si>
  <si>
    <t>Excellence Noir Intense 70% Cacao</t>
  </si>
  <si>
    <t>Lindt</t>
  </si>
  <si>
    <t>REC-625106</t>
  </si>
  <si>
    <t>Lightly sea salted crisps</t>
  </si>
  <si>
    <t>Tyrrell's</t>
  </si>
  <si>
    <t>150g</t>
  </si>
  <si>
    <t>France,Germany,Spain,United Kingdom</t>
  </si>
  <si>
    <t>REC-399127</t>
  </si>
  <si>
    <t>Dark chocolate</t>
  </si>
  <si>
    <t>Green and black</t>
  </si>
  <si>
    <t>REC-506660</t>
  </si>
  <si>
    <t>Excellence Noir Puissant 85% Cacao</t>
  </si>
  <si>
    <t>REC-323330</t>
  </si>
  <si>
    <t>Bjorg</t>
  </si>
  <si>
    <t>225 g</t>
  </si>
  <si>
    <t>France,Luxembourg,Switzerland</t>
  </si>
  <si>
    <t>REC-726018</t>
  </si>
  <si>
    <t>Extra dark 74% Cocoa</t>
  </si>
  <si>
    <t>100 gram</t>
  </si>
  <si>
    <t>Belgium,Bulgaria,Czech Republic,Finland,Germany,Netherlands,Poland,Spain</t>
  </si>
  <si>
    <t>REC-799477</t>
  </si>
  <si>
    <t>FIBRES</t>
  </si>
  <si>
    <t>Wasa</t>
  </si>
  <si>
    <t>230 g</t>
  </si>
  <si>
    <t>REC-169584</t>
  </si>
  <si>
    <t>85 g</t>
  </si>
  <si>
    <t>REC-925173</t>
  </si>
  <si>
    <t>Momo black</t>
  </si>
  <si>
    <t>36 g</t>
  </si>
  <si>
    <t>REC-898017</t>
  </si>
  <si>
    <t>Tuc Original</t>
  </si>
  <si>
    <t>MondelÄ“z,Tuc</t>
  </si>
  <si>
    <t>REC-739815</t>
  </si>
  <si>
    <t>EXTRA FINE DARK CHOCOLATE</t>
  </si>
  <si>
    <t>REC-992581</t>
  </si>
  <si>
    <t>Eyoo cover</t>
  </si>
  <si>
    <t>EXCELO</t>
  </si>
  <si>
    <t>REC-392117</t>
  </si>
  <si>
    <t>Tartines craquantes au sarrasin imp</t>
  </si>
  <si>
    <t>Ekibio,Le pain des Fleurs</t>
  </si>
  <si>
    <t>160 g</t>
  </si>
  <si>
    <t>Belgium,France,Luxembourg,Netherlands,Senegal,Switzerland</t>
  </si>
  <si>
    <t>REC-337268</t>
  </si>
  <si>
    <t>Pomme ðŸ ðŸŽ NoisetteðŸ¥œ</t>
  </si>
  <si>
    <t>REC-974515</t>
  </si>
  <si>
    <t>Trios</t>
  </si>
  <si>
    <t>Aperitivos company</t>
  </si>
  <si>
    <t>20g</t>
  </si>
  <si>
    <t>REC-953482</t>
  </si>
  <si>
    <t>Edelbitter 70% Cacao</t>
  </si>
  <si>
    <t>DE</t>
  </si>
  <si>
    <t>REC-829185</t>
  </si>
  <si>
    <t>Pringles Original</t>
  </si>
  <si>
    <t>Pringles</t>
  </si>
  <si>
    <t>Italia</t>
  </si>
  <si>
    <t>REC-212346</t>
  </si>
  <si>
    <t>Crunchy oats&amp;honey</t>
  </si>
  <si>
    <t>Nature Valley</t>
  </si>
  <si>
    <t>42 g</t>
  </si>
  <si>
    <t>REC-416664</t>
  </si>
  <si>
    <t>Figue &amp; son</t>
  </si>
  <si>
    <t>210 g</t>
  </si>
  <si>
    <t>REC-205333</t>
  </si>
  <si>
    <t>Bitter Extra Kraftig</t>
  </si>
  <si>
    <t>50g</t>
  </si>
  <si>
    <t>Australia,Austria,Belgium,Bulgaria,France,Germany,Italy,Lebanon,Morocco,Romania,Spain,Switzerland,Thailand,United Kingdom</t>
  </si>
  <si>
    <t>REC-503724</t>
  </si>
  <si>
    <t>205g</t>
  </si>
  <si>
    <t>REC-407282</t>
  </si>
  <si>
    <t>Petit beurre</t>
  </si>
  <si>
    <t>REC-499346</t>
  </si>
  <si>
    <t>Pains au lait x10</t>
  </si>
  <si>
    <t>Pasquier</t>
  </si>
  <si>
    <t>350 g</t>
  </si>
  <si>
    <t>REC-668408</t>
  </si>
  <si>
    <t>Chocolat au lait</t>
  </si>
  <si>
    <t>Milka</t>
  </si>
  <si>
    <t>Algeria,Austria,Bulgaria,France,Germany,Hungary,Italy,Morocco,Poland,Tunisia,United Kingdom</t>
  </si>
  <si>
    <t>REC-400480</t>
  </si>
  <si>
    <t>400 g</t>
  </si>
  <si>
    <t>France</t>
  </si>
  <si>
    <t>REC-936049</t>
  </si>
  <si>
    <t>King cookies choco</t>
  </si>
  <si>
    <t>REC-574329</t>
  </si>
  <si>
    <t>BIO Basmati Reis Vollkorn</t>
  </si>
  <si>
    <t>Pueblo Lindo, Nur Nur Natur</t>
  </si>
  <si>
    <t>REC-837122</t>
  </si>
  <si>
    <t>Lidl Organic Dark Chocolate</t>
  </si>
  <si>
    <t>LIDL</t>
  </si>
  <si>
    <t>REC-955005</t>
  </si>
  <si>
    <t>Mix di frutta secca</t>
  </si>
  <si>
    <t>Alesto</t>
  </si>
  <si>
    <t>200 g</t>
  </si>
  <si>
    <t>REC-538001</t>
  </si>
  <si>
    <t>Excellence Noir Subtil Doux 70% Cacao</t>
  </si>
  <si>
    <t>Lindt Excellence,Lindt</t>
  </si>
  <si>
    <t>REC-900195</t>
  </si>
  <si>
    <t>500 g</t>
  </si>
  <si>
    <t>France,Germany,Switzerland</t>
  </si>
  <si>
    <t>REC-570097</t>
  </si>
  <si>
    <t>Sour Cream &amp; Onion</t>
  </si>
  <si>
    <t>165 g</t>
  </si>
  <si>
    <t>Algieria,BuÅ‚garia,Chorwacja,Egipt,WÄ™gry,Irak,Liban,Libia,Litwa,Maroko,Polska,Rumunia,Tunezja,Ukraina</t>
  </si>
  <si>
    <t>REC-180568</t>
  </si>
  <si>
    <t>Chocolat Noir 92% cacao</t>
  </si>
  <si>
    <t>Dark Excellente</t>
  </si>
  <si>
    <t>REC-630706</t>
  </si>
  <si>
    <t>Granola L'Original</t>
  </si>
  <si>
    <t>LU, Mondelez International</t>
  </si>
  <si>
    <t>200 g e</t>
  </si>
  <si>
    <t>REC-326111</t>
  </si>
  <si>
    <t>lu, LU</t>
  </si>
  <si>
    <t>REC-574635</t>
  </si>
  <si>
    <t>Kinder Bueno</t>
  </si>
  <si>
    <t>Kinder</t>
  </si>
  <si>
    <t>REC-218223</t>
  </si>
  <si>
    <t>Dark Chocolate</t>
  </si>
  <si>
    <t>Tesco finest</t>
  </si>
  <si>
    <t>United Kingdom</t>
  </si>
  <si>
    <t>REC-895633</t>
  </si>
  <si>
    <t>Chips</t>
  </si>
  <si>
    <t>Kettle</t>
  </si>
  <si>
    <t>REC-754969</t>
  </si>
  <si>
    <t>Pringles Sare</t>
  </si>
  <si>
    <t>REC-528239</t>
  </si>
  <si>
    <t>Barilla,Wasa</t>
  </si>
  <si>
    <t>270 g</t>
  </si>
  <si>
    <t>France,Guadeloupe,Italy,Switzerland</t>
  </si>
  <si>
    <t>REC-540990</t>
  </si>
  <si>
    <t>Henry's Sable Coco Biscuit 85G</t>
  </si>
  <si>
    <t>Henrys</t>
  </si>
  <si>
    <t>REC-956271</t>
  </si>
  <si>
    <t>Cracotte</t>
  </si>
  <si>
    <t>7.35 gram</t>
  </si>
  <si>
    <t>REC-440963</t>
  </si>
  <si>
    <t>Biscuit raisins</t>
  </si>
  <si>
    <t>REC-116337</t>
  </si>
  <si>
    <t>Nutri+ avoine chocolat</t>
  </si>
  <si>
    <t>130 g</t>
  </si>
  <si>
    <t>REC-653437</t>
  </si>
  <si>
    <t>BN</t>
  </si>
  <si>
    <t>285 g</t>
  </si>
  <si>
    <t>Belgium,France,Morocco,Switzerland</t>
  </si>
  <si>
    <t>REC-786266</t>
  </si>
  <si>
    <t>digestives</t>
  </si>
  <si>
    <t>McVitie's</t>
  </si>
  <si>
    <t>360g</t>
  </si>
  <si>
    <t>France,Germany,Ireland,United Kingdom</t>
  </si>
  <si>
    <t>REC-650994</t>
  </si>
  <si>
    <t>Harrys brioche tressee nature au sucre perle sans additifs 500g</t>
  </si>
  <si>
    <t>Harrys</t>
  </si>
  <si>
    <t>REC-981280</t>
  </si>
  <si>
    <t>Protein CacahuetesðŸ¥œ &amp; ChocolatðŸ«</t>
  </si>
  <si>
    <t>160 g (4x40 g)</t>
  </si>
  <si>
    <t>Belgium,France</t>
  </si>
  <si>
    <t>REC-295140</t>
  </si>
  <si>
    <t>Tartines craquantes quinoa - pois chiche sans gluten</t>
  </si>
  <si>
    <t>Jardin Bio</t>
  </si>
  <si>
    <t>REC-845441</t>
  </si>
  <si>
    <t>LIGHTLY SALTED LOW FAT CORN CAKES</t>
  </si>
  <si>
    <t>kallo</t>
  </si>
  <si>
    <t>France, United Kingdom</t>
  </si>
  <si>
    <t>REC-649864</t>
  </si>
  <si>
    <t>Figolu</t>
  </si>
  <si>
    <t>LUMondelez</t>
  </si>
  <si>
    <t>192 g (12 x 16 g)</t>
  </si>
  <si>
    <t>France,Guadeloupe</t>
  </si>
  <si>
    <t>REC-745146</t>
  </si>
  <si>
    <t>Krit krititas galletas saladas</t>
  </si>
  <si>
    <t>350g</t>
  </si>
  <si>
    <t>REC-595340</t>
  </si>
  <si>
    <t>REC-980028</t>
  </si>
  <si>
    <t>Crunchy avoine et miel</t>
  </si>
  <si>
    <t>Nature ValleyGeneral Mills</t>
  </si>
  <si>
    <t>210 g, 5 barres doubles de 42 g</t>
  </si>
  <si>
    <t>REC-702338</t>
  </si>
  <si>
    <t>Ø­Ù„Ø§Ù„</t>
  </si>
  <si>
    <t>1 klg</t>
  </si>
  <si>
    <t>REC-918887</t>
  </si>
  <si>
    <t>Biscuit lait chocolat</t>
  </si>
  <si>
    <t>REC-854220</t>
  </si>
  <si>
    <t>Toffifee</t>
  </si>
  <si>
    <t>Germany</t>
  </si>
  <si>
    <t>REC-321774</t>
  </si>
  <si>
    <t>Crunchy Avoine &amp; Chocolat Noir x 5 x 2 barres de 21 g</t>
  </si>
  <si>
    <t>General Mills,Nature Valley</t>
  </si>
  <si>
    <t>REC-770550</t>
  </si>
  <si>
    <t>REC-570975</t>
  </si>
  <si>
    <t>Dark milk chocolate</t>
  </si>
  <si>
    <t>Tesco</t>
  </si>
  <si>
    <t>REC-347253</t>
  </si>
  <si>
    <t>belvita</t>
  </si>
  <si>
    <t>435 g</t>
  </si>
  <si>
    <t>Belgium,Bulgaria,France,Germany,Morocco,Poland,Romania,Switzerland,United Kingdom</t>
  </si>
  <si>
    <t>REC-433923</t>
  </si>
  <si>
    <t>Biscuit soja orange</t>
  </si>
  <si>
    <t>REC-374982</t>
  </si>
  <si>
    <t>McVitie's,United Biscuits</t>
  </si>
  <si>
    <t>REC-833121</t>
  </si>
  <si>
    <t>Australia,Czech Republic,France,Germany,Ireland,Italy,Netherlands,New Zealand,Spain,Switzerland</t>
  </si>
  <si>
    <t>REC-484365</t>
  </si>
  <si>
    <t>ÐšÐ°Ñ€Ñ‚Ð¾Ñ„ÐµÐ»ÑŒÐ½Ñ‹Ðµ Ñ‡Ð¸Ð¿ÑÑ‹ ÑÐ¾ Ð²ÐºÑƒÑÐ¾Ð¼ Ð¿Ð°Ñ€Ð¸ÐºÐ¸</t>
  </si>
  <si>
    <t>Pringles,Kellogg's</t>
  </si>
  <si>
    <t>165g</t>
  </si>
  <si>
    <t>REC-204232</t>
  </si>
  <si>
    <t>Brioche moins de sucre</t>
  </si>
  <si>
    <t>485 g</t>
  </si>
  <si>
    <t>REC-942651</t>
  </si>
  <si>
    <t>Chocolat monogram</t>
  </si>
  <si>
    <t>Macao</t>
  </si>
  <si>
    <t>REC-818095</t>
  </si>
  <si>
    <t>Lentil and Pea Cakes with Beetroot and Balsamic Flavour Seasoning</t>
  </si>
  <si>
    <t>122 g</t>
  </si>
  <si>
    <t>REC-553814</t>
  </si>
  <si>
    <t>Kellogg's, Pringles</t>
  </si>
  <si>
    <t>REC-996953</t>
  </si>
  <si>
    <t>REC-767742</t>
  </si>
  <si>
    <t>40g</t>
  </si>
  <si>
    <t>REC-498811</t>
  </si>
  <si>
    <t>Digestive Avena Choco</t>
  </si>
  <si>
    <t>425 g</t>
  </si>
  <si>
    <t>REC-800513</t>
  </si>
  <si>
    <t>Dark Excelente</t>
  </si>
  <si>
    <t>REC-946193</t>
  </si>
  <si>
    <t>180G C OR NOIR NOISETTE</t>
  </si>
  <si>
    <t>180 g</t>
  </si>
  <si>
    <t>REC-662711</t>
  </si>
  <si>
    <t>Raffaello</t>
  </si>
  <si>
    <t>Ferrero</t>
  </si>
  <si>
    <t>REC-991303</t>
  </si>
  <si>
    <t>Barres de fruits secs &amp; noix Myrtilles</t>
  </si>
  <si>
    <t>nakd.</t>
  </si>
  <si>
    <t>140 g</t>
  </si>
  <si>
    <t>REC-562005</t>
  </si>
  <si>
    <t>Tagger</t>
  </si>
  <si>
    <t>Bimo</t>
  </si>
  <si>
    <t>22g</t>
  </si>
  <si>
    <t>REC-802740</t>
  </si>
  <si>
    <t>360 g</t>
  </si>
  <si>
    <t>REC-723751</t>
  </si>
  <si>
    <t>Wheat Biscuits</t>
  </si>
  <si>
    <t>n.48 - 912g</t>
  </si>
  <si>
    <t>REC-379767</t>
  </si>
  <si>
    <t>Protein Cocoa Hazelnut Bars</t>
  </si>
  <si>
    <t>Nakd,Natural Balance Foods</t>
  </si>
  <si>
    <t>135 g</t>
  </si>
  <si>
    <t>REC-994160</t>
  </si>
  <si>
    <t>Lu</t>
  </si>
  <si>
    <t>350 g â„®</t>
  </si>
  <si>
    <t>REC-607612</t>
  </si>
  <si>
    <t>Petites Madeleines</t>
  </si>
  <si>
    <t>St Michel</t>
  </si>
  <si>
    <t>REC-331169</t>
  </si>
  <si>
    <t>3 sachets de 4 biscuits, 250g</t>
  </si>
  <si>
    <t>REC-130025</t>
  </si>
  <si>
    <t>Sea salt &amp; cider vinegar chips</t>
  </si>
  <si>
    <t>REC-219484</t>
  </si>
  <si>
    <t>LU,MondelÄ“z</t>
  </si>
  <si>
    <t>300 g 15.5</t>
  </si>
  <si>
    <t>REC-480927</t>
  </si>
  <si>
    <t>Kinder bueno White</t>
  </si>
  <si>
    <t>39 g</t>
  </si>
  <si>
    <t>REC-699692</t>
  </si>
  <si>
    <t>Sea Salt Lentil Chips</t>
  </si>
  <si>
    <t>Proper Chips</t>
  </si>
  <si>
    <t>REC-392540</t>
  </si>
  <si>
    <t>Napolitain l'Original</t>
  </si>
  <si>
    <t>LU, Mondelez, Mondelez International</t>
  </si>
  <si>
    <t>180 g (6 x 30 g)</t>
  </si>
  <si>
    <t>REC-958052</t>
  </si>
  <si>
    <t>Petits fours financiers</t>
  </si>
  <si>
    <t>REC-151159</t>
  </si>
  <si>
    <t>Biscuits pavot citron</t>
  </si>
  <si>
    <t>REC-287331</t>
  </si>
  <si>
    <t>The Original Crunchy Rye Breads</t>
  </si>
  <si>
    <t>Ryvita</t>
  </si>
  <si>
    <t>250 g</t>
  </si>
  <si>
    <t>REC-904456</t>
  </si>
  <si>
    <t>REC-561658</t>
  </si>
  <si>
    <t>Blueberry Muffin Myrtilles</t>
  </si>
  <si>
    <t>nakd</t>
  </si>
  <si>
    <t>4 x 35g</t>
  </si>
  <si>
    <t>France,Germany,Ireland,Morocco,Poland,United Kingdom</t>
  </si>
  <si>
    <t>REC-884876</t>
  </si>
  <si>
    <t>merendina big</t>
  </si>
  <si>
    <t>bimo</t>
  </si>
  <si>
    <t>52g</t>
  </si>
  <si>
    <t>REC-221353</t>
  </si>
  <si>
    <t>440 g</t>
  </si>
  <si>
    <t>REC-279860</t>
  </si>
  <si>
    <t>150 g (12x 12.5 g) e</t>
  </si>
  <si>
    <t>Algeria,Belgium,Canada,France,Morocco,Switzerland</t>
  </si>
  <si>
    <t>REC-996817</t>
  </si>
  <si>
    <t>170 g</t>
  </si>
  <si>
    <t>REC-407433</t>
  </si>
  <si>
    <t>LU,Mondelez</t>
  </si>
  <si>
    <t>REC-160782</t>
  </si>
  <si>
    <t>Caramelised popcorn seasoned with sea salt</t>
  </si>
  <si>
    <t>Proper</t>
  </si>
  <si>
    <t>28 gram</t>
  </si>
  <si>
    <t>REC-221530</t>
  </si>
  <si>
    <t>Edelbitter Mild 90%</t>
  </si>
  <si>
    <t>Belgium,France,Germany,Morocco,Netherlands,Switzerland</t>
  </si>
  <si>
    <t>REC-183716</t>
  </si>
  <si>
    <t>lu</t>
  </si>
  <si>
    <t>REC-878584</t>
  </si>
  <si>
    <t>Chips de lentilles saveur fines herbes</t>
  </si>
  <si>
    <t>REC-777037</t>
  </si>
  <si>
    <t>Chocolat noir Equateur Bio</t>
  </si>
  <si>
    <t>J.D. Gross</t>
  </si>
  <si>
    <t>REC-762689</t>
  </si>
  <si>
    <t>REC-789279</t>
  </si>
  <si>
    <t>Milka galette choco</t>
  </si>
  <si>
    <t>LU, Milka</t>
  </si>
  <si>
    <t>260 g</t>
  </si>
  <si>
    <t>REC-188975</t>
  </si>
  <si>
    <t>Multigrain Crispbread</t>
  </si>
  <si>
    <t>RYVITA</t>
  </si>
  <si>
    <t>REC-476256</t>
  </si>
  <si>
    <t>Tartines craquantes sarrasin</t>
  </si>
  <si>
    <t>145 g</t>
  </si>
  <si>
    <t>REC-337130</t>
  </si>
  <si>
    <t>REC-415413</t>
  </si>
  <si>
    <t>Nakd.,Natural Balance Foods</t>
  </si>
  <si>
    <t>REC-599217</t>
  </si>
  <si>
    <t>Cream Crackers</t>
  </si>
  <si>
    <t>REC-328646</t>
  </si>
  <si>
    <t>8 biscuits</t>
  </si>
  <si>
    <t>REC-563059</t>
  </si>
  <si>
    <t>Pistaches de Californie</t>
  </si>
  <si>
    <t>Alesto, Lidl</t>
  </si>
  <si>
    <t>REC-294785</t>
  </si>
  <si>
    <t>Organic Crisp Bread</t>
  </si>
  <si>
    <t>DR KARG'S</t>
  </si>
  <si>
    <t>REC-693740</t>
  </si>
  <si>
    <t>REC-760615</t>
  </si>
  <si>
    <t>REC-195486</t>
  </si>
  <si>
    <t>150 g â„®</t>
  </si>
  <si>
    <t>REC-516677</t>
  </si>
  <si>
    <t>Cheese Oatcakes</t>
  </si>
  <si>
    <t>nairn's</t>
  </si>
  <si>
    <t>France,United Kingdom</t>
  </si>
  <si>
    <t>REC-146982</t>
  </si>
  <si>
    <t>Finland,France,Germany,Italy,Latvia,Switzerland,United Kingdom,United States,Czech Republic</t>
  </si>
  <si>
    <t>REC-239925</t>
  </si>
  <si>
    <t>Wholegrain Wheat Bixies</t>
  </si>
  <si>
    <t>Crownfield - Lidl</t>
  </si>
  <si>
    <t>720g - 36</t>
  </si>
  <si>
    <t>Ireland, Malta</t>
  </si>
  <si>
    <t>REC-109693</t>
  </si>
  <si>
    <t>Granola LU</t>
  </si>
  <si>
    <t>184g</t>
  </si>
  <si>
    <t>REC-441235</t>
  </si>
  <si>
    <t>Cuites au four nature</t>
  </si>
  <si>
    <t>REC-176522</t>
  </si>
  <si>
    <t>Sour Cream &amp; Onion chips</t>
  </si>
  <si>
    <t>185g</t>
  </si>
  <si>
    <t>REC-145901</t>
  </si>
  <si>
    <t>400 gram</t>
  </si>
  <si>
    <t>REC-126227</t>
  </si>
  <si>
    <t>clorets</t>
  </si>
  <si>
    <t>1.5g</t>
  </si>
  <si>
    <t>REC-360302</t>
  </si>
  <si>
    <t>Chocolate negro 95% cacao</t>
  </si>
  <si>
    <t>125 g</t>
  </si>
  <si>
    <t>Francuska,NjemaÄka,Å panjolska,Hrvatska,Slovenija,GrÄka,Cipar</t>
  </si>
  <si>
    <t>REC-633933</t>
  </si>
  <si>
    <t>REC-187987</t>
  </si>
  <si>
    <t>Pringles sour cream &amp; onion</t>
  </si>
  <si>
    <t>REC-307690</t>
  </si>
  <si>
    <t>Granola,LU,Mondelez</t>
  </si>
  <si>
    <t>276 g</t>
  </si>
  <si>
    <t>REC-921480</t>
  </si>
  <si>
    <t>Milk Chocolate with Honey and Almond Nougat</t>
  </si>
  <si>
    <t>Toblerone</t>
  </si>
  <si>
    <t>REC-715337</t>
  </si>
  <si>
    <t>Organic Milk Chocolate</t>
  </si>
  <si>
    <t>90 g</t>
  </si>
  <si>
    <t>REC-195153</t>
  </si>
  <si>
    <t>Noir Extra</t>
  </si>
  <si>
    <t>Poulain</t>
  </si>
  <si>
    <t>REC-550594</t>
  </si>
  <si>
    <t>Le cookie Chocolat Noisette</t>
  </si>
  <si>
    <t>Frankreich</t>
  </si>
  <si>
    <t>REC-598496</t>
  </si>
  <si>
    <t>121 g</t>
  </si>
  <si>
    <t>REC-469768</t>
  </si>
  <si>
    <t>450 g</t>
  </si>
  <si>
    <t>REC-825324</t>
  </si>
  <si>
    <t>Spofy</t>
  </si>
  <si>
    <t>henry's</t>
  </si>
  <si>
    <t>REC-734212</t>
  </si>
  <si>
    <t>Digestive Avena</t>
  </si>
  <si>
    <t>Hacendado</t>
  </si>
  <si>
    <t>REC-967946</t>
  </si>
  <si>
    <t>Galettes St Michel au beurre 4X5 - 130g</t>
  </si>
  <si>
    <t>St michel</t>
  </si>
  <si>
    <t>Belgien, Frankreich, Guadeloupe, Italien, Martinique, Marokko, Schweiz, Germany</t>
  </si>
  <si>
    <t>REC-561526</t>
  </si>
  <si>
    <t>Petit brun extra</t>
  </si>
  <si>
    <t>Brun,Mondelez</t>
  </si>
  <si>
    <t>REC-306391</t>
  </si>
  <si>
    <t>BN - Casse Croute Biscuits, 375g</t>
  </si>
  <si>
    <t>REC-518782</t>
  </si>
  <si>
    <t>REC-994456</t>
  </si>
  <si>
    <t>Ð¨Ð¾ÐºÐ¾Ð»Ð°Ð´ Ñ 6% Ð¿Ð°Ñ€Ñ‡ÐµÐ½Ñ†Ð° Ð¼Ð°Ð»Ð¸Ð½Ð¸</t>
  </si>
  <si>
    <t>J.D. GROSS</t>
  </si>
  <si>
    <t>REC-245946</t>
  </si>
  <si>
    <t>Milka Tablette Noisette</t>
  </si>
  <si>
    <t>Milka, Mondelez</t>
  </si>
  <si>
    <t>REC-986860</t>
  </si>
  <si>
    <t>132 g</t>
  </si>
  <si>
    <t>REC-253786</t>
  </si>
  <si>
    <t>Moelleux chocolat</t>
  </si>
  <si>
    <t>Belvita, LU, Mondelez International</t>
  </si>
  <si>
    <t>REC-940169</t>
  </si>
  <si>
    <t>Capri choco</t>
  </si>
  <si>
    <t>45g</t>
  </si>
  <si>
    <t>REC-908189</t>
  </si>
  <si>
    <t>Ferrero Rocher</t>
  </si>
  <si>
    <t>375 g</t>
  </si>
  <si>
    <t>REC-722929</t>
  </si>
  <si>
    <t>NOIR DEGUSTATION 70% CARAMEL</t>
  </si>
  <si>
    <t>France,Germany,Italy,Spain,United Kingdom</t>
  </si>
  <si>
    <t>REC-215654</t>
  </si>
  <si>
    <t>Lindt EXCELLENCE</t>
  </si>
  <si>
    <t>Austria,Czech Republic,France,Germany,Morocco</t>
  </si>
  <si>
    <t>REC-107243</t>
  </si>
  <si>
    <t>La Madeleine Pur beurre</t>
  </si>
  <si>
    <t>Bonne Maman</t>
  </si>
  <si>
    <t>300 g (12 sachets individuels)</t>
  </si>
  <si>
    <t>REC-810626</t>
  </si>
  <si>
    <t>41g</t>
  </si>
  <si>
    <t>REC-662848</t>
  </si>
  <si>
    <t>Blueberry Muffin raw fruit &amp; nut bar</t>
  </si>
  <si>
    <t>nÄkd</t>
  </si>
  <si>
    <t>35 g</t>
  </si>
  <si>
    <t>REC-184393</t>
  </si>
  <si>
    <t>OREO ORIGINAL</t>
  </si>
  <si>
    <t>OREO</t>
  </si>
  <si>
    <t>154 g</t>
  </si>
  <si>
    <t>Austria,Belgium,Finland,France,Germany,Greece,Italy,Netherlands,Norway,Sweden,Switzerland</t>
  </si>
  <si>
    <t>REC-317612</t>
  </si>
  <si>
    <t>Benco Original</t>
  </si>
  <si>
    <t>Benco</t>
  </si>
  <si>
    <t>400g</t>
  </si>
  <si>
    <t>REC-421289</t>
  </si>
  <si>
    <t>Pringles Sour Cream</t>
  </si>
  <si>
    <t>REC-525010</t>
  </si>
  <si>
    <t>Pelotazos futebolas</t>
  </si>
  <si>
    <t>Cheetos</t>
  </si>
  <si>
    <t>32g</t>
  </si>
  <si>
    <t>France,Morocco</t>
  </si>
  <si>
    <t>REC-425933</t>
  </si>
  <si>
    <t>Apple &amp; Raisin Oat Bars</t>
  </si>
  <si>
    <t>deliciously ella</t>
  </si>
  <si>
    <t>3 x 50g</t>
  </si>
  <si>
    <t>REC-958697</t>
  </si>
  <si>
    <t>Crunchy Oats and Dark chocolate, 2 Barres de 21 g</t>
  </si>
  <si>
    <t>REC-137198</t>
  </si>
  <si>
    <t>Nutri+ avoine complet</t>
  </si>
  <si>
    <t>130 g (3 x 4 biscuits)</t>
  </si>
  <si>
    <t>REC-312331</t>
  </si>
  <si>
    <t>Peter's Yard Original Sourdough Crackers</t>
  </si>
  <si>
    <t>France,United States,Ireland,United Kingdom</t>
  </si>
  <si>
    <t>REC-475606</t>
  </si>
  <si>
    <t>Aiguebelle</t>
  </si>
  <si>
    <t>REC-384172</t>
  </si>
  <si>
    <t>Cuetara Digesta Light 200G Marie Cookies</t>
  </si>
  <si>
    <t>200g</t>
  </si>
  <si>
    <t>REC-394564</t>
  </si>
  <si>
    <t>Cacao</t>
  </si>
  <si>
    <t>Lactel</t>
  </si>
  <si>
    <t>REC-483457</t>
  </si>
  <si>
    <t>REC-613302</t>
  </si>
  <si>
    <t>Gingembre saveur citron ðŸ‹</t>
  </si>
  <si>
    <t>REC-558106</t>
  </si>
  <si>
    <t>REC-756048</t>
  </si>
  <si>
    <t>Kinder Country</t>
  </si>
  <si>
    <t>Kinder, Ferrero</t>
  </si>
  <si>
    <t>211.5 g</t>
  </si>
  <si>
    <t>REC-731114</t>
  </si>
  <si>
    <t>Sweet &amp; Salty Popcorn</t>
  </si>
  <si>
    <t>Proper Corn</t>
  </si>
  <si>
    <t>14g</t>
  </si>
  <si>
    <t>REC-881552</t>
  </si>
  <si>
    <t>Gocciole classiche pav 500 gr</t>
  </si>
  <si>
    <t>Pavesi</t>
  </si>
  <si>
    <t>Belgium,France,Germany,Italy,Switzerland</t>
  </si>
  <si>
    <t>REC-687196</t>
  </si>
  <si>
    <t>160 g â„®, 4 barres de 40 g</t>
  </si>
  <si>
    <t>REC-542590</t>
  </si>
  <si>
    <t>85% Cocoa - Dark Chocolate</t>
  </si>
  <si>
    <t>Moser Roth</t>
  </si>
  <si>
    <t>United Kingdom,Ireland</t>
  </si>
  <si>
    <t>REC-447906</t>
  </si>
  <si>
    <t>Alter Eco</t>
  </si>
  <si>
    <t>100 g e</t>
  </si>
  <si>
    <t>Belgium,France,Switzerland</t>
  </si>
  <si>
    <t>REC-187921</t>
  </si>
  <si>
    <t>Nutella</t>
  </si>
  <si>
    <t>Ferrero,Nutella</t>
  </si>
  <si>
    <t>825g</t>
  </si>
  <si>
    <t>Deutschland,Marokko</t>
  </si>
  <si>
    <t>REC-272094</t>
  </si>
  <si>
    <t>Oatibix</t>
  </si>
  <si>
    <t>24 biscuits</t>
  </si>
  <si>
    <t>REC-477529</t>
  </si>
  <si>
    <t>Kinder Cards</t>
  </si>
  <si>
    <t>Ferrero,Kinder</t>
  </si>
  <si>
    <t>128 g</t>
  </si>
  <si>
    <t>REC-563532</t>
  </si>
  <si>
    <t>REC-172405</t>
  </si>
  <si>
    <t>8 Pains au lait frais Bio 280g</t>
  </si>
  <si>
    <t>280 g</t>
  </si>
  <si>
    <t>REC-326784</t>
  </si>
  <si>
    <t>21 g</t>
  </si>
  <si>
    <t>REC-601917</t>
  </si>
  <si>
    <t>single origin milk chocolate</t>
  </si>
  <si>
    <t>Marks &amp; Spencer</t>
  </si>
  <si>
    <t>REC-542762</t>
  </si>
  <si>
    <t>250g</t>
  </si>
  <si>
    <t>REC-600233</t>
  </si>
  <si>
    <t>REC-120129</t>
  </si>
  <si>
    <t>Sweet &amp; salty popcorn</t>
  </si>
  <si>
    <t>84g</t>
  </si>
  <si>
    <t>REC-614314</t>
  </si>
  <si>
    <t>Cocoa Vanilla Oat Boosts</t>
  </si>
  <si>
    <t>graze</t>
  </si>
  <si>
    <t>4 x 30 g</t>
  </si>
  <si>
    <t>REC-151525</t>
  </si>
  <si>
    <t>Megachok</t>
  </si>
  <si>
    <t>arluy</t>
  </si>
  <si>
    <t>500g</t>
  </si>
  <si>
    <t>France,Morocco,New Caledonia</t>
  </si>
  <si>
    <t>REC-217744</t>
  </si>
  <si>
    <t>Cranberry saveur amande</t>
  </si>
  <si>
    <t>REC-737686</t>
  </si>
  <si>
    <t>132 g, 4 sachets de 3 biscuits</t>
  </si>
  <si>
    <t>REC-310932</t>
  </si>
  <si>
    <t>Chocolat noir 85% Madagascar</t>
  </si>
  <si>
    <t>Ethiquable</t>
  </si>
  <si>
    <t>France,Spain</t>
  </si>
  <si>
    <t>REC-343699</t>
  </si>
  <si>
    <t>LU, Mondelez, Mondelez international</t>
  </si>
  <si>
    <t>REC-499216</t>
  </si>
  <si>
    <t>TEXAS BBQ SAUCE</t>
  </si>
  <si>
    <t>PRINGLES</t>
  </si>
  <si>
    <t>Belgium,Bulgaria,Germany,Ireland,Morocco,Romania,United Kingdom,Libya</t>
  </si>
  <si>
    <t>REC-117524</t>
  </si>
  <si>
    <t>Extrem</t>
  </si>
  <si>
    <t>REC-799646</t>
  </si>
  <si>
    <t>REC-452768</t>
  </si>
  <si>
    <t>NAKD PROTEIN - Cacao noisette - 45g (16x1p)</t>
  </si>
  <si>
    <t>Nakd</t>
  </si>
  <si>
    <t>45 g</t>
  </si>
  <si>
    <t>REC-734503</t>
  </si>
  <si>
    <t>43g</t>
  </si>
  <si>
    <t>REC-426267</t>
  </si>
  <si>
    <t>By Sainsbury's</t>
  </si>
  <si>
    <t>REC-616790</t>
  </si>
  <si>
    <t>Shortbread Fingers</t>
  </si>
  <si>
    <t>160g</t>
  </si>
  <si>
    <t>REC-519560</t>
  </si>
  <si>
    <t>Chips saveur fromage du Jura</t>
  </si>
  <si>
    <t>Brets</t>
  </si>
  <si>
    <t>REC-876426</t>
  </si>
  <si>
    <t>Top cookies</t>
  </si>
  <si>
    <t>28 g</t>
  </si>
  <si>
    <t>REC-255749</t>
  </si>
  <si>
    <t>cooky original chocolate chips</t>
  </si>
  <si>
    <t>Be</t>
  </si>
  <si>
    <t>REC-335372</t>
  </si>
  <si>
    <t>Fine Milled Oatcakes</t>
  </si>
  <si>
    <t>Nairn's</t>
  </si>
  <si>
    <t>218 g</t>
  </si>
  <si>
    <t>Frankrijk,Verenigd Koninkrijk</t>
  </si>
  <si>
    <t>REC-824167</t>
  </si>
  <si>
    <t>Chips de lentilles saveur tomate mozza</t>
  </si>
  <si>
    <t>REC-892701</t>
  </si>
  <si>
    <t>Fruit &amp; Seed Oatcakes</t>
  </si>
  <si>
    <t>REC-109243</t>
  </si>
  <si>
    <t>Milka oreo</t>
  </si>
  <si>
    <t>Milka Oreo</t>
  </si>
  <si>
    <t>25g</t>
  </si>
  <si>
    <t>REC-222245</t>
  </si>
  <si>
    <t>Chocolate negro</t>
  </si>
  <si>
    <t>Carrefour BIO, Carrefour</t>
  </si>
  <si>
    <t>REC-603051</t>
  </si>
  <si>
    <t>Cocoa Orange</t>
  </si>
  <si>
    <t>35g</t>
  </si>
  <si>
    <t>REC-147698</t>
  </si>
  <si>
    <t>Savane</t>
  </si>
  <si>
    <t>Brossard</t>
  </si>
  <si>
    <t>310 g</t>
  </si>
  <si>
    <t>REC-909087</t>
  </si>
  <si>
    <t>Nutabella</t>
  </si>
  <si>
    <t>null</t>
  </si>
  <si>
    <t>900g</t>
  </si>
  <si>
    <t>REC-659364</t>
  </si>
  <si>
    <t>Absolute black dark chocolate</t>
  </si>
  <si>
    <t>Montezuma's</t>
  </si>
  <si>
    <t>REC-431149</t>
  </si>
  <si>
    <t>eyoo</t>
  </si>
  <si>
    <t>REC-194215</t>
  </si>
  <si>
    <t>Flash Wondermint Gum</t>
  </si>
  <si>
    <t>Flash</t>
  </si>
  <si>
    <t>5 pieces / 12g</t>
  </si>
  <si>
    <t>REC-801190</t>
  </si>
  <si>
    <t>Biscuits Mega Duo imp</t>
  </si>
  <si>
    <t>REC-531273</t>
  </si>
  <si>
    <t>cooky</t>
  </si>
  <si>
    <t>be</t>
  </si>
  <si>
    <t>REC-426965</t>
  </si>
  <si>
    <t>Dark Chocolate Chip Oat Biscuits</t>
  </si>
  <si>
    <t>REC-412341</t>
  </si>
  <si>
    <t>180G LT NOISETTE COTE D OR</t>
  </si>
  <si>
    <t>180g</t>
  </si>
  <si>
    <t>REC-842128</t>
  </si>
  <si>
    <t>TESCO finest</t>
  </si>
  <si>
    <t>REC-513271</t>
  </si>
  <si>
    <t>Merci Finest Selection Assorted Chocolates</t>
  </si>
  <si>
    <t>Storck</t>
  </si>
  <si>
    <t>250unknown</t>
  </si>
  <si>
    <t>Austria,Belgium,Bulgaria,France,Germany,Hungary,Morocco,Netherlands,North Macedonia,Poland,Romania,Sweden,Switzerland,United Kingdom</t>
  </si>
  <si>
    <t>REC-901924</t>
  </si>
  <si>
    <t>LOTUS BISCOFF Speculoos Original - 250g (2x125g)</t>
  </si>
  <si>
    <t>Lotus Bakeries, Lotus</t>
  </si>
  <si>
    <t>REC-738096</t>
  </si>
  <si>
    <t>Noir 70% Intense</t>
  </si>
  <si>
    <t>REC-554502</t>
  </si>
  <si>
    <t>Lidl,Sondey</t>
  </si>
  <si>
    <t>200 g, 4 pochons de 5 biscuits</t>
  </si>
  <si>
    <t>REC-415207</t>
  </si>
  <si>
    <t>Milka wholenut</t>
  </si>
  <si>
    <t>REC-932547</t>
  </si>
  <si>
    <t>nakd peanut butter protein bar</t>
  </si>
  <si>
    <t>3 x 45g</t>
  </si>
  <si>
    <t>REC-225200</t>
  </si>
  <si>
    <t>Fine &amp; Gourmande Noir 70%</t>
  </si>
  <si>
    <t>Fine gourmande,Poulain</t>
  </si>
  <si>
    <t>REC-700756</t>
  </si>
  <si>
    <t>REC-104753</t>
  </si>
  <si>
    <t>Nature Valley Crunchy Oats &amp; Honey</t>
  </si>
  <si>
    <t>REC-563677</t>
  </si>
  <si>
    <t>B'ono Wafer</t>
  </si>
  <si>
    <t>ja</t>
  </si>
  <si>
    <t>REC-215776</t>
  </si>
  <si>
    <t>Cracotte Chocolat</t>
  </si>
  <si>
    <t>REC-528518</t>
  </si>
  <si>
    <t>Tortilla Nachips Original</t>
  </si>
  <si>
    <t>Old El Paso,General Mills</t>
  </si>
  <si>
    <t>REC-636347</t>
  </si>
  <si>
    <t>Tentation aiguebelle</t>
  </si>
  <si>
    <t>REC-411150</t>
  </si>
  <si>
    <t>Nut &amp; fruit mix classic</t>
  </si>
  <si>
    <t>REC-740006</t>
  </si>
  <si>
    <t>Baiocchi nocciola 260g</t>
  </si>
  <si>
    <t>France,Germany,Italy,Spain,Switzerland</t>
  </si>
  <si>
    <t>REC-786767</t>
  </si>
  <si>
    <t>Table Water</t>
  </si>
  <si>
    <t>Carr's</t>
  </si>
  <si>
    <t>REC-546635</t>
  </si>
  <si>
    <t>Biscoff</t>
  </si>
  <si>
    <t>REC-140146</t>
  </si>
  <si>
    <t>REC-594620</t>
  </si>
  <si>
    <t>Cheese &amp; Onion Flavour Potato Crisps</t>
  </si>
  <si>
    <t>Walkers</t>
  </si>
  <si>
    <t>25 g</t>
  </si>
  <si>
    <t>REC-116922</t>
  </si>
  <si>
    <t>Pim's Sinaasappel</t>
  </si>
  <si>
    <t>150 g e  [12 biscuits]</t>
  </si>
  <si>
    <t>REC-307325</t>
  </si>
  <si>
    <t>Dark Chocolate Nuts &amp; Sea Salt Bars</t>
  </si>
  <si>
    <t>KIND</t>
  </si>
  <si>
    <t>3 x 30g = 90g</t>
  </si>
  <si>
    <t>REC-147375</t>
  </si>
  <si>
    <t>Noir intense dessert 70%</t>
  </si>
  <si>
    <t>REC-255248</t>
  </si>
  <si>
    <t>Biscuits Soja Figue</t>
  </si>
  <si>
    <t>REC-477166</t>
  </si>
  <si>
    <t>CREAM CRACKERS</t>
  </si>
  <si>
    <t>REC-984645</t>
  </si>
  <si>
    <t>REC-637099</t>
  </si>
  <si>
    <t>Bastogne</t>
  </si>
  <si>
    <t>LU, Mondelez</t>
  </si>
  <si>
    <t>260 g â„®</t>
  </si>
  <si>
    <t>REC-872243</t>
  </si>
  <si>
    <t>90G FERRERO ROCHER TABLETTE LT</t>
  </si>
  <si>
    <t>Belgium,Bulgaria,France,Germany,Morocco,Romania,United Kingdom,Italy</t>
  </si>
  <si>
    <t>REC-256797</t>
  </si>
  <si>
    <t>Chocolate Bar, snickers</t>
  </si>
  <si>
    <t>SNICKERS, Mars</t>
  </si>
  <si>
    <t>REC-891221</t>
  </si>
  <si>
    <t>Noix de cajou &amp; cranberries</t>
  </si>
  <si>
    <t>REC-668354</t>
  </si>
  <si>
    <t>Chamonix</t>
  </si>
  <si>
    <t>250 g â„®, (20 biscuits x 12,5 g)</t>
  </si>
  <si>
    <t>REC-163360</t>
  </si>
  <si>
    <t>Twix Twin</t>
  </si>
  <si>
    <t>Mars Wrigley</t>
  </si>
  <si>
    <t>REC-817759</t>
  </si>
  <si>
    <t>AFTER EIGHT Coffret 300g</t>
  </si>
  <si>
    <t>REC-919628</t>
  </si>
  <si>
    <t>Cookie Chocolat saveur noisette Sans sucres</t>
  </si>
  <si>
    <t>130 gr</t>
  </si>
  <si>
    <t>REC-828515</t>
  </si>
  <si>
    <t>REC-653547</t>
  </si>
  <si>
    <t>NAPOLITAIN</t>
  </si>
  <si>
    <t>4 grs</t>
  </si>
  <si>
    <t>REC-124019</t>
  </si>
  <si>
    <t>Biscuit chocolat saveur amande</t>
  </si>
  <si>
    <t>REC-234442</t>
  </si>
  <si>
    <t>132g</t>
  </si>
  <si>
    <t>REC-224813</t>
  </si>
  <si>
    <t>132 g, 3 sachets de 4 biscuits</t>
  </si>
  <si>
    <t>REC-886778</t>
  </si>
  <si>
    <t>Ferrero Rocher x 16</t>
  </si>
  <si>
    <t>REC-222243</t>
  </si>
  <si>
    <t>Fakiat Barbeque</t>
  </si>
  <si>
    <t>leader food</t>
  </si>
  <si>
    <t>18g</t>
  </si>
  <si>
    <t>REC-956956</t>
  </si>
  <si>
    <t>Sticks et bretzels d'Alsace</t>
  </si>
  <si>
    <t>Dr. Oetker, ANCEL</t>
  </si>
  <si>
    <t>REC-565596</t>
  </si>
  <si>
    <t>Sea Salt &amp; Balsamic Vinegar Crisps</t>
  </si>
  <si>
    <t>130g</t>
  </si>
  <si>
    <t>REC-468646</t>
  </si>
  <si>
    <t>Excellence Noir Orange Intense</t>
  </si>
  <si>
    <t>Canada,France</t>
  </si>
  <si>
    <t>REC-706461</t>
  </si>
  <si>
    <t>REC-258452</t>
  </si>
  <si>
    <t>pringles hot &amp; spicy</t>
  </si>
  <si>
    <t>pringles</t>
  </si>
  <si>
    <t>REC-391937</t>
  </si>
  <si>
    <t>SEA SALTED</t>
  </si>
  <si>
    <t>Seabrook</t>
  </si>
  <si>
    <t>6 x 25g</t>
  </si>
  <si>
    <t>REC-541786</t>
  </si>
  <si>
    <t>Kinder,Ferrero</t>
  </si>
  <si>
    <t>390g</t>
  </si>
  <si>
    <t>France,Germany,Italy,Morocco</t>
  </si>
  <si>
    <t>REC-705116</t>
  </si>
  <si>
    <t>REC-618179</t>
  </si>
  <si>
    <t>Tartines craquantes au sarrasin</t>
  </si>
  <si>
    <t>REC-805713</t>
  </si>
  <si>
    <t>Hohos</t>
  </si>
  <si>
    <t>REC-787344</t>
  </si>
  <si>
    <t>Lemon Blueberry Oat Boosts</t>
  </si>
  <si>
    <t>4 x 30g</t>
  </si>
  <si>
    <t>REC-452636</t>
  </si>
  <si>
    <t>Merendina</t>
  </si>
  <si>
    <t>REC-388435</t>
  </si>
  <si>
    <t>Oreo original</t>
  </si>
  <si>
    <t>Mondelez</t>
  </si>
  <si>
    <t>REC-410200</t>
  </si>
  <si>
    <t>Malt Loaf</t>
  </si>
  <si>
    <t>Soreen</t>
  </si>
  <si>
    <t>REC-431929</t>
  </si>
  <si>
    <t>kinder chocolate</t>
  </si>
  <si>
    <t>REC-595599</t>
  </si>
  <si>
    <t>Whole Nut Milk Chocolate</t>
  </si>
  <si>
    <t>Bulgaria,France,Germany,Ireland,United Kingdom</t>
  </si>
  <si>
    <t>REC-420462</t>
  </si>
  <si>
    <t>Cuor di Cereale</t>
  </si>
  <si>
    <t>Galletas Gullon</t>
  </si>
  <si>
    <t>REC-276469</t>
  </si>
  <si>
    <t>Milk Chocolate</t>
  </si>
  <si>
    <t>Tony's Chocolonely</t>
  </si>
  <si>
    <t>REC-110488</t>
  </si>
  <si>
    <t>Smoky Barbecue Crunch</t>
  </si>
  <si>
    <t>REC-278242</t>
  </si>
  <si>
    <t>REC-304978</t>
  </si>
  <si>
    <t>Break Chocolate Fingers</t>
  </si>
  <si>
    <t>Break,Tiffany</t>
  </si>
  <si>
    <t>31 g</t>
  </si>
  <si>
    <t>REC-938382</t>
  </si>
  <si>
    <t>Gifflar Cannelle</t>
  </si>
  <si>
    <t>REC-752253</t>
  </si>
  <si>
    <t>Gaufres Miel</t>
  </si>
  <si>
    <t>175 g</t>
  </si>
  <si>
    <t>REC-668825</t>
  </si>
  <si>
    <t>Veg crisps</t>
  </si>
  <si>
    <t>TYRRELL'S</t>
  </si>
  <si>
    <t>125 gr</t>
  </si>
  <si>
    <t>France,Switzerland,UK</t>
  </si>
  <si>
    <t>REC-714142</t>
  </si>
  <si>
    <t>top cookies original</t>
  </si>
  <si>
    <t>32 g</t>
  </si>
  <si>
    <t>REC-155683</t>
  </si>
  <si>
    <t>Tartines craquantes Froment</t>
  </si>
  <si>
    <t>250 gram</t>
  </si>
  <si>
    <t>REC-614633</t>
  </si>
  <si>
    <t>80% cacao noir</t>
  </si>
  <si>
    <t>Carrefour</t>
  </si>
  <si>
    <t>80 g</t>
  </si>
  <si>
    <t>REC-810541</t>
  </si>
  <si>
    <t>Peanut Delight</t>
  </si>
  <si>
    <t>REC-719038</t>
  </si>
  <si>
    <t>Excelo nougat</t>
  </si>
  <si>
    <t>ma</t>
  </si>
  <si>
    <t>REC-891439</t>
  </si>
  <si>
    <t>Kinder Kinderini</t>
  </si>
  <si>
    <t>REC-590398</t>
  </si>
  <si>
    <t>Ferrero Rocher,Ferrero</t>
  </si>
  <si>
    <t>REC-828436</t>
  </si>
  <si>
    <t>Buscalios</t>
  </si>
  <si>
    <t>Risi</t>
  </si>
  <si>
    <t>REC-231742</t>
  </si>
  <si>
    <t>Biscuits Tacos</t>
  </si>
  <si>
    <t>Reda Food</t>
  </si>
  <si>
    <t>REC-505283</t>
  </si>
  <si>
    <t>Dark chocolate 75%</t>
  </si>
  <si>
    <t>REC-405146</t>
  </si>
  <si>
    <t>PEANUTS ROASTED &amp; SALTED</t>
  </si>
  <si>
    <t>REC-419555</t>
  </si>
  <si>
    <t>Roudor</t>
  </si>
  <si>
    <t>REC-885496</t>
  </si>
  <si>
    <t>REC-749206</t>
  </si>
  <si>
    <t>Kitkat</t>
  </si>
  <si>
    <t>36.5g</t>
  </si>
  <si>
    <t>REC-432435</t>
  </si>
  <si>
    <t>Crunchy</t>
  </si>
  <si>
    <t>34g</t>
  </si>
  <si>
    <t>REC-503925</t>
  </si>
  <si>
    <t>Chips recette paysanne nature</t>
  </si>
  <si>
    <t>Lays</t>
  </si>
  <si>
    <t>155 g</t>
  </si>
  <si>
    <t>REC-109081</t>
  </si>
  <si>
    <t>Ready Salted Crisps</t>
  </si>
  <si>
    <t>REC-801714</t>
  </si>
  <si>
    <t>Fine milled oatcakes</t>
  </si>
  <si>
    <t>4 pouches of 8 oatcakes (250 g)</t>
  </si>
  <si>
    <t>REC-789642</t>
  </si>
  <si>
    <t>293 g â„® (15 biscuits)</t>
  </si>
  <si>
    <t>REC-501122</t>
  </si>
  <si>
    <t>Nutella biscuits fergulf</t>
  </si>
  <si>
    <t>Ferrero, Nutella</t>
  </si>
  <si>
    <t>166 g</t>
  </si>
  <si>
    <t>REC-425316</t>
  </si>
  <si>
    <t>Pringles Paprika</t>
  </si>
  <si>
    <t>REC-673861</t>
  </si>
  <si>
    <t>Chocolate For Change Single Origin 85% Cocoa Dark Chocolate</t>
  </si>
  <si>
    <t>Coop</t>
  </si>
  <si>
    <t>REC-923949</t>
  </si>
  <si>
    <t>80% Dark Chocolate</t>
  </si>
  <si>
    <t>Sainsbury's</t>
  </si>
  <si>
    <t>REC-975360</t>
  </si>
  <si>
    <t>Pain au lait bio x12 420g</t>
  </si>
  <si>
    <t>420 g</t>
  </si>
  <si>
    <t>REC-171363</t>
  </si>
  <si>
    <t>REC-610460</t>
  </si>
  <si>
    <t>Protein Salted Caramel Nut</t>
  </si>
  <si>
    <t>REC-403782</t>
  </si>
  <si>
    <t>LU - Grany pommes</t>
  </si>
  <si>
    <t>125 g (x6)</t>
  </si>
  <si>
    <t>REC-777889</t>
  </si>
  <si>
    <t>Pim's - Framboise</t>
  </si>
  <si>
    <t>REC-378766</t>
  </si>
  <si>
    <t>REC-327239</t>
  </si>
  <si>
    <t>France,Spain,Finland</t>
  </si>
  <si>
    <t>REC-326397</t>
  </si>
  <si>
    <t>REC-690278</t>
  </si>
  <si>
    <t>Chocolate negro 85% cacao</t>
  </si>
  <si>
    <t>100.g.</t>
  </si>
  <si>
    <t>REC-102120</t>
  </si>
  <si>
    <t>Bulgaria,Finland,France,Germany,Hungary,Poland,Romania,Slovenia,Spain,Estonia</t>
  </si>
  <si>
    <t>REC-688832</t>
  </si>
  <si>
    <t>Belgium,France,Germany,Netherlands,Poland,Spain,Switzerland</t>
  </si>
  <si>
    <t>REC-291490</t>
  </si>
  <si>
    <t>France,Morocco,Switzerland</t>
  </si>
  <si>
    <t>REC-740623</t>
  </si>
  <si>
    <t>M&amp;M's peanut</t>
  </si>
  <si>
    <t>330 g</t>
  </si>
  <si>
    <t>REC-110119</t>
  </si>
  <si>
    <t>Cake &amp; Chock</t>
  </si>
  <si>
    <t>Milka,MondelÄ“z</t>
  </si>
  <si>
    <t>å¥¥åœ°åˆ©,æ¯”åˆ©æ—¶,çˆ±æ²™å°¼äºš,æ³•å›½,å¾·å›½,æ„å¤§åˆ©,æ‹‰è„«ç¶­äºž,ç«‹é™¶å®›,è·è˜­,æ³¢å…°,è‘¡è„ç‰™,åŒˆç‰™åˆ©</t>
  </si>
  <si>
    <t>REC-247388</t>
  </si>
  <si>
    <t>Oregano Crostini Italian Bread Bites</t>
  </si>
  <si>
    <t>Crosta &amp; Mollica</t>
  </si>
  <si>
    <t>REC-118961</t>
  </si>
  <si>
    <t>Oat Biscuits</t>
  </si>
  <si>
    <t>REC-348747</t>
  </si>
  <si>
    <t>REC-451588</t>
  </si>
  <si>
    <t>Moelleux chocolat noix</t>
  </si>
  <si>
    <t>138 g</t>
  </si>
  <si>
    <t>REC-674481</t>
  </si>
  <si>
    <t>Berry Delight</t>
  </si>
  <si>
    <t>REC-933861</t>
  </si>
  <si>
    <t>Ovomaltine crunchy</t>
  </si>
  <si>
    <t>Ovo maltine</t>
  </si>
  <si>
    <t>REC-985358</t>
  </si>
  <si>
    <t>Chocolat Bio noir 85%</t>
  </si>
  <si>
    <t>REC-447978</t>
  </si>
  <si>
    <t>Crunchy Cereal Bars made with whole grain rolled oats and honey</t>
  </si>
  <si>
    <t>REC-167533</t>
  </si>
  <si>
    <t>Sweeties Mini</t>
  </si>
  <si>
    <t>aiguebelle</t>
  </si>
  <si>
    <t>REC-783284</t>
  </si>
  <si>
    <t>Cookies chocolate Chip</t>
  </si>
  <si>
    <t>Sondey</t>
  </si>
  <si>
    <t>225g</t>
  </si>
  <si>
    <t>REC-895560</t>
  </si>
  <si>
    <t>REC-159182</t>
  </si>
  <si>
    <t>Love, Corn (Sea Salt)</t>
  </si>
  <si>
    <t>115g</t>
  </si>
  <si>
    <t>REC-228067</t>
  </si>
  <si>
    <t>REC-312884</t>
  </si>
  <si>
    <t>Digestive 0%</t>
  </si>
  <si>
    <t>REC-750594</t>
  </si>
  <si>
    <t>REC-417952</t>
  </si>
  <si>
    <t>Genova - Double Creme</t>
  </si>
  <si>
    <t>38g</t>
  </si>
  <si>
    <t>REC-867395</t>
  </si>
  <si>
    <t>Madagascar Dark Chocolate tummasuklaa</t>
  </si>
  <si>
    <t>Preferred Selection</t>
  </si>
  <si>
    <t>Czech Republic,Germany,Ireland</t>
  </si>
  <si>
    <t>REC-597548</t>
  </si>
  <si>
    <t>Mini BN Chocolat</t>
  </si>
  <si>
    <t>175g (5x35g)</t>
  </si>
  <si>
    <t>REC-154012</t>
  </si>
  <si>
    <t>126 g</t>
  </si>
  <si>
    <t>REC-245493</t>
  </si>
  <si>
    <t>4 Baguettes viennoises 340g</t>
  </si>
  <si>
    <t>340 g</t>
  </si>
  <si>
    <t>REC-550722</t>
  </si>
  <si>
    <t>250g (10 x 25g)</t>
  </si>
  <si>
    <t>REC-405850</t>
  </si>
  <si>
    <t>SHORTBREAD FINGERS</t>
  </si>
  <si>
    <t>PATERSON'S</t>
  </si>
  <si>
    <t>20 units, 300gr total</t>
  </si>
  <si>
    <t>REC-191215</t>
  </si>
  <si>
    <t>Ø³ÙŠØ±Ø¬ÙŠÙˆ  ØµØºÙŠØ±Ø©</t>
  </si>
  <si>
    <t>REC-758625</t>
  </si>
  <si>
    <t>cioccolato fondente</t>
  </si>
  <si>
    <t>fin carre</t>
  </si>
  <si>
    <t>Italy</t>
  </si>
  <si>
    <t>REC-633365</t>
  </si>
  <si>
    <t>Chips sel de mer et poivre noir</t>
  </si>
  <si>
    <t>REC-613708</t>
  </si>
  <si>
    <t>205 g</t>
  </si>
  <si>
    <t>REC-793167</t>
  </si>
  <si>
    <t>Corn Thins Original</t>
  </si>
  <si>
    <t>Real Foods</t>
  </si>
  <si>
    <t>Australia,France,New Zealand,United Kingdom</t>
  </si>
  <si>
    <t>REC-914211</t>
  </si>
  <si>
    <t>Marmite Crunch</t>
  </si>
  <si>
    <t>REC-815843</t>
  </si>
  <si>
    <t>Chipotle &amp; lime</t>
  </si>
  <si>
    <t>Manomasa</t>
  </si>
  <si>
    <t>REC-508584</t>
  </si>
  <si>
    <t>HIGH FIBRE CREAM CRACKERS</t>
  </si>
  <si>
    <t>Jacob's, Jacobs</t>
  </si>
  <si>
    <t>REC-236097</t>
  </si>
  <si>
    <t>The Original Cracker</t>
  </si>
  <si>
    <t>Ritz Bakery</t>
  </si>
  <si>
    <t>United Kingdom, United States</t>
  </si>
  <si>
    <t>REC-537240</t>
  </si>
  <si>
    <t>Emco</t>
  </si>
  <si>
    <t>60g</t>
  </si>
  <si>
    <t>France,Morocco,Czech Republic</t>
  </si>
  <si>
    <t>REC-346552</t>
  </si>
  <si>
    <t>Ginger 60% Cocoa Bar</t>
  </si>
  <si>
    <t>REC-787632</t>
  </si>
  <si>
    <t>BARBECUE LENTIL CHIPS</t>
  </si>
  <si>
    <t>PROPER</t>
  </si>
  <si>
    <t>85 gram</t>
  </si>
  <si>
    <t>United Kingdom,Netherlands</t>
  </si>
  <si>
    <t>REC-473925</t>
  </si>
  <si>
    <t>LU - Grany Chocolate 5 Cereals Bar x6, 125g (4.5oz)</t>
  </si>
  <si>
    <t>REC-477514</t>
  </si>
  <si>
    <t>Kinder Riegel Einzelpackung</t>
  </si>
  <si>
    <t>Ferrero group,Kinder</t>
  </si>
  <si>
    <t>Belgium,Bulgaria,France,Germany,Morocco,Poland,Spain,Switzerland</t>
  </si>
  <si>
    <t>REC-105082</t>
  </si>
  <si>
    <t>Melloeux Fruit Rouges</t>
  </si>
  <si>
    <t>REC-528664</t>
  </si>
  <si>
    <t>Just Snax Tortilla Chips</t>
  </si>
  <si>
    <t>Sainsbury's basics</t>
  </si>
  <si>
    <t>REC-887059</t>
  </si>
  <si>
    <t>Hazelnut, Pecan &amp; Maple Oat Bars</t>
  </si>
  <si>
    <t>REC-756881</t>
  </si>
  <si>
    <t>Bonne Maman - Quatre Quarts, 500g (17.6oz)</t>
  </si>
  <si>
    <t>500 g e</t>
  </si>
  <si>
    <t>REC-436222</t>
  </si>
  <si>
    <t>Chips saveur Sel &amp; Vinaigre</t>
  </si>
  <si>
    <t>Croatie,France</t>
  </si>
  <si>
    <t>REC-910883</t>
  </si>
  <si>
    <t>Mignonnette noir de noir</t>
  </si>
  <si>
    <t>Belgium,China,France</t>
  </si>
  <si>
    <t>REC-594096</t>
  </si>
  <si>
    <t>La Paille d'Or aux framboises</t>
  </si>
  <si>
    <t>Lu, Mondelez International</t>
  </si>
  <si>
    <t>REC-953953</t>
  </si>
  <si>
    <t>Choco Wafer</t>
  </si>
  <si>
    <t>REC-162742</t>
  </si>
  <si>
    <t>Musli Oat biscuits (Blueberry)</t>
  </si>
  <si>
    <t>Weigh 60g, 6 pieces inside</t>
  </si>
  <si>
    <t>REC-404794</t>
  </si>
  <si>
    <t>Lightly Salted Potato chips</t>
  </si>
  <si>
    <t>REC-411911</t>
  </si>
  <si>
    <t>Palmito L'original</t>
  </si>
  <si>
    <t>Lu, Mondelez</t>
  </si>
  <si>
    <t>100 g, 2 sachets</t>
  </si>
  <si>
    <t>REC-709714</t>
  </si>
  <si>
    <t>REC-142011</t>
  </si>
  <si>
    <t>Salt and Vinegar Flavour Potato Crisps</t>
  </si>
  <si>
    <t>REC-224018</t>
  </si>
  <si>
    <t>Belvita, Lu, Mondelez</t>
  </si>
  <si>
    <t>REC-450859</t>
  </si>
  <si>
    <t>Chocolat noir Bio 70%</t>
  </si>
  <si>
    <t>REC-899654</t>
  </si>
  <si>
    <t>Chips sea salt &amp; cider vinegar</t>
  </si>
  <si>
    <t>Tyrrels</t>
  </si>
  <si>
    <t>REC-637476</t>
  </si>
  <si>
    <t>Tesco Finest</t>
  </si>
  <si>
    <t>United Kingdom,Czech Republic</t>
  </si>
  <si>
    <t>REC-940651</t>
  </si>
  <si>
    <t>All butter shortbread fingers</t>
  </si>
  <si>
    <t>210g</t>
  </si>
  <si>
    <t>REC-550308</t>
  </si>
  <si>
    <t>REC-164799</t>
  </si>
  <si>
    <t>The Original Speculoos</t>
  </si>
  <si>
    <t>Lotus</t>
  </si>
  <si>
    <t>REC-269908</t>
  </si>
  <si>
    <t>REC-904498</t>
  </si>
  <si>
    <t>Milk Single Origin Chocolate</t>
  </si>
  <si>
    <t>Waitrose</t>
  </si>
  <si>
    <t>REC-633035</t>
  </si>
  <si>
    <t>REC-704624</t>
  </si>
  <si>
    <t>Too GoodFrance</t>
  </si>
  <si>
    <t>Frankrijk</t>
  </si>
  <si>
    <t>REC-117145</t>
  </si>
  <si>
    <t>crackerbread</t>
  </si>
  <si>
    <t>200g - 5g cad</t>
  </si>
  <si>
    <t>REC-526147</t>
  </si>
  <si>
    <t>Chocolate negro 99% cacao</t>
  </si>
  <si>
    <t>HACENDADO</t>
  </si>
  <si>
    <t>REC-528594</t>
  </si>
  <si>
    <t>Carres graines pepites de chocolat</t>
  </si>
  <si>
    <t>Lidl, Sondey</t>
  </si>
  <si>
    <t>REC-559831</t>
  </si>
  <si>
    <t>Sucre Pure Via SpecialPatisserie</t>
  </si>
  <si>
    <t>REC-646271</t>
  </si>
  <si>
    <t>Vico</t>
  </si>
  <si>
    <t>REC-323617</t>
  </si>
  <si>
    <t>REC-330558</t>
  </si>
  <si>
    <t>Kinder Pinguin</t>
  </si>
  <si>
    <t>240g</t>
  </si>
  <si>
    <t>REC-243290</t>
  </si>
  <si>
    <t>REC-884233</t>
  </si>
  <si>
    <t>Crakes choc</t>
  </si>
  <si>
    <t>excelo</t>
  </si>
  <si>
    <t>REC-441343</t>
  </si>
  <si>
    <t>REC-386153</t>
  </si>
  <si>
    <t>Chocolat Tentation Noir Gourmand Amandes</t>
  </si>
  <si>
    <t>REC-561962</t>
  </si>
  <si>
    <t>REC-684507</t>
  </si>
  <si>
    <t>Milk Caramel Sea Salt Chocolate</t>
  </si>
  <si>
    <t>REC-724820</t>
  </si>
  <si>
    <t>Raffaello - Confetteria - Kokos &amp; Mandelcreme</t>
  </si>
  <si>
    <t>REC-449605</t>
  </si>
  <si>
    <t>Chocolate Chip Oat Biscuit Breaks</t>
  </si>
  <si>
    <t>Czech Republic,Portugal,United Kingdom</t>
  </si>
  <si>
    <t>REC-949874</t>
  </si>
  <si>
    <t>Milk Chocolate Nut</t>
  </si>
  <si>
    <t>fin CARRE</t>
  </si>
  <si>
    <t>Bulgaria,France,Germany</t>
  </si>
  <si>
    <t>REC-859685</t>
  </si>
  <si>
    <t>Lindt Excellence Dark Orange Intense</t>
  </si>
  <si>
    <t>à¸›à¸£à¸°à¹€à¸—à¸¨à¸­à¸­à¸ªà¹€à¸•à¸£à¸µà¸¢,à¸›à¸£à¸°à¹€à¸—à¸¨à¹€à¸šà¸¥à¹€à¸¢à¸µà¸¢à¸¡,à¸›à¸£à¸°à¹€à¸—à¸¨à¹‚à¸šà¸¥à¸´à¹€à¸§à¸µà¸¢,à¸ªà¸²à¸˜à¸²à¸£à¸“à¸£à¸±à¸à¹€à¸Šà¹‡à¸,à¸›à¸£à¸°à¹€à¸—à¸¨à¹€à¸”à¸™à¸¡à¸²à¸£à¹Œà¸,à¸›à¸£à¸°à¹€à¸—à¸¨à¹€à¸­à¸ªà¹‚à¸•à¹€à¸™à¸µà¸¢,à¸›à¸£à¸°à¹€à¸—à¸¨à¸à¸£à¸±à¹ˆà¸‡à¹€à¸¨à¸ª,à¸›à¸£à¸°à¹€à¸—à¸¨à¸®à¸±à¸‡à¸à¸²à¸£à¸µ,à¸›à¸£à¸°à¹€à¸—à¸¨à¸­à¸´à¸•à¸²à¸¥à¸µ,à¸›à¸£à¸°à¹€à¸—à¸¨à¹‚à¸¡à¸£à¹‡à¸­à¸à¹‚à¸,à¸›à¸£à¸°à¹€à¸—à¸¨à¹€à¸™à¹€à¸˜à¸­à¸£à¹Œà¹à¸¥à¸™à¸”à¹Œ,à¸›à¸£à¸°à¹€à¸—à¸¨à¹‚à¸›à¹à¸¥à¸™à¸”à¹Œ,à¸›à¸£à¸°à¹€à¸—à¸¨à¸ªà¹€à¸›à¸™,à¸›à¸£à¸°à¹€à¸—à¸¨à¸ªà¸§à¸´à¸•à¹€à¸‹à¸­à¸£à¹Œà¹à¸¥à¸™à¸”à¹Œ,à¸›à¸£à¸°à¹€à¸—à¸¨à¹„à¸—à¸¢ (Thai),à¸ªà¸«à¸£à¸²à¸Šà¸­à¸²à¸“à¸²à¸ˆà¸±à¸à¸£</t>
  </si>
  <si>
    <t>REC-522487</t>
  </si>
  <si>
    <t>Tyrrell's Sweet Chilli &amp; Red Pepper</t>
  </si>
  <si>
    <t>France,Germany,Switzerland,United Kingdom,Netherlands</t>
  </si>
  <si>
    <t>REC-157991</t>
  </si>
  <si>
    <t>680 g</t>
  </si>
  <si>
    <t>REC-441880</t>
  </si>
  <si>
    <t>REC-220764</t>
  </si>
  <si>
    <t>Tortilla chips</t>
  </si>
  <si>
    <t>REC-315928</t>
  </si>
  <si>
    <t>Mints</t>
  </si>
  <si>
    <t>J.D. Gross, Lidl</t>
  </si>
  <si>
    <t>Germany,France,Finland,Spain,Bulgaria,Lithuania,Czech Republic</t>
  </si>
  <si>
    <t>REC-401196</t>
  </si>
  <si>
    <t>Pains au chocolat</t>
  </si>
  <si>
    <t>REC-274859</t>
  </si>
  <si>
    <t>Bret's</t>
  </si>
  <si>
    <t>REC-487510</t>
  </si>
  <si>
    <t>REC-259397</t>
  </si>
  <si>
    <t>Mature Cheddar &amp; Chive</t>
  </si>
  <si>
    <t>Tyrell's</t>
  </si>
  <si>
    <t>REC-289254</t>
  </si>
  <si>
    <t>raw fruit &amp; nut bar</t>
  </si>
  <si>
    <t>REC-758050</t>
  </si>
  <si>
    <t>Oven Baked Sweet Potato Fries</t>
  </si>
  <si>
    <t>Strong Roots</t>
  </si>
  <si>
    <t>REC-830455</t>
  </si>
  <si>
    <t>REC-675513</t>
  </si>
  <si>
    <t>Tosta Rica</t>
  </si>
  <si>
    <t>570 g</t>
  </si>
  <si>
    <t>France,Morocco,Spain</t>
  </si>
  <si>
    <t>REC-894378</t>
  </si>
  <si>
    <t>Crunchy canadian maple syrup</t>
  </si>
  <si>
    <t>210 gram</t>
  </si>
  <si>
    <t>REC-712691</t>
  </si>
  <si>
    <t>Bio crackers</t>
  </si>
  <si>
    <t>Lidl</t>
  </si>
  <si>
    <t>REC-741000</t>
  </si>
  <si>
    <t>McVities Rich Tea Biscuits</t>
  </si>
  <si>
    <t>REC-253952</t>
  </si>
  <si>
    <t>Baiocchi nocciola snack mb</t>
  </si>
  <si>
    <t>Barilla, Mulino Bianco</t>
  </si>
  <si>
    <t>336 g</t>
  </si>
  <si>
    <t>France,Italie</t>
  </si>
  <si>
    <t>REC-905681</t>
  </si>
  <si>
    <t>Snack Day</t>
  </si>
  <si>
    <t>370g</t>
  </si>
  <si>
    <t>REC-560612</t>
  </si>
  <si>
    <t>Intense Dark Chocolate 85% Cocoa Solids</t>
  </si>
  <si>
    <t>REC-377992</t>
  </si>
  <si>
    <t>France,Switzerland</t>
  </si>
  <si>
    <t>REC-766839</t>
  </si>
  <si>
    <t>95g</t>
  </si>
  <si>
    <t>REC-400914</t>
  </si>
  <si>
    <t>Spain</t>
  </si>
  <si>
    <t>REC-952850</t>
  </si>
  <si>
    <t>Chips de Sarrasin au Sel de Guerande</t>
  </si>
  <si>
    <t>120 g e</t>
  </si>
  <si>
    <t>REC-698801</t>
  </si>
  <si>
    <t>BN - Strawberry Cookies, 285g (10oz)</t>
  </si>
  <si>
    <t>REC-555333</t>
  </si>
  <si>
    <t>Baked Sea Salt</t>
  </si>
  <si>
    <t>6 x 22g</t>
  </si>
  <si>
    <t>United Kingdom, Germany</t>
  </si>
  <si>
    <t>REC-692545</t>
  </si>
  <si>
    <t>Salt and Vinegar Flavour Rice and Corn Cakes</t>
  </si>
  <si>
    <t>117g</t>
  </si>
  <si>
    <t>REC-817214</t>
  </si>
  <si>
    <t>Belgium,Brazil,Canada,France,Switzerland</t>
  </si>
  <si>
    <t>REC-786321</t>
  </si>
  <si>
    <t>La Barquette (chocolat)</t>
  </si>
  <si>
    <t>REC-460626</t>
  </si>
  <si>
    <t>REC-224080</t>
  </si>
  <si>
    <t>Scottish Rough Oatcakes</t>
  </si>
  <si>
    <t>Savour Bakes</t>
  </si>
  <si>
    <t>REC-155289</t>
  </si>
  <si>
    <t>itri choco</t>
  </si>
  <si>
    <t>REC-757953</t>
  </si>
  <si>
    <t>REC-115392</t>
  </si>
  <si>
    <t>Pomme de terre nature</t>
  </si>
  <si>
    <t>REC-892352</t>
  </si>
  <si>
    <t>all butter shortbread fingers</t>
  </si>
  <si>
    <t>Tower Gate</t>
  </si>
  <si>
    <t>Czech Republic,France,Germany</t>
  </si>
  <si>
    <t>REC-494805</t>
  </si>
  <si>
    <t>Curly cacahuete</t>
  </si>
  <si>
    <t>Curly, Vico</t>
  </si>
  <si>
    <t>REC-700666</t>
  </si>
  <si>
    <t>M&amp;M's, Mars</t>
  </si>
  <si>
    <t>550 g</t>
  </si>
  <si>
    <t>REC-251272</t>
  </si>
  <si>
    <t>REC-315153</t>
  </si>
  <si>
    <t>Crunchy Avoine &amp; Fruits Rouge 5 x 42 g</t>
  </si>
  <si>
    <t>REC-483324</t>
  </si>
  <si>
    <t>REC-212204</t>
  </si>
  <si>
    <t>Hazelnut Butter Dark Chocolate</t>
  </si>
  <si>
    <t>Hu</t>
  </si>
  <si>
    <t>60 g</t>
  </si>
  <si>
    <t>REC-540997</t>
  </si>
  <si>
    <t>Chips nature</t>
  </si>
  <si>
    <t>Lay's, Lays</t>
  </si>
  <si>
    <t>REC-159098</t>
  </si>
  <si>
    <t>REC-154990</t>
  </si>
  <si>
    <t>Framboise Intense</t>
  </si>
  <si>
    <t>REC-205019</t>
  </si>
  <si>
    <t>Petits coeurs chocolat</t>
  </si>
  <si>
    <t>Kraft Foods, LU, Mondelez</t>
  </si>
  <si>
    <t>REC-448241</t>
  </si>
  <si>
    <t>125 g (2 sachets x 8 biscuits)</t>
  </si>
  <si>
    <t>REC-402691</t>
  </si>
  <si>
    <t>Schokobons</t>
  </si>
  <si>
    <t>REC-501265</t>
  </si>
  <si>
    <t>400 g (2 x 200 g)</t>
  </si>
  <si>
    <t>REC-132229</t>
  </si>
  <si>
    <t>LU, belVita</t>
  </si>
  <si>
    <t>REC-482175</t>
  </si>
  <si>
    <t>REC-693525</t>
  </si>
  <si>
    <t>Walkers Ready Salted Crisps 6pk</t>
  </si>
  <si>
    <t>REC-928352</t>
  </si>
  <si>
    <t>Berry Delight Bars</t>
  </si>
  <si>
    <t>140 g, 4 barres</t>
  </si>
  <si>
    <t>Belgium,Czech Republic,France,Netherlands</t>
  </si>
  <si>
    <t>REC-771515</t>
  </si>
  <si>
    <t>POM-BEAR Potato snacks</t>
  </si>
  <si>
    <t>KP Snacks</t>
  </si>
  <si>
    <t>13g</t>
  </si>
  <si>
    <t>REC-299670</t>
  </si>
  <si>
    <t>Aiguebelle Mini Chocolate</t>
  </si>
  <si>
    <t>REC-503591</t>
  </si>
  <si>
    <t>Organic Sesame Biscuits</t>
  </si>
  <si>
    <t>Biscuiterie De L'Abbaye, Lidl, Sondey</t>
  </si>
  <si>
    <t>REC-183457</t>
  </si>
  <si>
    <t>Excellence Lait Extra Fondant</t>
  </si>
  <si>
    <t>REC-620581</t>
  </si>
  <si>
    <t>185 g</t>
  </si>
  <si>
    <t>REC-734098</t>
  </si>
  <si>
    <t>Kinder Maxi</t>
  </si>
  <si>
    <t>Ferrero, Kinder, Mixte</t>
  </si>
  <si>
    <t>231 g (11x21g)</t>
  </si>
  <si>
    <t>Belgium,France,Germany,Spain</t>
  </si>
  <si>
    <t>REC-241923</t>
  </si>
  <si>
    <t>Lentil Chips - Sea Salt Flavour</t>
  </si>
  <si>
    <t>Eat Real</t>
  </si>
  <si>
    <t>113g</t>
  </si>
  <si>
    <t>REC-885440</t>
  </si>
  <si>
    <t>Vegetable chips</t>
  </si>
  <si>
    <t>Deluxe</t>
  </si>
  <si>
    <t>REC-647623</t>
  </si>
  <si>
    <t>Bono</t>
  </si>
  <si>
    <t>REC-113143</t>
  </si>
  <si>
    <t>Eyoo choc</t>
  </si>
  <si>
    <t>REC-656966</t>
  </si>
  <si>
    <t>Tobigo</t>
  </si>
  <si>
    <t>REC-693147</t>
  </si>
  <si>
    <t>Mon Cherie</t>
  </si>
  <si>
    <t>315g</t>
  </si>
  <si>
    <t>REC-213879</t>
  </si>
  <si>
    <t>Top Original</t>
  </si>
  <si>
    <t>56 g</t>
  </si>
  <si>
    <t>REC-532547</t>
  </si>
  <si>
    <t>REC-273703</t>
  </si>
  <si>
    <t>Belvita,LU,Mondelez</t>
  </si>
  <si>
    <t>600 g e</t>
  </si>
  <si>
    <t>REC-875617</t>
  </si>
  <si>
    <t>The golden experience</t>
  </si>
  <si>
    <t>FERRERO ROCHER</t>
  </si>
  <si>
    <t>REC-945353</t>
  </si>
  <si>
    <t>Ferrero, Nutella B-ready</t>
  </si>
  <si>
    <t>REC-628376</t>
  </si>
  <si>
    <t>Delichoc Milk Chocolate Cookies</t>
  </si>
  <si>
    <t>Delacre y</t>
  </si>
  <si>
    <t>REC-573722</t>
  </si>
  <si>
    <t>Breaksta</t>
  </si>
  <si>
    <t>Tiffany</t>
  </si>
  <si>
    <t>REC-721254</t>
  </si>
  <si>
    <t>Cherry Bakewell Oat Boosts</t>
  </si>
  <si>
    <t>Graze</t>
  </si>
  <si>
    <t>REC-669569</t>
  </si>
  <si>
    <t>300g</t>
  </si>
  <si>
    <t>REC-554210</t>
  </si>
  <si>
    <t>Snickers</t>
  </si>
  <si>
    <t>50 g</t>
  </si>
  <si>
    <t>REC-332005</t>
  </si>
  <si>
    <t>Schoko-Bons</t>
  </si>
  <si>
    <t>REC-661603</t>
  </si>
  <si>
    <t>trapa</t>
  </si>
  <si>
    <t>80g</t>
  </si>
  <si>
    <t>REC-152568</t>
  </si>
  <si>
    <t>Harrys brioche tranchee pepites de chocolat sans additif 485g</t>
  </si>
  <si>
    <t>Harry's</t>
  </si>
  <si>
    <t>REC-283969</t>
  </si>
  <si>
    <t>gerlinea</t>
  </si>
  <si>
    <t>REC-623742</t>
  </si>
  <si>
    <t>L'original noir</t>
  </si>
  <si>
    <t>REC-182020</t>
  </si>
  <si>
    <t>REC-734828</t>
  </si>
  <si>
    <t>Sticks Bretzels d'Alsace L'original</t>
  </si>
  <si>
    <t>Dr. Oetker</t>
  </si>
  <si>
    <t>REC-614213</t>
  </si>
  <si>
    <t>Lightly salted tortilla</t>
  </si>
  <si>
    <t>Frankreich,Deutschland</t>
  </si>
  <si>
    <t>REC-227715</t>
  </si>
  <si>
    <t>Biscuits Abricot Pistache</t>
  </si>
  <si>
    <t>REC-890176</t>
  </si>
  <si>
    <t>British Ribeye Steak</t>
  </si>
  <si>
    <t>REC-350428</t>
  </si>
  <si>
    <t>Protein Peanut Butter Bar</t>
  </si>
  <si>
    <t>N?kd</t>
  </si>
  <si>
    <t>45 gram</t>
  </si>
  <si>
    <t>REC-676463</t>
  </si>
  <si>
    <t>Ugandan dark chocolate</t>
  </si>
  <si>
    <t>Sainsburys,Sainsbury's</t>
  </si>
  <si>
    <t>REC-561676</t>
  </si>
  <si>
    <t>300G DRAGIBUS SOFT HARIBO</t>
  </si>
  <si>
    <t>Haribo</t>
  </si>
  <si>
    <t>REC-618587</t>
  </si>
  <si>
    <t>Dairy Milk</t>
  </si>
  <si>
    <t>Cadbury</t>
  </si>
  <si>
    <t>REC-310475</t>
  </si>
  <si>
    <t>chilli and lime protein nut crunch</t>
  </si>
  <si>
    <t>REC-560155</t>
  </si>
  <si>
    <t>Shortbread All Butter Fingers</t>
  </si>
  <si>
    <t>REC-469529</t>
  </si>
  <si>
    <t>Chips paysannes</t>
  </si>
  <si>
    <t>Lay's</t>
  </si>
  <si>
    <t>France,Germany</t>
  </si>
  <si>
    <t>REC-101717</t>
  </si>
  <si>
    <t>475g</t>
  </si>
  <si>
    <t>REC-828599</t>
  </si>
  <si>
    <t>ETHIQUABLE</t>
  </si>
  <si>
    <t>REC-383499</t>
  </si>
  <si>
    <t>Melts Cheese</t>
  </si>
  <si>
    <t>REC-547341</t>
  </si>
  <si>
    <t>Cheetos Sticks Palitos</t>
  </si>
  <si>
    <t>27g</t>
  </si>
  <si>
    <t>REC-336478</t>
  </si>
  <si>
    <t>Napolitain noir</t>
  </si>
  <si>
    <t>REC-852250</t>
  </si>
  <si>
    <t>REC-934945</t>
  </si>
  <si>
    <t>Belvita</t>
  </si>
  <si>
    <t>REC-416538</t>
  </si>
  <si>
    <t>Le Moelleux</t>
  </si>
  <si>
    <t>REC-105895</t>
  </si>
  <si>
    <t>Mini mix</t>
  </si>
  <si>
    <t>REC-292499</t>
  </si>
  <si>
    <t>216 g</t>
  </si>
  <si>
    <t>REC-791744</t>
  </si>
  <si>
    <t>Gran Cereale classico, Fiocchi d avena, farrone orzo</t>
  </si>
  <si>
    <t>Gran Cereale</t>
  </si>
  <si>
    <t>Italia,Svizzera</t>
  </si>
  <si>
    <t>REC-629664</t>
  </si>
  <si>
    <t>Lightly Salted Potato Chips</t>
  </si>
  <si>
    <t>REC-816334</t>
  </si>
  <si>
    <t>Tartelettes citron</t>
  </si>
  <si>
    <t>125g (9 sachets)</t>
  </si>
  <si>
    <t>REC-582703</t>
  </si>
  <si>
    <t>REC-718810</t>
  </si>
  <si>
    <t>Pringles Hot &amp; Spicy</t>
  </si>
  <si>
    <t>40 g</t>
  </si>
  <si>
    <t>REC-612639</t>
  </si>
  <si>
    <t>Nutella B-ready</t>
  </si>
  <si>
    <t>Ferrero,Nutella b-ready</t>
  </si>
  <si>
    <t>220 g</t>
  </si>
  <si>
    <t>REC-864840</t>
  </si>
  <si>
    <t>REC-368267</t>
  </si>
  <si>
    <t>600 g</t>
  </si>
  <si>
    <t>REC-375286</t>
  </si>
  <si>
    <t>Crackers heudebert</t>
  </si>
  <si>
    <t>Heudebert,LU,Mondelez</t>
  </si>
  <si>
    <t>REC-547576</t>
  </si>
  <si>
    <t>Crunchy Nut Bars with Peanuts &amp; Chocolate</t>
  </si>
  <si>
    <t>Eat Natural</t>
  </si>
  <si>
    <t>REC-498844</t>
  </si>
  <si>
    <t>L'original lait</t>
  </si>
  <si>
    <t>REC-200491</t>
  </si>
  <si>
    <t>Monaco</t>
  </si>
  <si>
    <t>REC-721496</t>
  </si>
  <si>
    <t>Gran Cereale Cioccolato</t>
  </si>
  <si>
    <t>REC-715073</t>
  </si>
  <si>
    <t>330 g (2 x 165 g)</t>
  </si>
  <si>
    <t>REC-985280</t>
  </si>
  <si>
    <t>Raw Fruit &amp; Nut Bars - Salted Caramel</t>
  </si>
  <si>
    <t>4 x 35 g</t>
  </si>
  <si>
    <t>REC-252231</t>
  </si>
  <si>
    <t>Madagascan Dark Chocolate</t>
  </si>
  <si>
    <t>Extra Special, Asda Extra Special</t>
  </si>
  <si>
    <t>REC-137791</t>
  </si>
  <si>
    <t>4 x 40 g</t>
  </si>
  <si>
    <t>REC-526840</t>
  </si>
  <si>
    <t>10 Pains au lait au levain</t>
  </si>
  <si>
    <t>350 g (x10)</t>
  </si>
  <si>
    <t>REC-402960</t>
  </si>
  <si>
    <t>Cream Crackers Original</t>
  </si>
  <si>
    <t>Jacob's</t>
  </si>
  <si>
    <t>REC-420573</t>
  </si>
  <si>
    <t>Proper Corn Sea Salted Popcorn</t>
  </si>
  <si>
    <t>70 gram</t>
  </si>
  <si>
    <t>REC-268750</t>
  </si>
  <si>
    <t>Peanut Butter Oat Bar</t>
  </si>
  <si>
    <t>Deliciously Ella</t>
  </si>
  <si>
    <t>REC-260601</t>
  </si>
  <si>
    <t>Black Forest cherry dark chocolate</t>
  </si>
  <si>
    <t>REC-835443</t>
  </si>
  <si>
    <t>Doritos</t>
  </si>
  <si>
    <t>REC-517074</t>
  </si>
  <si>
    <t>Bretzels d'Alsace maxi</t>
  </si>
  <si>
    <t>Dr. Oetker, Ancel</t>
  </si>
  <si>
    <t>REC-858821</t>
  </si>
  <si>
    <t>Yoyos Strawberry Multipack 5 x</t>
  </si>
  <si>
    <t>BEAR</t>
  </si>
  <si>
    <t>5x20g</t>
  </si>
  <si>
    <t>REC-146852</t>
  </si>
  <si>
    <t>Capri Vanille</t>
  </si>
  <si>
    <t>REC-798014</t>
  </si>
  <si>
    <t>Canada,France,Switzerland</t>
  </si>
  <si>
    <t>REC-448688</t>
  </si>
  <si>
    <t>Chocup milky</t>
  </si>
  <si>
    <t>REC-209315</t>
  </si>
  <si>
    <t>LINDT EXCELLENCE 100% COCOA</t>
  </si>
  <si>
    <t>REC-559704</t>
  </si>
  <si>
    <t>Salt &amp; Vinegar Lentil Chips</t>
  </si>
  <si>
    <t>REC-953626</t>
  </si>
  <si>
    <t>REC-248915</t>
  </si>
  <si>
    <t>Fettuccine Alfrado</t>
  </si>
  <si>
    <t>Trader Giotto's</t>
  </si>
  <si>
    <t>France,United Kingdom,United States</t>
  </si>
  <si>
    <t>REC-454710</t>
  </si>
  <si>
    <t>Petit nesquik</t>
  </si>
  <si>
    <t>6  x 60 g</t>
  </si>
  <si>
    <t>REC-123934</t>
  </si>
  <si>
    <t>REC-538199</t>
  </si>
  <si>
    <t>REC-896748</t>
  </si>
  <si>
    <t>315 g</t>
  </si>
  <si>
    <t>REC-801387</t>
  </si>
  <si>
    <t>L'Original noir</t>
  </si>
  <si>
    <t>300 g (3 * 100 g e)</t>
  </si>
  <si>
    <t>REC-157258</t>
  </si>
  <si>
    <t>Apple &amp; Raisin Oat Bar</t>
  </si>
  <si>
    <t>REC-210063</t>
  </si>
  <si>
    <t>Prince petit dej</t>
  </si>
  <si>
    <t>REC-437082</t>
  </si>
  <si>
    <t>200ml</t>
  </si>
  <si>
    <t>REC-841779</t>
  </si>
  <si>
    <t>Special K High Protein</t>
  </si>
  <si>
    <t>112g</t>
  </si>
  <si>
    <t>REC-441261</t>
  </si>
  <si>
    <t>Pringles CaÈ™caval</t>
  </si>
  <si>
    <t>REC-873432</t>
  </si>
  <si>
    <t>Bournville Dark Chocolate bar</t>
  </si>
  <si>
    <t>REC-113841</t>
  </si>
  <si>
    <t>Sweet Chilli Rice Crackers</t>
  </si>
  <si>
    <t>the Snack organisation</t>
  </si>
  <si>
    <t>REC-364828</t>
  </si>
  <si>
    <t>Chocolate Orange Milk</t>
  </si>
  <si>
    <t>Terry's</t>
  </si>
  <si>
    <t>REC-530966</t>
  </si>
  <si>
    <t>320 g</t>
  </si>
  <si>
    <t>REC-545232</t>
  </si>
  <si>
    <t>McVitie's Rich Tea The Light One (Delights)</t>
  </si>
  <si>
    <t>REC-790841</t>
  </si>
  <si>
    <t>REC-995899</t>
  </si>
  <si>
    <t>REC-764286</t>
  </si>
  <si>
    <t>Galettes Bretonnes Pur Beurre</t>
  </si>
  <si>
    <t>250 g (2 * 125 g)</t>
  </si>
  <si>
    <t>REC-135793</t>
  </si>
  <si>
    <t>Sticks et Bretzels d'Alsace</t>
  </si>
  <si>
    <t>Dr. Oetker,Ancel</t>
  </si>
  <si>
    <t>137 g</t>
  </si>
  <si>
    <t>REC-455654</t>
  </si>
  <si>
    <t>Lindt Excellence Milk Chocolate 100g</t>
  </si>
  <si>
    <t>REC-915893</t>
  </si>
  <si>
    <t>196g</t>
  </si>
  <si>
    <t>REC-279494</t>
  </si>
  <si>
    <t>Madeleines moelleuses nature x 24 sachets de 25 g</t>
  </si>
  <si>
    <t>REC-906408</t>
  </si>
  <si>
    <t>230G VICHY MENTHE</t>
  </si>
  <si>
    <t>Vichy</t>
  </si>
  <si>
    <t>REC-717570</t>
  </si>
  <si>
    <t>La Grande Galette 1905</t>
  </si>
  <si>
    <t>150 g, 3 sachets de 3 galettes</t>
  </si>
  <si>
    <t>REC-605981</t>
  </si>
  <si>
    <t>Grany moelleux, fruit des bois</t>
  </si>
  <si>
    <t>192 g â„®, 6 biscuits en sachet individuel</t>
  </si>
  <si>
    <t>REC-965000</t>
  </si>
  <si>
    <t>Baked Pretzels Original Sea Salted</t>
  </si>
  <si>
    <t>Penn State</t>
  </si>
  <si>
    <t>France,United Kingdom,Netherlands</t>
  </si>
  <si>
    <t>REC-289005</t>
  </si>
  <si>
    <t>Pom-Bear Original 6pk</t>
  </si>
  <si>
    <t>Pom-Bear</t>
  </si>
  <si>
    <t>6X13g</t>
  </si>
  <si>
    <t>REC-158100</t>
  </si>
  <si>
    <t>Chips saveur Pesto Mozzarella</t>
  </si>
  <si>
    <t>REC-751061</t>
  </si>
  <si>
    <t>REC-371565</t>
  </si>
  <si>
    <t>LU, Pelletier</t>
  </si>
  <si>
    <t>REC-315652</t>
  </si>
  <si>
    <t>Bounty 2x</t>
  </si>
  <si>
    <t>Mars</t>
  </si>
  <si>
    <t>2 x 28,5 g</t>
  </si>
  <si>
    <t>REC-824782</t>
  </si>
  <si>
    <t>Bear Pure Fruit Yoyos Strawberry 20G</t>
  </si>
  <si>
    <t>Bear</t>
  </si>
  <si>
    <t>REC-116038</t>
  </si>
  <si>
    <t>Walkers Supreme Prawn Cocktail</t>
  </si>
  <si>
    <t>REC-797759</t>
  </si>
  <si>
    <t>Oreo Double Creme</t>
  </si>
  <si>
    <t>Mondelez,Oreo</t>
  </si>
  <si>
    <t>157g</t>
  </si>
  <si>
    <t>REC-475248</t>
  </si>
  <si>
    <t>Trancetto Cacao</t>
  </si>
  <si>
    <t>Balconi</t>
  </si>
  <si>
    <t>REC-807924</t>
  </si>
  <si>
    <t>REC-110224</t>
  </si>
  <si>
    <t>REC-189159</t>
  </si>
  <si>
    <t>RASPBERRY WHOLEGRAIN OAT BARS</t>
  </si>
  <si>
    <t>stoats</t>
  </si>
  <si>
    <t>4 x 42 g</t>
  </si>
  <si>
    <t>REC-236609</t>
  </si>
  <si>
    <t>Noir 70 %</t>
  </si>
  <si>
    <t>Biocoop</t>
  </si>
  <si>
    <t>REC-120920</t>
  </si>
  <si>
    <t>Knusper Schnitte</t>
  </si>
  <si>
    <t>10 x 25 g</t>
  </si>
  <si>
    <t>Ð¤Ñ€Ð°Ð½Ñ†Ð¸Ñ,Ð“ÐµÑ€Ð¼Ð°Ð½Ð¸Ñ,Ð¨Ð²ÐµÑ†Ð¸Ñ,Ð‘ÑŠÐ»Ð³Ð°Ñ€Ð¸Ñ</t>
  </si>
  <si>
    <t>REC-342844</t>
  </si>
  <si>
    <t>Biscuit chocolat noir</t>
  </si>
  <si>
    <t>REC-846346</t>
  </si>
  <si>
    <t>REC-249351</t>
  </si>
  <si>
    <t>REC-599185</t>
  </si>
  <si>
    <t>Gran Cereale Frutta</t>
  </si>
  <si>
    <t>250 gr.</t>
  </si>
  <si>
    <t>REC-302139</t>
  </si>
  <si>
    <t>Chamallow</t>
  </si>
  <si>
    <t>REC-430647</t>
  </si>
  <si>
    <t>Shortbread fingers</t>
  </si>
  <si>
    <t>Belmont Biscuits</t>
  </si>
  <si>
    <t>REC-533938</t>
  </si>
  <si>
    <t>Briochettes</t>
  </si>
  <si>
    <t>480 g</t>
  </si>
  <si>
    <t>REC-859930</t>
  </si>
  <si>
    <t>Asda</t>
  </si>
  <si>
    <t>REC-938747</t>
  </si>
  <si>
    <t>Carlotti</t>
  </si>
  <si>
    <t>REC-570792</t>
  </si>
  <si>
    <t>Peanuts roasted &amp; salted</t>
  </si>
  <si>
    <t>REC-936955</t>
  </si>
  <si>
    <t>Cigar</t>
  </si>
  <si>
    <t>REC-196794</t>
  </si>
  <si>
    <t>Leibniz Butterkeks</t>
  </si>
  <si>
    <t>Bahlsen,Leibniz</t>
  </si>
  <si>
    <t>120g</t>
  </si>
  <si>
    <t>Germany,Italy,Morocco</t>
  </si>
  <si>
    <t>REC-749902</t>
  </si>
  <si>
    <t>Sensations Thai Sweet Chilli Crisps</t>
  </si>
  <si>
    <t>REC-695435</t>
  </si>
  <si>
    <t>Cracotte fibres</t>
  </si>
  <si>
    <t>REC-761163</t>
  </si>
  <si>
    <t>Cuor di cereale cioccolato</t>
  </si>
  <si>
    <t>280g</t>
  </si>
  <si>
    <t>REC-425614</t>
  </si>
  <si>
    <t>265 g</t>
  </si>
  <si>
    <t>REC-160620</t>
  </si>
  <si>
    <t>Corn Smoked BBQ Crunchy Corn</t>
  </si>
  <si>
    <t>Love Corn</t>
  </si>
  <si>
    <t>Spain,United Kingdom</t>
  </si>
  <si>
    <t>REC-671417</t>
  </si>
  <si>
    <t>Brunch bar choc chip</t>
  </si>
  <si>
    <t>5 Bars</t>
  </si>
  <si>
    <t>REC-873391</t>
  </si>
  <si>
    <t>Chips paysanne nature</t>
  </si>
  <si>
    <t>REC-982031</t>
  </si>
  <si>
    <t>All Butter Scottish Shortbread Fingers</t>
  </si>
  <si>
    <t>REC-113541</t>
  </si>
  <si>
    <t>Taboule oriental 300g</t>
  </si>
  <si>
    <t>Bonduelle</t>
  </si>
  <si>
    <t>REC-842371</t>
  </si>
  <si>
    <t>REC-181325</t>
  </si>
  <si>
    <t>630 g e</t>
  </si>
  <si>
    <t>REC-992067</t>
  </si>
  <si>
    <t>Intersnack,Monster Munch,Vico</t>
  </si>
  <si>
    <t>REC-985552</t>
  </si>
  <si>
    <t>La Vicoise saveur sel de mer</t>
  </si>
  <si>
    <t>REC-232590</t>
  </si>
  <si>
    <t>Protein bar peanut and chocolate</t>
  </si>
  <si>
    <t>REC-983019</t>
  </si>
  <si>
    <t>Black Peppercorn Bolli Italian Crackers</t>
  </si>
  <si>
    <t>REC-848021</t>
  </si>
  <si>
    <t>Malt Lunchbox Loaves</t>
  </si>
  <si>
    <t>REC-244388</t>
  </si>
  <si>
    <t>Mini delice amandes</t>
  </si>
  <si>
    <t>REC-234590</t>
  </si>
  <si>
    <t>nutella</t>
  </si>
  <si>
    <t>41.4 g</t>
  </si>
  <si>
    <t>REC-736476</t>
  </si>
  <si>
    <t>Granola l'original</t>
  </si>
  <si>
    <t>REC-375103</t>
  </si>
  <si>
    <t>Belvita, LU</t>
  </si>
  <si>
    <t>REC-978721</t>
  </si>
  <si>
    <t>Delacre</t>
  </si>
  <si>
    <t>REC-857909</t>
  </si>
  <si>
    <t>Dunkle Voll-Nuss</t>
  </si>
  <si>
    <t>RITTER SPORT</t>
  </si>
  <si>
    <t>REC-428280</t>
  </si>
  <si>
    <t>CRUNCHY SAVOURY WHOLEWHEAT STICKS</t>
  </si>
  <si>
    <t>REC-873211</t>
  </si>
  <si>
    <t>Sweet Chilli flavour wholegrain snack</t>
  </si>
  <si>
    <t>REC-177177</t>
  </si>
  <si>
    <t>Sea salted potato crisps</t>
  </si>
  <si>
    <t>REC-797863</t>
  </si>
  <si>
    <t>Wafers Bfb Hazelnut</t>
  </si>
  <si>
    <t>REC-915342</t>
  </si>
  <si>
    <t>Molinetti</t>
  </si>
  <si>
    <t>Barilla,Mulino Bianco</t>
  </si>
  <si>
    <t>REC-491921</t>
  </si>
  <si>
    <t>REC-352974</t>
  </si>
  <si>
    <t>Salted Microwave Popcorn</t>
  </si>
  <si>
    <t>REC-290242</t>
  </si>
  <si>
    <t>Dark Milk Chocolate</t>
  </si>
  <si>
    <t>M&amp;S Collection</t>
  </si>
  <si>
    <t>Hong Kong</t>
  </si>
  <si>
    <t>REC-776142</t>
  </si>
  <si>
    <t>Petites Madeleines  -30% de sucres</t>
  </si>
  <si>
    <t>REC-237622</t>
  </si>
  <si>
    <t>Mars, Mars Wrigley</t>
  </si>
  <si>
    <t>51 g</t>
  </si>
  <si>
    <t>REC-603374</t>
  </si>
  <si>
    <t>REC-405563</t>
  </si>
  <si>
    <t>Snack a jacks mini</t>
  </si>
  <si>
    <t>Snackajacks</t>
  </si>
  <si>
    <t>19 g</t>
  </si>
  <si>
    <t>REC-805265</t>
  </si>
  <si>
    <t>Mikado Chocolat au lait</t>
  </si>
  <si>
    <t>REC-725940</t>
  </si>
  <si>
    <t>REC-112319</t>
  </si>
  <si>
    <t>REC-479833</t>
  </si>
  <si>
    <t>REC-863427</t>
  </si>
  <si>
    <t>Pringles original</t>
  </si>
  <si>
    <t>195 g</t>
  </si>
  <si>
    <t>REC-172842</t>
  </si>
  <si>
    <t>Savane chocolat</t>
  </si>
  <si>
    <t>REC-643647</t>
  </si>
  <si>
    <t>Kafferep</t>
  </si>
  <si>
    <t>IKEA</t>
  </si>
  <si>
    <t>600g</t>
  </si>
  <si>
    <t>France,Germany,Italy</t>
  </si>
  <si>
    <t>REC-272358</t>
  </si>
  <si>
    <t>Sea Salt &amp; Crushed Black Peppercorns</t>
  </si>
  <si>
    <t>Kettle Chips</t>
  </si>
  <si>
    <t>REC-352735</t>
  </si>
  <si>
    <t>Mars Incorporated</t>
  </si>
  <si>
    <t>50unknown</t>
  </si>
  <si>
    <t>REC-781612</t>
  </si>
  <si>
    <t>France,Germany,Italy,Poland,Spain</t>
  </si>
  <si>
    <t>REC-977968</t>
  </si>
  <si>
    <t>TOO GOOD</t>
  </si>
  <si>
    <t>85g</t>
  </si>
  <si>
    <t>REC-174568</t>
  </si>
  <si>
    <t>Le Ster</t>
  </si>
  <si>
    <t>REC-346543</t>
  </si>
  <si>
    <t>LOTUS DINOSAURUS Original Chocolat 225g (4x3p)</t>
  </si>
  <si>
    <t>REC-411714</t>
  </si>
  <si>
    <t>Galletas Chocolate Rebuenas</t>
  </si>
  <si>
    <t>Morocco,Spain</t>
  </si>
  <si>
    <t>REC-373915</t>
  </si>
  <si>
    <t>Tagada</t>
  </si>
  <si>
    <t>REC-247713</t>
  </si>
  <si>
    <t>PAIN AU LAIT BIO PASQUIER</t>
  </si>
  <si>
    <t>Brioche Pasquier</t>
  </si>
  <si>
    <t>4 pcs</t>
  </si>
  <si>
    <t>REC-127715</t>
  </si>
  <si>
    <t>50G RICOLA CITRON MELISSE</t>
  </si>
  <si>
    <t>Ricola</t>
  </si>
  <si>
    <t>REC-263705</t>
  </si>
  <si>
    <t>Wasa tartine croustillante sensation aux graines de chia &amp; touche de sel 245g</t>
  </si>
  <si>
    <t>245 g</t>
  </si>
  <si>
    <t>France,Sweden</t>
  </si>
  <si>
    <t>REC-723202</t>
  </si>
  <si>
    <t>BREAKSTA Tiffany</t>
  </si>
  <si>
    <t>wafer sandwich</t>
  </si>
  <si>
    <t>26g</t>
  </si>
  <si>
    <t>REC-647565</t>
  </si>
  <si>
    <t>REC-999068</t>
  </si>
  <si>
    <t>REC-826172</t>
  </si>
  <si>
    <t>Original Salted Peanuts</t>
  </si>
  <si>
    <t>KP</t>
  </si>
  <si>
    <t>415 g</t>
  </si>
  <si>
    <t>REC-196679</t>
  </si>
  <si>
    <t>Frusli Juicy Blueberries Chewy Cereal Bars 6 x (180g)</t>
  </si>
  <si>
    <t>Jordans</t>
  </si>
  <si>
    <t>30 g</t>
  </si>
  <si>
    <t>REC-952086</t>
  </si>
  <si>
    <t>REC-179116</t>
  </si>
  <si>
    <t>Cacao &amp; Almond Oat Bars</t>
  </si>
  <si>
    <t>REC-361666</t>
  </si>
  <si>
    <t>L'extra craquante nature</t>
  </si>
  <si>
    <t>REC-799310</t>
  </si>
  <si>
    <t>Cashew Butter + Pure Vanilla Bean Dark Chocolate</t>
  </si>
  <si>
    <t>REC-404436</t>
  </si>
  <si>
    <t>REC-573234</t>
  </si>
  <si>
    <t>Doritos cheese</t>
  </si>
  <si>
    <t>Doritos,PepsiCo</t>
  </si>
  <si>
    <t>REC-737038</t>
  </si>
  <si>
    <t>REC-383318</t>
  </si>
  <si>
    <t>the ORIGINAL CRACKER</t>
  </si>
  <si>
    <t>RITZ</t>
  </si>
  <si>
    <t>REC-630468</t>
  </si>
  <si>
    <t>Rough Oatcakes</t>
  </si>
  <si>
    <t>Sainsbury's, By sainsbury's</t>
  </si>
  <si>
    <t>REC-850125</t>
  </si>
  <si>
    <t>Muesli Bars Chocolate</t>
  </si>
  <si>
    <t>Crownfield</t>
  </si>
  <si>
    <t>8x25 gram</t>
  </si>
  <si>
    <t>REC-619056</t>
  </si>
  <si>
    <t>Dunkle Ganze Mandel</t>
  </si>
  <si>
    <t>REC-630599</t>
  </si>
  <si>
    <t>REC-766752</t>
  </si>
  <si>
    <t>Galettes Pur Beurre</t>
  </si>
  <si>
    <t>REC-768004</t>
  </si>
  <si>
    <t>Le Palet pur beurre</t>
  </si>
  <si>
    <t>REC-579857</t>
  </si>
  <si>
    <t>REC-271727</t>
  </si>
  <si>
    <t>Muesli CroustillantNoix</t>
  </si>
  <si>
    <t>Auchan</t>
  </si>
  <si>
    <t>0.45 kg</t>
  </si>
  <si>
    <t>France,Spain, Monde</t>
  </si>
  <si>
    <t>REC-684920</t>
  </si>
  <si>
    <t>Celebrations</t>
  </si>
  <si>
    <t>MARS</t>
  </si>
  <si>
    <t>REC-324087</t>
  </si>
  <si>
    <t>Tunnock's  Caramel Wafer Biscuits imp</t>
  </si>
  <si>
    <t>Thomas Tunnock LTD</t>
  </si>
  <si>
    <t>8 x 30g</t>
  </si>
  <si>
    <t>Australia,United Kingdom</t>
  </si>
  <si>
    <t>REC-687235</t>
  </si>
  <si>
    <t>Wafers Cocoa</t>
  </si>
  <si>
    <t>REC-161215</t>
  </si>
  <si>
    <t>Protein Bar Cookie &amp; Cream Flavour</t>
  </si>
  <si>
    <t>Ironmaxx Nutrition GmbH &amp; Co.</t>
  </si>
  <si>
    <t>France,Germany,Bulgaria</t>
  </si>
  <si>
    <t>REC-773229</t>
  </si>
  <si>
    <t>Gourmet Sea Salt Savoury crackers</t>
  </si>
  <si>
    <t>Aldi</t>
  </si>
  <si>
    <t>Ireland,United Kingdom</t>
  </si>
  <si>
    <t>REC-126095</t>
  </si>
  <si>
    <t>Love Corn Salt &amp; Vinegat</t>
  </si>
  <si>
    <t>REC-266437</t>
  </si>
  <si>
    <t>Cream crackers</t>
  </si>
  <si>
    <t>By sainsbury's</t>
  </si>
  <si>
    <t>REC-243011</t>
  </si>
  <si>
    <t>Blueberry &amp; Honey Porridge Oat Bars</t>
  </si>
  <si>
    <t>Stoats</t>
  </si>
  <si>
    <t>REC-539546</t>
  </si>
  <si>
    <t>Biscuit filled with hazelnut spread with cocoa</t>
  </si>
  <si>
    <t>193.2g</t>
  </si>
  <si>
    <t>ä¿åŠ åˆ©äºš,å¾·å›½,é©¬æ¥è¥¿äºš,æ‘©æ´›å“¥,æ³¢å…°,ç¾…é¦¬å°¼äºž,ç‘žå£«,åŒˆç‰™åˆ©</t>
  </si>
  <si>
    <t>REC-873872</t>
  </si>
  <si>
    <t>Chipster</t>
  </si>
  <si>
    <t>Belin, Mondelez</t>
  </si>
  <si>
    <t>75 g</t>
  </si>
  <si>
    <t>REC-825570</t>
  </si>
  <si>
    <t>hula hoops original</t>
  </si>
  <si>
    <t>6X24g</t>
  </si>
  <si>
    <t>REC-543821</t>
  </si>
  <si>
    <t>Ritz Crackers Original 200 g</t>
  </si>
  <si>
    <t>REC-608252</t>
  </si>
  <si>
    <t>Berry Delight Fruit &amp; Nut Bar</t>
  </si>
  <si>
    <t>REC-437414</t>
  </si>
  <si>
    <t>Chocolat Noir 72%, Collection Pure</t>
  </si>
  <si>
    <t>Villars</t>
  </si>
  <si>
    <t>REC-348410</t>
  </si>
  <si>
    <t>NESTLE DESSERT Lait</t>
  </si>
  <si>
    <t>REC-294915</t>
  </si>
  <si>
    <t>REC-848362</t>
  </si>
  <si>
    <t>Nature valley crunchy</t>
  </si>
  <si>
    <t>10 Barres</t>
  </si>
  <si>
    <t>REC-932657</t>
  </si>
  <si>
    <t>Gullon Cuordi Cereale Tradizionale, Alto Contenuto Di Fibra</t>
  </si>
  <si>
    <t>Gullon</t>
  </si>
  <si>
    <t>REC-478427</t>
  </si>
  <si>
    <t>Proper corn sea salt</t>
  </si>
  <si>
    <t>6 x 10g</t>
  </si>
  <si>
    <t>REC-397645</t>
  </si>
  <si>
    <t>REC-982782</t>
  </si>
  <si>
    <t>Crunchy Variety</t>
  </si>
  <si>
    <t>General Mills, Nature Valley</t>
  </si>
  <si>
    <t>42 gram</t>
  </si>
  <si>
    <t>REC-298198</t>
  </si>
  <si>
    <t>Single Estate Venezuelan Dark clChocolate</t>
  </si>
  <si>
    <t>Sainsbury's taste the difference</t>
  </si>
  <si>
    <t>REC-999488</t>
  </si>
  <si>
    <t>Ø¨Ø±ÙŠÙƒ</t>
  </si>
  <si>
    <t>REC-567142</t>
  </si>
  <si>
    <t>Mint Intense Dark Chocolate</t>
  </si>
  <si>
    <t>REC-748415</t>
  </si>
  <si>
    <t>Kinder DUO</t>
  </si>
  <si>
    <t>Frankreich,Deutschland,Marokko</t>
  </si>
  <si>
    <t>REC-212845</t>
  </si>
  <si>
    <t>Joyfuel Chocolat au Lait &amp; Cookie Dough</t>
  </si>
  <si>
    <t>Joyfuel</t>
  </si>
  <si>
    <t>55g</t>
  </si>
  <si>
    <t>REC-995013</t>
  </si>
  <si>
    <t>REC-240403</t>
  </si>
  <si>
    <t>Milka chocolate Hazelnuts</t>
  </si>
  <si>
    <t>REC-843539</t>
  </si>
  <si>
    <t>Ovomaltine barres</t>
  </si>
  <si>
    <t>Ovomaltine</t>
  </si>
  <si>
    <t>Belgium,France,Luxembourg,Switzerland</t>
  </si>
  <si>
    <t>REC-732172</t>
  </si>
  <si>
    <t>294g</t>
  </si>
  <si>
    <t>REC-389392</t>
  </si>
  <si>
    <t>Digestive fibra 23%</t>
  </si>
  <si>
    <t>400g.</t>
  </si>
  <si>
    <t>REC-318511</t>
  </si>
  <si>
    <t>800 g</t>
  </si>
  <si>
    <t>REC-188620</t>
  </si>
  <si>
    <t>Chocolate negro 85%</t>
  </si>
  <si>
    <t>REC-392757</t>
  </si>
  <si>
    <t>Frischei-Waffeln</t>
  </si>
  <si>
    <t>Confiserie Firenze, Kuchenzauber Lidl, Kuchenzauber</t>
  </si>
  <si>
    <t>REC-511680</t>
  </si>
  <si>
    <t>Cadbury DAIRY MILK Cadbury DAIRY MILK THE CLASSIC</t>
  </si>
  <si>
    <t>Suchard</t>
  </si>
  <si>
    <t>REC-351418</t>
  </si>
  <si>
    <t>Breaktime</t>
  </si>
  <si>
    <t>REC-930683</t>
  </si>
  <si>
    <t>Barbeque</t>
  </si>
  <si>
    <t>REC-383420</t>
  </si>
  <si>
    <t>Bahlsen</t>
  </si>
  <si>
    <t>REC-252402</t>
  </si>
  <si>
    <t>REC-959878</t>
  </si>
  <si>
    <t>Oats 'N Honey Granola Bars</t>
  </si>
  <si>
    <t>1.49oz (42 g)</t>
  </si>
  <si>
    <t>France,United States</t>
  </si>
  <si>
    <t>REC-320838</t>
  </si>
  <si>
    <t>Biscuit saveur vanille citron</t>
  </si>
  <si>
    <t>156g</t>
  </si>
  <si>
    <t>REC-114796</t>
  </si>
  <si>
    <t>Ivoria</t>
  </si>
  <si>
    <t>REC-620781</t>
  </si>
  <si>
    <t>pain des fleurs sarrasin</t>
  </si>
  <si>
    <t>Le pain des fleurs</t>
  </si>
  <si>
    <t>REC-758527</t>
  </si>
  <si>
    <t>Chocolat noir 85% cacao</t>
  </si>
  <si>
    <t>REC-785583</t>
  </si>
  <si>
    <t>10 x 21g</t>
  </si>
  <si>
    <t>REC-675659</t>
  </si>
  <si>
    <t>Lightbody</t>
  </si>
  <si>
    <t>REC-513061</t>
  </si>
  <si>
    <t>lindt</t>
  </si>
  <si>
    <t>REC-578421</t>
  </si>
  <si>
    <t>Green &amp; Blacks Smooth Mint</t>
  </si>
  <si>
    <t>Green &amp; Blacks</t>
  </si>
  <si>
    <t>REC-461910</t>
  </si>
  <si>
    <t>Manchego &amp; Green Olive</t>
  </si>
  <si>
    <t>140g</t>
  </si>
  <si>
    <t>REC-418209</t>
  </si>
  <si>
    <t>Butternut squash, tomato &amp; basil Falafel</t>
  </si>
  <si>
    <t>REC-868358</t>
  </si>
  <si>
    <t>REC-567194</t>
  </si>
  <si>
    <t>Lulu La Barquette Fraise</t>
  </si>
  <si>
    <t>REC-989169</t>
  </si>
  <si>
    <t>REC-895504</t>
  </si>
  <si>
    <t>280G HARIBO CROCO</t>
  </si>
  <si>
    <t>REC-926774</t>
  </si>
  <si>
    <t>MADELEINE</t>
  </si>
  <si>
    <t>430 g</t>
  </si>
  <si>
    <t>REC-221525</t>
  </si>
  <si>
    <t>La Grande Galette pur beurre</t>
  </si>
  <si>
    <t>REC-664894</t>
  </si>
  <si>
    <t>REC-215902</t>
  </si>
  <si>
    <t>5 Banana Lunchbox Loaves</t>
  </si>
  <si>
    <t>REC-682987</t>
  </si>
  <si>
    <t>Protein Flapjack Cocoa Oat</t>
  </si>
  <si>
    <t>TREK</t>
  </si>
  <si>
    <t>REC-465696</t>
  </si>
  <si>
    <t>Kinder Chocolate</t>
  </si>
  <si>
    <t>REC-247274</t>
  </si>
  <si>
    <t>Macine mb 350g int. eu</t>
  </si>
  <si>
    <t>REC-327334</t>
  </si>
  <si>
    <t>Sweet &amp; saltynut</t>
  </si>
  <si>
    <t>REC-450794</t>
  </si>
  <si>
    <t>REC-480982</t>
  </si>
  <si>
    <t>Totas</t>
  </si>
  <si>
    <t>tosfrit</t>
  </si>
  <si>
    <t>REC-606238</t>
  </si>
  <si>
    <t>Chocolate 95%</t>
  </si>
  <si>
    <t>Trapa</t>
  </si>
  <si>
    <t>REC-846159</t>
  </si>
  <si>
    <t>Fruit Slices APPLE</t>
  </si>
  <si>
    <t>Go Ahead</t>
  </si>
  <si>
    <t>REC-594573</t>
  </si>
  <si>
    <t>miredina</t>
  </si>
  <si>
    <t>REC-254475</t>
  </si>
  <si>
    <t>Lulu L'Ourson Chocolat</t>
  </si>
  <si>
    <t>LU,Mondelez International</t>
  </si>
  <si>
    <t>REC-997609</t>
  </si>
  <si>
    <t>REC-344258</t>
  </si>
  <si>
    <t>Sweet And Salted Popcorn</t>
  </si>
  <si>
    <t>110g</t>
  </si>
  <si>
    <t>REC-538715</t>
  </si>
  <si>
    <t>LOTUS BISCOFF Speculoos Original Pocket Format Familial - 248g (16x2p)</t>
  </si>
  <si>
    <t>248 g</t>
  </si>
  <si>
    <t>REC-732999</t>
  </si>
  <si>
    <t>BREAKFAST Cocoa with choc chips</t>
  </si>
  <si>
    <t>belVita</t>
  </si>
  <si>
    <t>REC-127463</t>
  </si>
  <si>
    <t>Knoppers Einzelpack</t>
  </si>
  <si>
    <t>REC-196691</t>
  </si>
  <si>
    <t>Dark chocolate nuts &amp; sea salt</t>
  </si>
  <si>
    <t>France,Ireland,United Kingdom</t>
  </si>
  <si>
    <t>REC-113479</t>
  </si>
  <si>
    <t>Tableta chocolate negro 85%</t>
  </si>
  <si>
    <t>Carrefour BIO</t>
  </si>
  <si>
    <t>REC-764198</t>
  </si>
  <si>
    <t>Lentil Chips</t>
  </si>
  <si>
    <t>Snackrite</t>
  </si>
  <si>
    <t>6 x 15 g</t>
  </si>
  <si>
    <t>REC-316744</t>
  </si>
  <si>
    <t>Lindt lait extra fin</t>
  </si>
  <si>
    <t>REC-601543</t>
  </si>
  <si>
    <t>PiCK UP ! Choco x6</t>
  </si>
  <si>
    <t>168 g</t>
  </si>
  <si>
    <t>REC-204201</t>
  </si>
  <si>
    <t>180 gr</t>
  </si>
  <si>
    <t>REC-316418</t>
  </si>
  <si>
    <t>curry cauliflower bites</t>
  </si>
  <si>
    <t>Holland &amp; Barrett</t>
  </si>
  <si>
    <t>171 g</t>
  </si>
  <si>
    <t>REC-260803</t>
  </si>
  <si>
    <t>Tartelettes chocolat caramel</t>
  </si>
  <si>
    <t>135g</t>
  </si>
  <si>
    <t>Belgium,Bulgaria,France,Germany,Luxembourg</t>
  </si>
  <si>
    <t>REC-561609</t>
  </si>
  <si>
    <t>Ivoria, Les creations</t>
  </si>
  <si>
    <t>France,Portugal</t>
  </si>
  <si>
    <t>REC-993869</t>
  </si>
  <si>
    <t>Chips Craquante Sel Brets</t>
  </si>
  <si>
    <t>125 g â„®</t>
  </si>
  <si>
    <t>REC-104547</t>
  </si>
  <si>
    <t>Hanuta 10er-Pack</t>
  </si>
  <si>
    <t>220 g (10 x 22 g)</t>
  </si>
  <si>
    <t>REC-437468</t>
  </si>
  <si>
    <t>Onduladas campesinas</t>
  </si>
  <si>
    <t>REC-221393</t>
  </si>
  <si>
    <t>Fennel Seed Tarallini</t>
  </si>
  <si>
    <t>170g</t>
  </si>
  <si>
    <t>REC-452478</t>
  </si>
  <si>
    <t>CARAMEL</t>
  </si>
  <si>
    <t>REC-868294</t>
  </si>
  <si>
    <t>Sweet &amp; Salty Popped Crisps</t>
  </si>
  <si>
    <t>Popworks</t>
  </si>
  <si>
    <t>REC-992864</t>
  </si>
  <si>
    <t>chipsfrisch ungarisch</t>
  </si>
  <si>
    <t>funny-frisch</t>
  </si>
  <si>
    <t>Deutschland</t>
  </si>
  <si>
    <t>REC-218134</t>
  </si>
  <si>
    <t>REC-955523</t>
  </si>
  <si>
    <t>Noir 85%</t>
  </si>
  <si>
    <t>REC-218768</t>
  </si>
  <si>
    <t>Matin Chocolat</t>
  </si>
  <si>
    <t>REC-382273</t>
  </si>
  <si>
    <t>MACARONI CHEESE WITH BACON</t>
  </si>
  <si>
    <t>WOOLWORTHS FOOD</t>
  </si>
  <si>
    <t>200 g (8 x 25 g)</t>
  </si>
  <si>
    <t>REC-346482</t>
  </si>
  <si>
    <t>REC-408869</t>
  </si>
  <si>
    <t>Le palmier</t>
  </si>
  <si>
    <t>REC-609749</t>
  </si>
  <si>
    <t>REC-518995</t>
  </si>
  <si>
    <t>Nicaragua grand cru waslala 75%</t>
  </si>
  <si>
    <t>REC-294094</t>
  </si>
  <si>
    <t>Dessert 72%</t>
  </si>
  <si>
    <t>REC-236778</t>
  </si>
  <si>
    <t>REC-679537</t>
  </si>
  <si>
    <t>250 gramos</t>
  </si>
  <si>
    <t>REC-504192</t>
  </si>
  <si>
    <t>Galleta dorada</t>
  </si>
  <si>
    <t>REC-884903</t>
  </si>
  <si>
    <t>Tortilla Chips</t>
  </si>
  <si>
    <t>Stockwell &amp; Co.</t>
  </si>
  <si>
    <t>REC-120400</t>
  </si>
  <si>
    <t>Wholegrain Ryvita Crackerbread</t>
  </si>
  <si>
    <t>REC-742848</t>
  </si>
  <si>
    <t>REC-993045</t>
  </si>
  <si>
    <t>Anturios</t>
  </si>
  <si>
    <t>REC-276484</t>
  </si>
  <si>
    <t>Extra Dark 85% Cocoa</t>
  </si>
  <si>
    <t>REC-380641</t>
  </si>
  <si>
    <t>Donut</t>
  </si>
  <si>
    <t>REC-590661</t>
  </si>
  <si>
    <t>REC-298768</t>
  </si>
  <si>
    <t>Melty - Be</t>
  </si>
  <si>
    <t>REC-173877</t>
  </si>
  <si>
    <t>REC-900752</t>
  </si>
  <si>
    <t>REC-234370</t>
  </si>
  <si>
    <t>lidl jd gross</t>
  </si>
  <si>
    <t>France,Netherlands,United Kingdom</t>
  </si>
  <si>
    <t>REC-302639</t>
  </si>
  <si>
    <t>14 Gaufrettes saveur Cacao</t>
  </si>
  <si>
    <t>Brun, Mondelez</t>
  </si>
  <si>
    <t>146 g â„®</t>
  </si>
  <si>
    <t>REC-392128</t>
  </si>
  <si>
    <t>630 g</t>
  </si>
  <si>
    <t>REC-332397</t>
  </si>
  <si>
    <t>157 g</t>
  </si>
  <si>
    <t>Frankreich,Deutschland,Schweiz</t>
  </si>
  <si>
    <t>REC-834378</t>
  </si>
  <si>
    <t>Anglesey sea salt crisps</t>
  </si>
  <si>
    <t>Pipers</t>
  </si>
  <si>
    <t>REC-365424</t>
  </si>
  <si>
    <t>363 g</t>
  </si>
  <si>
    <t>REC-610291</t>
  </si>
  <si>
    <t>Chocolat Dessert Noir 55%</t>
  </si>
  <si>
    <t>175g</t>
  </si>
  <si>
    <t>REC-582086</t>
  </si>
  <si>
    <t>Milka Choco Mini Stars</t>
  </si>
  <si>
    <t>REC-137989</t>
  </si>
  <si>
    <t>Choco wafer</t>
  </si>
  <si>
    <t>Milka,Mondelez</t>
  </si>
  <si>
    <t>REC-664778</t>
  </si>
  <si>
    <t>Pelotazos</t>
  </si>
  <si>
    <t>Cheetos,PepsiCo</t>
  </si>
  <si>
    <t>REC-710479</t>
  </si>
  <si>
    <t>Eat Natural Bar Peanut&amp;Chocolate 45g</t>
  </si>
  <si>
    <t>Eat Natural, Handl norway as</t>
  </si>
  <si>
    <t>REC-800626</t>
  </si>
  <si>
    <t>Kiddylicious</t>
  </si>
  <si>
    <t>48 g</t>
  </si>
  <si>
    <t>REC-476792</t>
  </si>
  <si>
    <t>REC-882161</t>
  </si>
  <si>
    <t>REC-389541</t>
  </si>
  <si>
    <t>Sweet &amp; Salty Nut</t>
  </si>
  <si>
    <t>Nature Vallley</t>
  </si>
  <si>
    <t>30g</t>
  </si>
  <si>
    <t>REC-659487</t>
  </si>
  <si>
    <t>Mini cheddars</t>
  </si>
  <si>
    <t>REC-436451</t>
  </si>
  <si>
    <t>124,8 g</t>
  </si>
  <si>
    <t>REC-164384</t>
  </si>
  <si>
    <t>nestle</t>
  </si>
  <si>
    <t>REC-668201</t>
  </si>
  <si>
    <t>Oatcakes - Organic</t>
  </si>
  <si>
    <t>REC-559769</t>
  </si>
  <si>
    <t>Multigrain Crackers</t>
  </si>
  <si>
    <t>Rivercote (LIDL)</t>
  </si>
  <si>
    <t>REC-163843</t>
  </si>
  <si>
    <t>Bulgaria,France,Germany,Switzerland</t>
  </si>
  <si>
    <t>REC-389627</t>
  </si>
  <si>
    <t>LU,Mondelez international</t>
  </si>
  <si>
    <t>120 g</t>
  </si>
  <si>
    <t>REC-291625</t>
  </si>
  <si>
    <t>240 g</t>
  </si>
  <si>
    <t>REC-215939</t>
  </si>
  <si>
    <t>Tzatziki</t>
  </si>
  <si>
    <t>Blini</t>
  </si>
  <si>
    <t>REC-460105</t>
  </si>
  <si>
    <t>Chocolat noir 72% cacao</t>
  </si>
  <si>
    <t>REC-111592</t>
  </si>
  <si>
    <t>Chocolat Noir 95% Togo</t>
  </si>
  <si>
    <t>90 g e</t>
  </si>
  <si>
    <t>REC-965114</t>
  </si>
  <si>
    <t>Maltesers 175g</t>
  </si>
  <si>
    <t>MALTESERS</t>
  </si>
  <si>
    <t>REC-143795</t>
  </si>
  <si>
    <t>Propercorn</t>
  </si>
  <si>
    <t>REC-327611</t>
  </si>
  <si>
    <t>Caprice</t>
  </si>
  <si>
    <t>Papadopoulos</t>
  </si>
  <si>
    <t>REC-663235</t>
  </si>
  <si>
    <t>Horno Al punto de sal</t>
  </si>
  <si>
    <t>Lay's,PepsiCo</t>
  </si>
  <si>
    <t>REC-216026</t>
  </si>
  <si>
    <t>Snack Pipas</t>
  </si>
  <si>
    <t>Anitin</t>
  </si>
  <si>
    <t>Espanha</t>
  </si>
  <si>
    <t>REC-755317</t>
  </si>
  <si>
    <t>Sour Cream &amp; Onion Potato Chips</t>
  </si>
  <si>
    <t>Popchips</t>
  </si>
  <si>
    <t>REC-981342</t>
  </si>
  <si>
    <t>Whaou</t>
  </si>
  <si>
    <t>REC-710952</t>
  </si>
  <si>
    <t>Savoury Crackers</t>
  </si>
  <si>
    <t>REC-507409</t>
  </si>
  <si>
    <t>Major</t>
  </si>
  <si>
    <t>REC-977027</t>
  </si>
  <si>
    <t>Clorets</t>
  </si>
  <si>
    <t>REC-645017</t>
  </si>
  <si>
    <t>Ready Salted Grab Bag Crisps</t>
  </si>
  <si>
    <t>REC-651702</t>
  </si>
  <si>
    <t>Digestive</t>
  </si>
  <si>
    <t>REC-534429</t>
  </si>
  <si>
    <t>REC-247463</t>
  </si>
  <si>
    <t>Choco Tom gaufrettes</t>
  </si>
  <si>
    <t>Tom</t>
  </si>
  <si>
    <t>Tunisia</t>
  </si>
  <si>
    <t>REC-789412</t>
  </si>
  <si>
    <t>REC-999404</t>
  </si>
  <si>
    <t>Grany Fraise ðŸ“ &amp; Framboise</t>
  </si>
  <si>
    <t>108 g</t>
  </si>
  <si>
    <t>REC-130511</t>
  </si>
  <si>
    <t>Laus nature</t>
  </si>
  <si>
    <t>Lay's, Lays, PepsiCo</t>
  </si>
  <si>
    <t>REC-917059</t>
  </si>
  <si>
    <t>3D's Bugles, BENENUTS, LAYS, Lay's</t>
  </si>
  <si>
    <t>REC-183053</t>
  </si>
  <si>
    <t>REC-511759</t>
  </si>
  <si>
    <t>France,French Guiana,Morocco,Switzerland</t>
  </si>
  <si>
    <t>REC-974820</t>
  </si>
  <si>
    <t>REC-624871</t>
  </si>
  <si>
    <t>barbeque flavour popped potato snacks</t>
  </si>
  <si>
    <t>popchips</t>
  </si>
  <si>
    <t>REC-161412</t>
  </si>
  <si>
    <t>Original Oreo</t>
  </si>
  <si>
    <t>Oreo</t>
  </si>
  <si>
    <t>352g</t>
  </si>
  <si>
    <t>REC-507617</t>
  </si>
  <si>
    <t>Takis Fuego 90g</t>
  </si>
  <si>
    <t>REC-583819</t>
  </si>
  <si>
    <t>REC-386157</t>
  </si>
  <si>
    <t>Le Petit Beurre</t>
  </si>
  <si>
    <t>167 g</t>
  </si>
  <si>
    <t>REC-814427</t>
  </si>
  <si>
    <t>Pringles Salt &amp; Vinegar</t>
  </si>
  <si>
    <t>Germany,United Kingdom</t>
  </si>
  <si>
    <t>REC-816700</t>
  </si>
  <si>
    <t>Jelly Snakes</t>
  </si>
  <si>
    <t>THE NATURAL CONFECTIONERY CO.</t>
  </si>
  <si>
    <t>Switzerland,United Kingdom</t>
  </si>
  <si>
    <t>REC-837125</t>
  </si>
  <si>
    <t>Madeleine</t>
  </si>
  <si>
    <t>REC-185893</t>
  </si>
  <si>
    <t>POULAIN NOIR EXTRA 200G</t>
  </si>
  <si>
    <t>REC-475215</t>
  </si>
  <si>
    <t>Snack a Jacks Caramel Rice Cakes</t>
  </si>
  <si>
    <t>Snack-A-Jacks</t>
  </si>
  <si>
    <t>159 g</t>
  </si>
  <si>
    <t>REC-527082</t>
  </si>
  <si>
    <t>Jacobs Savours Salt And Black Pepper Bakes</t>
  </si>
  <si>
    <t>Jacobs</t>
  </si>
  <si>
    <t>REC-943230</t>
  </si>
  <si>
    <t>Dark Chocolate 85% Cocoa</t>
  </si>
  <si>
    <t>Romania</t>
  </si>
  <si>
    <t>REC-887106</t>
  </si>
  <si>
    <t>Gran cereale croccante con riso</t>
  </si>
  <si>
    <t>Gran cereale</t>
  </si>
  <si>
    <t>230 g.</t>
  </si>
  <si>
    <t>REC-475078</t>
  </si>
  <si>
    <t>Valor</t>
  </si>
  <si>
    <t>REC-240162</t>
  </si>
  <si>
    <t>Mini cracker!</t>
  </si>
  <si>
    <t>REC-779048</t>
  </si>
  <si>
    <t>REC-375336</t>
  </si>
  <si>
    <t>Cashews roasted &amp; salted</t>
  </si>
  <si>
    <t>Bulgaria,France,Hungary,Romania,Spain,United Kingdom</t>
  </si>
  <si>
    <t>REC-709387</t>
  </si>
  <si>
    <t>REC-407316</t>
  </si>
  <si>
    <t>Tartines croquantes</t>
  </si>
  <si>
    <t>Aldi, Simplement Bon et Bio</t>
  </si>
  <si>
    <t>REC-858767</t>
  </si>
  <si>
    <t>Petits chocos ðŸ«</t>
  </si>
  <si>
    <t>REC-598404</t>
  </si>
  <si>
    <t>Vitalia</t>
  </si>
  <si>
    <t>REC-989289</t>
  </si>
  <si>
    <t>Chocolat au lait du Pays Alpin</t>
  </si>
  <si>
    <t>Kraft Foods, Milka</t>
  </si>
  <si>
    <t>REC-846558</t>
  </si>
  <si>
    <t>Tablette de chocolat noir 100g</t>
  </si>
  <si>
    <t>U, U Bio</t>
  </si>
  <si>
    <t>REC-964602</t>
  </si>
  <si>
    <t>450 g (environ 14 tranches de 32g)</t>
  </si>
  <si>
    <t>Frankreich,Schweiz</t>
  </si>
  <si>
    <t>REC-291860</t>
  </si>
  <si>
    <t>JARDIN BIO ETIC, Jardin bio</t>
  </si>
  <si>
    <t>REC-647168</t>
  </si>
  <si>
    <t>Chilli Heatwave Tortilla Chips</t>
  </si>
  <si>
    <t>REC-804584</t>
  </si>
  <si>
    <t>Dunkle Schweizer Schokolade mit Chili-Extrakt</t>
  </si>
  <si>
    <t>Lindt Excellence</t>
  </si>
  <si>
    <t>REC-280797</t>
  </si>
  <si>
    <t>Sasanki</t>
  </si>
  <si>
    <t>Lidl,Roland,Sondey,Trium</t>
  </si>
  <si>
    <t>Bulgaria,Czech Republic,France,Poland</t>
  </si>
  <si>
    <t>REC-218429</t>
  </si>
  <si>
    <t>Black Pepper Savoury Crackers</t>
  </si>
  <si>
    <t>Aldi, Specially Selected</t>
  </si>
  <si>
    <t>REC-820572</t>
  </si>
  <si>
    <t>Lightly sea salted</t>
  </si>
  <si>
    <t>REC-479422</t>
  </si>
  <si>
    <t>Honey Roast Crunch</t>
  </si>
  <si>
    <t>REC-966925</t>
  </si>
  <si>
    <t>Salt &amp; Vinegar flavoured rice cakes</t>
  </si>
  <si>
    <t>REC-318299</t>
  </si>
  <si>
    <t>Barbecue Lentil Chips</t>
  </si>
  <si>
    <t>70 g</t>
  </si>
  <si>
    <t>REC-934772</t>
  </si>
  <si>
    <t>REC-490629</t>
  </si>
  <si>
    <t>Cracotte framboise</t>
  </si>
  <si>
    <t>REC-505061</t>
  </si>
  <si>
    <t>Milk Hazelnut</t>
  </si>
  <si>
    <t>REC-201449</t>
  </si>
  <si>
    <t>Belgium,France,Spain,Switzerland</t>
  </si>
  <si>
    <t>REC-752813</t>
  </si>
  <si>
    <t>Petits Muffins Chocolat</t>
  </si>
  <si>
    <t>235 g</t>
  </si>
  <si>
    <t>REC-664382</t>
  </si>
  <si>
    <t>184 g</t>
  </si>
  <si>
    <t>REC-947013</t>
  </si>
  <si>
    <t>20 madeleines longues aux Å“ufs frais</t>
  </si>
  <si>
    <t>REC-909742</t>
  </si>
  <si>
    <t>REC-507539</t>
  </si>
  <si>
    <t>Cioccolato Nocciole intere</t>
  </si>
  <si>
    <t>REC-122982</t>
  </si>
  <si>
    <t>Crunchy Canadian Maple Syrup</t>
  </si>
  <si>
    <t>REC-323880</t>
  </si>
  <si>
    <t>NÄkd</t>
  </si>
  <si>
    <t>REC-406158</t>
  </si>
  <si>
    <t>Rosemary &amp; sea salt Flatbreads</t>
  </si>
  <si>
    <t>REC-224476</t>
  </si>
  <si>
    <t>Dolca chocolate negro</t>
  </si>
  <si>
    <t>REC-720973</t>
  </si>
  <si>
    <t>Sea Salted popcorn</t>
  </si>
  <si>
    <t>10g</t>
  </si>
  <si>
    <t>REC-336820</t>
  </si>
  <si>
    <t>Lightly salted tortilla chips</t>
  </si>
  <si>
    <t>REC-138780</t>
  </si>
  <si>
    <t>REC-647288</t>
  </si>
  <si>
    <t>NESTLE DESSERT Noir Bio 170g</t>
  </si>
  <si>
    <t>REC-187419</t>
  </si>
  <si>
    <t>Donut milky</t>
  </si>
  <si>
    <t>REC-647081</t>
  </si>
  <si>
    <t>REC-536166</t>
  </si>
  <si>
    <t>Almond Butter + Puffed Quinoa Dark Chocolate</t>
  </si>
  <si>
    <t>REC-676722</t>
  </si>
  <si>
    <t>Rice and Corn Cakes</t>
  </si>
  <si>
    <t>Snack a Jacks</t>
  </si>
  <si>
    <t>REC-312311</t>
  </si>
  <si>
    <t>Caramelised Onion &amp; Balsamic Vinegar Pea &amp; Bean Sticks</t>
  </si>
  <si>
    <t>Off The Eaten Path</t>
  </si>
  <si>
    <t>REC-939425</t>
  </si>
  <si>
    <t>Sticky Toffee Oat Boosts</t>
  </si>
  <si>
    <t>REC-180800</t>
  </si>
  <si>
    <t>Soft Bakes Blueberry</t>
  </si>
  <si>
    <t>Belvita,Mondelez</t>
  </si>
  <si>
    <t>REC-850691</t>
  </si>
  <si>
    <t>Palets Bretons au beurre</t>
  </si>
  <si>
    <t>REC-790409</t>
  </si>
  <si>
    <t>MADELEINES CHOCOLAT LAIT</t>
  </si>
  <si>
    <t>REC-258740</t>
  </si>
  <si>
    <t>REC-586138</t>
  </si>
  <si>
    <t>135 g â„®</t>
  </si>
  <si>
    <t>REC-948010</t>
  </si>
  <si>
    <t>Chips Paysanne</t>
  </si>
  <si>
    <t>REC-656624</t>
  </si>
  <si>
    <t>La madeleine coque chocolat noir</t>
  </si>
  <si>
    <t>Maison Colibri</t>
  </si>
  <si>
    <t>REC-627465</t>
  </si>
  <si>
    <t>Bio Vollmilch-Schokolade</t>
  </si>
  <si>
    <t>Fairglobe</t>
  </si>
  <si>
    <t>REC-862824</t>
  </si>
  <si>
    <t>Tunnocks Teacakes 6pk al anhar</t>
  </si>
  <si>
    <t>144g</t>
  </si>
  <si>
    <t>REC-621553</t>
  </si>
  <si>
    <t>45 g e</t>
  </si>
  <si>
    <t>REC-640030</t>
  </si>
  <si>
    <t>Pufuleti</t>
  </si>
  <si>
    <t>Gusto</t>
  </si>
  <si>
    <t>REC-363709</t>
  </si>
  <si>
    <t>Fontaneda,Mondelez</t>
  </si>
  <si>
    <t>REC-693182</t>
  </si>
  <si>
    <t>Barritas de trigo y arroz integral con chocolate con leche</t>
  </si>
  <si>
    <t>REC-318596</t>
  </si>
  <si>
    <t>Noix du Bresil</t>
  </si>
  <si>
    <t>Seeberger</t>
  </si>
  <si>
    <t>Frankreich,Deutschland,Luxemburg,Schweiz</t>
  </si>
  <si>
    <t>REC-668123</t>
  </si>
  <si>
    <t>Protein Bar</t>
  </si>
  <si>
    <t>Germany,Bulgaria</t>
  </si>
  <si>
    <t>REC-814899</t>
  </si>
  <si>
    <t>LOTUS BISCOFF Speculoos Original Pocket - 186g (12x2p)</t>
  </si>
  <si>
    <t>186 g</t>
  </si>
  <si>
    <t>REC-847049</t>
  </si>
  <si>
    <t>Petites madeleines aux Å“ufs saint Michel</t>
  </si>
  <si>
    <t>REC-863361</t>
  </si>
  <si>
    <t>Hazelnut, Caramelised Cashew &amp; Pistachio Milk Chocolate</t>
  </si>
  <si>
    <t>REC-990571</t>
  </si>
  <si>
    <t>Biscotti Pan di Stelle</t>
  </si>
  <si>
    <t>REC-246458</t>
  </si>
  <si>
    <t>Root Vegetables</t>
  </si>
  <si>
    <t>REC-867763</t>
  </si>
  <si>
    <t>Cheese Twists</t>
  </si>
  <si>
    <t>M&amp;S Food</t>
  </si>
  <si>
    <t>REC-727112</t>
  </si>
  <si>
    <t>Quadro l'original</t>
  </si>
  <si>
    <t>187g</t>
  </si>
  <si>
    <t>REC-579136</t>
  </si>
  <si>
    <t>Takis Fuego</t>
  </si>
  <si>
    <t>Barcel, Takis</t>
  </si>
  <si>
    <t>REC-822917</t>
  </si>
  <si>
    <t>original made with sea salt</t>
  </si>
  <si>
    <t>triscuit</t>
  </si>
  <si>
    <t>8.5oz</t>
  </si>
  <si>
    <t>France,United States, World</t>
  </si>
  <si>
    <t>REC-475261</t>
  </si>
  <si>
    <t>Roasted Cashew-Peanut-Mix Honey &amp; Salt</t>
  </si>
  <si>
    <t>Germany,United States</t>
  </si>
  <si>
    <t>REC-923721</t>
  </si>
  <si>
    <t>Rivercote</t>
  </si>
  <si>
    <t>REC-760379</t>
  </si>
  <si>
    <t>REC-437902</t>
  </si>
  <si>
    <t>REC-499701</t>
  </si>
  <si>
    <t>Barre amande</t>
  </si>
  <si>
    <t>150 g (6 x 25 g)</t>
  </si>
  <si>
    <t>REC-271147</t>
  </si>
  <si>
    <t>Formule boost</t>
  </si>
  <si>
    <t>Daco Bello</t>
  </si>
  <si>
    <t>REC-213317</t>
  </si>
  <si>
    <t>WALKERS  SALTED</t>
  </si>
  <si>
    <t>32.5g</t>
  </si>
  <si>
    <t>REC-659804</t>
  </si>
  <si>
    <t>Lime &amp; Coriander Chutney Poppadoms</t>
  </si>
  <si>
    <t>Sensations, Walkers</t>
  </si>
  <si>
    <t>82.5 g</t>
  </si>
  <si>
    <t>REC-266689</t>
  </si>
  <si>
    <t>Conikos fromage</t>
  </si>
  <si>
    <t>Conikos</t>
  </si>
  <si>
    <t>REC-239220</t>
  </si>
  <si>
    <t>Pan Goccioli</t>
  </si>
  <si>
    <t>8 x 42g</t>
  </si>
  <si>
    <t>Italy,Switzerland</t>
  </si>
  <si>
    <t>REC-391103</t>
  </si>
  <si>
    <t>Sour Cream &amp; Chive Flavour Wheat &amp; Potato Pretzel Knots</t>
  </si>
  <si>
    <t>Penn State Snacks</t>
  </si>
  <si>
    <t>REC-653026</t>
  </si>
  <si>
    <t>Organic cacao nibs</t>
  </si>
  <si>
    <t>REC-846891</t>
  </si>
  <si>
    <t>Fluffy Milky</t>
  </si>
  <si>
    <t>best biscuits</t>
  </si>
  <si>
    <t>1 et 40 g</t>
  </si>
  <si>
    <t>REC-522970</t>
  </si>
  <si>
    <t>Gullon zero Snack Choco</t>
  </si>
  <si>
    <t>REC-443022</t>
  </si>
  <si>
    <t>Browny</t>
  </si>
  <si>
    <t>REC-810406</t>
  </si>
  <si>
    <t>Mikado chocolat au lait</t>
  </si>
  <si>
    <t>Glico, LUMondelez, Mikado</t>
  </si>
  <si>
    <t>REC-905909</t>
  </si>
  <si>
    <t>BN - Cookies - Mini Strawberry x 5, 175g (6.2oz)</t>
  </si>
  <si>
    <t>REC-658364</t>
  </si>
  <si>
    <t>REC-773311</t>
  </si>
  <si>
    <t>Galleta de mantequilla</t>
  </si>
  <si>
    <t>Belgium,France,Italy,Martinique,Morocco,Poland,Romania,Spain,Kenya</t>
  </si>
  <si>
    <t>REC-448844</t>
  </si>
  <si>
    <t>REC-239562</t>
  </si>
  <si>
    <t>Doritos Cool Original 180g</t>
  </si>
  <si>
    <t>REC-556341</t>
  </si>
  <si>
    <t>chocolat NESTLE DESSERT Noir 2X205g</t>
  </si>
  <si>
    <t>410 g</t>
  </si>
  <si>
    <t>REC-699230</t>
  </si>
  <si>
    <t>Milk Chocolate Large Bar</t>
  </si>
  <si>
    <t>REC-418377</t>
  </si>
  <si>
    <t>Caramelo</t>
  </si>
  <si>
    <t>REC-681037</t>
  </si>
  <si>
    <t>Tablette Kinder Chocolat Chocolat au Lait x16 -200g</t>
  </si>
  <si>
    <t>Kinder, Mixte</t>
  </si>
  <si>
    <t>200 g (16 barres)</t>
  </si>
  <si>
    <t>REC-222981</t>
  </si>
  <si>
    <t>Galbusera</t>
  </si>
  <si>
    <t>330 g (6 x 55 g)</t>
  </si>
  <si>
    <t>REC-897575</t>
  </si>
  <si>
    <t>Raw Fruit &amp; Nut Bar</t>
  </si>
  <si>
    <t>REC-924883</t>
  </si>
  <si>
    <t>Pancakes</t>
  </si>
  <si>
    <t>REC-940891</t>
  </si>
  <si>
    <t>Brioche Chocolat</t>
  </si>
  <si>
    <t>8 x 37,5g</t>
  </si>
  <si>
    <t>REC-193508</t>
  </si>
  <si>
    <t>Quality Street</t>
  </si>
  <si>
    <t>600gm</t>
  </si>
  <si>
    <t>REC-823819</t>
  </si>
  <si>
    <t>Peanut butter bars</t>
  </si>
  <si>
    <t>REC-800802</t>
  </si>
  <si>
    <t>50G RICOLA FRAMBOISE MELISSE</t>
  </si>
  <si>
    <t>REC-688703</t>
  </si>
  <si>
    <t>Veggie Straws</t>
  </si>
  <si>
    <t>REC-278812</t>
  </si>
  <si>
    <t>250 g e</t>
  </si>
  <si>
    <t>REC-315062</t>
  </si>
  <si>
    <t>Kango</t>
  </si>
  <si>
    <t>Kango, LU</t>
  </si>
  <si>
    <t>REC-593546</t>
  </si>
  <si>
    <t>Belvita, LU, Mondelez</t>
  </si>
  <si>
    <t>REC-897947</t>
  </si>
  <si>
    <t>Chocolate con leche Oreo</t>
  </si>
  <si>
    <t>Milka,Oreo,Mondelez</t>
  </si>
  <si>
    <t>REC-742505</t>
  </si>
  <si>
    <t>Buongrano Integrale</t>
  </si>
  <si>
    <t>REC-724394</t>
  </si>
  <si>
    <t>Mejora</t>
  </si>
  <si>
    <t>mejora</t>
  </si>
  <si>
    <t>ok</t>
  </si>
  <si>
    <t>REC-236920</t>
  </si>
  <si>
    <t>alsa</t>
  </si>
  <si>
    <t>REC-673732</t>
  </si>
  <si>
    <t>Granola Bar Vanilla &amp; White Cream</t>
  </si>
  <si>
    <t>VITALIA</t>
  </si>
  <si>
    <t>3 x 23 g</t>
  </si>
  <si>
    <t>REC-801989</t>
  </si>
  <si>
    <t>Cereal bio</t>
  </si>
  <si>
    <t>REC-809953</t>
  </si>
  <si>
    <t>REC-699892</t>
  </si>
  <si>
    <t>Financiers amandes</t>
  </si>
  <si>
    <t>REC-127088</t>
  </si>
  <si>
    <t>Toetilla Chips Nature</t>
  </si>
  <si>
    <t>REC-419059</t>
  </si>
  <si>
    <t>REC-631499</t>
  </si>
  <si>
    <t>REC-741840</t>
  </si>
  <si>
    <t>REC-276146</t>
  </si>
  <si>
    <t>Oreo Enrobed White imp</t>
  </si>
  <si>
    <t>Charbonnel et Walker, GINBIS, Mondelez, Oreo, Oreo - MondelÄ“z International</t>
  </si>
  <si>
    <t>245g</t>
  </si>
  <si>
    <t>REC-210526</t>
  </si>
  <si>
    <t>CHOCOLATE SALTED CARAMEL FLAVOUR VITAMIN &amp; PROTEIN BAR</t>
  </si>
  <si>
    <t>FULFIL</t>
  </si>
  <si>
    <t>REC-975885</t>
  </si>
  <si>
    <t>Essential waitrose wholewheat biscuits</t>
  </si>
  <si>
    <t>REC-604853</t>
  </si>
  <si>
    <t>Harrys brioche tranchee farine complete sans additif 485g</t>
  </si>
  <si>
    <t>REC-458423</t>
  </si>
  <si>
    <t>REC-891146</t>
  </si>
  <si>
    <t>3 x 42g (126g)</t>
  </si>
  <si>
    <t>REC-377795</t>
  </si>
  <si>
    <t>Sweet Chilli &amp; Sour Cream Potato Chips</t>
  </si>
  <si>
    <t>REC-893530</t>
  </si>
  <si>
    <t>Biscotti allo yogurt Dolcesenza</t>
  </si>
  <si>
    <t>Misura</t>
  </si>
  <si>
    <t>REC-240159</t>
  </si>
  <si>
    <t>250 g (2 x 125 g)</t>
  </si>
  <si>
    <t>France,Italy,Poland,Romania,Spain</t>
  </si>
  <si>
    <t>REC-930563</t>
  </si>
  <si>
    <t>Crunchy Oats &amp; Honey</t>
  </si>
  <si>
    <t>France,Switzerland,United Kingdom</t>
  </si>
  <si>
    <t>REC-171365</t>
  </si>
  <si>
    <t>Avoine citron ðŸ‹ graines de chia</t>
  </si>
  <si>
    <t>REC-294340</t>
  </si>
  <si>
    <t>REC-635882</t>
  </si>
  <si>
    <t>Pipers Anglesey sea salt crisps</t>
  </si>
  <si>
    <t>Pipers,PepsiCo</t>
  </si>
  <si>
    <t>REC-287802</t>
  </si>
  <si>
    <t>Almond And apricot with a yoghurt coating fruit and nut bar</t>
  </si>
  <si>
    <t>Eat natural</t>
  </si>
  <si>
    <t>REC-315140</t>
  </si>
  <si>
    <t>REC-717281</t>
  </si>
  <si>
    <t>Les Grandes 34% Hazelnut Dark</t>
  </si>
  <si>
    <t>150 gr</t>
  </si>
  <si>
    <t>REC-312621</t>
  </si>
  <si>
    <t>Salinis</t>
  </si>
  <si>
    <t>REC-386763</t>
  </si>
  <si>
    <t>Galletas cereales &amp; fibra</t>
  </si>
  <si>
    <t>REC-794150</t>
  </si>
  <si>
    <t>Organic wholemeal digestive biscuits</t>
  </si>
  <si>
    <t>Doves farm</t>
  </si>
  <si>
    <t>REC-417513</t>
  </si>
  <si>
    <t>Chocolat noir</t>
  </si>
  <si>
    <t>SCHOLETTA</t>
  </si>
  <si>
    <t>REC-305835</t>
  </si>
  <si>
    <t>Belgium,France,Germany</t>
  </si>
  <si>
    <t>REC-587672</t>
  </si>
  <si>
    <t>REC-999230</t>
  </si>
  <si>
    <t>Fluffy</t>
  </si>
  <si>
    <t>REC-722294</t>
  </si>
  <si>
    <t>tortilla chips</t>
  </si>
  <si>
    <t>REC-301994</t>
  </si>
  <si>
    <t>Silvia Duo Cacao</t>
  </si>
  <si>
    <t>REC-462259</t>
  </si>
  <si>
    <t>Roshen</t>
  </si>
  <si>
    <t>3 07z (85g)</t>
  </si>
  <si>
    <t>REC-417972</t>
  </si>
  <si>
    <t>Biscuits avoine chocolat</t>
  </si>
  <si>
    <t>Carrefour BIO,Carrefour</t>
  </si>
  <si>
    <t>130 g (3 x 43,3 g)</t>
  </si>
  <si>
    <t>REC-378786</t>
  </si>
  <si>
    <t>Panettone Classico</t>
  </si>
  <si>
    <t>Favorina</t>
  </si>
  <si>
    <t>1 kg</t>
  </si>
  <si>
    <t>Spagna</t>
  </si>
  <si>
    <t>REC-299437</t>
  </si>
  <si>
    <t>Snack mix</t>
  </si>
  <si>
    <t>Frankrijk,Duitsland</t>
  </si>
  <si>
    <t>REC-678303</t>
  </si>
  <si>
    <t>Madeleines coquilles</t>
  </si>
  <si>
    <t>REC-520068</t>
  </si>
  <si>
    <t>Pitch</t>
  </si>
  <si>
    <t>REC-125492</t>
  </si>
  <si>
    <t>REC-451824</t>
  </si>
  <si>
    <t>Petit beurre tablette Chocolat noir</t>
  </si>
  <si>
    <t>REC-165373</t>
  </si>
  <si>
    <t>Fruit Sticks</t>
  </si>
  <si>
    <t>N.A! Nature Addicts</t>
  </si>
  <si>
    <t>REC-366550</t>
  </si>
  <si>
    <t>Bourbon Creams</t>
  </si>
  <si>
    <t>296 g</t>
  </si>
  <si>
    <t>France,Germany,United Kingdom,Ireland</t>
  </si>
  <si>
    <t>REC-706943</t>
  </si>
  <si>
    <t>LU, Mondelez, Prince</t>
  </si>
  <si>
    <t>REC-762832</t>
  </si>
  <si>
    <t>Flutes aux 3 graines</t>
  </si>
  <si>
    <t>Kambly</t>
  </si>
  <si>
    <t>REC-622589</t>
  </si>
  <si>
    <t>Soft Bakes Choc Chip</t>
  </si>
  <si>
    <t>5x</t>
  </si>
  <si>
    <t>REC-983635</t>
  </si>
  <si>
    <t>Cruschelle</t>
  </si>
  <si>
    <t>700g</t>
  </si>
  <si>
    <t>France,Italy</t>
  </si>
  <si>
    <t>REC-885570</t>
  </si>
  <si>
    <t>Thins - Multiseed Flatbreads</t>
  </si>
  <si>
    <t>REC-258088</t>
  </si>
  <si>
    <t>275g</t>
  </si>
  <si>
    <t>REC-934446</t>
  </si>
  <si>
    <t>Naked Oven Chips</t>
  </si>
  <si>
    <t>McCain</t>
  </si>
  <si>
    <t>1.7kg</t>
  </si>
  <si>
    <t>REC-361222</t>
  </si>
  <si>
    <t>REC-169485</t>
  </si>
  <si>
    <t>Prinzenrolle</t>
  </si>
  <si>
    <t>DeBeukelaer</t>
  </si>
  <si>
    <t>REC-894538</t>
  </si>
  <si>
    <t>Monster Munch crazy original</t>
  </si>
  <si>
    <t>REC-276003</t>
  </si>
  <si>
    <t>Walkers baked</t>
  </si>
  <si>
    <t>REC-996169</t>
  </si>
  <si>
    <t>REC-234480</t>
  </si>
  <si>
    <t>Twix 5x2</t>
  </si>
  <si>
    <t>Twix, Mars</t>
  </si>
  <si>
    <t>REC-824768</t>
  </si>
  <si>
    <t>Jaffa Cakes</t>
  </si>
  <si>
    <t>REC-982478</t>
  </si>
  <si>
    <t>Alemanha,Portugal,Espanha</t>
  </si>
  <si>
    <t>REC-888131</t>
  </si>
  <si>
    <t>Coleslaw 320g</t>
  </si>
  <si>
    <t>REC-361595</t>
  </si>
  <si>
    <t>REC-625048</t>
  </si>
  <si>
    <t>REC-554247</t>
  </si>
  <si>
    <t>Doonuts</t>
  </si>
  <si>
    <t>REC-995018</t>
  </si>
  <si>
    <t>Pitch choco x 8</t>
  </si>
  <si>
    <t>Brioche Pasquier, Pasquier</t>
  </si>
  <si>
    <t>REC-998260</t>
  </si>
  <si>
    <t>Vico Extra Craquantes</t>
  </si>
  <si>
    <t>REC-318319</t>
  </si>
  <si>
    <t>90% cacao noir</t>
  </si>
  <si>
    <t>REC-292889</t>
  </si>
  <si>
    <t>Brioch'Burger</t>
  </si>
  <si>
    <t>REC-874806</t>
  </si>
  <si>
    <t>Biscuits craquants saveur citron</t>
  </si>
  <si>
    <t>REC-237316</t>
  </si>
  <si>
    <t>Yoyos Raspberry Multipack 5 x</t>
  </si>
  <si>
    <t>Bear, Bear Nibbles</t>
  </si>
  <si>
    <t>5 x 20 g</t>
  </si>
  <si>
    <t>REC-375627</t>
  </si>
  <si>
    <t>Crunchy Nut &amp; Almond</t>
  </si>
  <si>
    <t>REC-570586</t>
  </si>
  <si>
    <t>Belin</t>
  </si>
  <si>
    <t>REC-628200</t>
  </si>
  <si>
    <t>Lait amandes</t>
  </si>
  <si>
    <t>Belgium,France,Morocco</t>
  </si>
  <si>
    <t>REC-613358</t>
  </si>
  <si>
    <t>REC-482706</t>
  </si>
  <si>
    <t>Dinosaurus</t>
  </si>
  <si>
    <t>Artiach,Mondelez</t>
  </si>
  <si>
    <t>411 g</t>
  </si>
  <si>
    <t>REC-863530</t>
  </si>
  <si>
    <t>Cuore di cereale. Biscotti di avena con frutti rossi</t>
  </si>
  <si>
    <t>220g</t>
  </si>
  <si>
    <t>REC-675627</t>
  </si>
  <si>
    <t>204 g</t>
  </si>
  <si>
    <t>Austria,France,Germany,Italy</t>
  </si>
  <si>
    <t>REC-371590</t>
  </si>
  <si>
    <t>Stockwell</t>
  </si>
  <si>
    <t>432g</t>
  </si>
  <si>
    <t>Germany,Ireland,United Kingdom</t>
  </si>
  <si>
    <t>REC-306742</t>
  </si>
  <si>
    <t>Hand Cooked Crisps</t>
  </si>
  <si>
    <t>Aldi,Specially Selected</t>
  </si>
  <si>
    <t>REC-373063</t>
  </si>
  <si>
    <t>REC-236208</t>
  </si>
  <si>
    <t>Gerble - Organic Chocolate Cookie Flavored w/ Banana, 132g (4.7oz)</t>
  </si>
  <si>
    <t>REC-823306</t>
  </si>
  <si>
    <t>100 g (4 x 25 g)</t>
  </si>
  <si>
    <t>REC-818969</t>
  </si>
  <si>
    <t>Ricola Eucalyptus</t>
  </si>
  <si>
    <t>REC-202116</t>
  </si>
  <si>
    <t>Texas BBQ Sauce</t>
  </si>
  <si>
    <t>REC-858623</t>
  </si>
  <si>
    <t>REC-520296</t>
  </si>
  <si>
    <t>Chips saveur Tartiflette</t>
  </si>
  <si>
    <t>Francuska,Hrvatska</t>
  </si>
  <si>
    <t>REC-924073</t>
  </si>
  <si>
    <t>Chips de Lentilles Saveur Paprika</t>
  </si>
  <si>
    <t>REC-162168</t>
  </si>
  <si>
    <t>Barritas de cereales mango</t>
  </si>
  <si>
    <t>120 g (6 x 20 g)</t>
  </si>
  <si>
    <t>REC-796251</t>
  </si>
  <si>
    <t>Coleslaw, choux blanc et carottes</t>
  </si>
  <si>
    <t>Saladinettes</t>
  </si>
  <si>
    <t>REC-187263</t>
  </si>
  <si>
    <t>6 x 30 g</t>
  </si>
  <si>
    <t>REC-398825</t>
  </si>
  <si>
    <t>REC-257543</t>
  </si>
  <si>
    <t>Cioccolato al latte</t>
  </si>
  <si>
    <t>LU,Mikado,Mondelez</t>
  </si>
  <si>
    <t>75g</t>
  </si>
  <si>
    <t>REC-404143</t>
  </si>
  <si>
    <t>MINI BN Chocolat</t>
  </si>
  <si>
    <t>REC-880410</t>
  </si>
  <si>
    <t>REC-244513</t>
  </si>
  <si>
    <t>Bonne Maman - Petits Cakes Fruits, 300g (10.6oz)</t>
  </si>
  <si>
    <t>REC-534272</t>
  </si>
  <si>
    <t>Le Biscuit De Natty</t>
  </si>
  <si>
    <t>REC-499128</t>
  </si>
  <si>
    <t>REC-719451</t>
  </si>
  <si>
    <t>Tartines craquantes quinoa pois chiche</t>
  </si>
  <si>
    <t>Jardin bio</t>
  </si>
  <si>
    <t>REC-109240</t>
  </si>
  <si>
    <t>REC-678730</t>
  </si>
  <si>
    <t>Bruschette sour cream</t>
  </si>
  <si>
    <t>70 Ð³</t>
  </si>
  <si>
    <t>REC-938124</t>
  </si>
  <si>
    <t>Lorenz Saltletts Sticks</t>
  </si>
  <si>
    <t>Lorenz, Lorenz / Netto</t>
  </si>
  <si>
    <t>REC-594455</t>
  </si>
  <si>
    <t>Digestives</t>
  </si>
  <si>
    <t>McVities</t>
  </si>
  <si>
    <t>266 g</t>
  </si>
  <si>
    <t>REC-411539</t>
  </si>
  <si>
    <t>Choco Biscuits</t>
  </si>
  <si>
    <t>REC-704843</t>
  </si>
  <si>
    <t>General Mills, Old El Paso</t>
  </si>
  <si>
    <t>REC-974469</t>
  </si>
  <si>
    <t>380 g</t>
  </si>
  <si>
    <t>REC-748474</t>
  </si>
  <si>
    <t>Algeria</t>
  </si>
  <si>
    <t>REC-974451</t>
  </si>
  <si>
    <t>all butter scottish shortbread fingers</t>
  </si>
  <si>
    <t>REC-368339</t>
  </si>
  <si>
    <t>Dark Chocolate Almond Sea Salt 51%</t>
  </si>
  <si>
    <t>REC-806968</t>
  </si>
  <si>
    <t>Grahams</t>
  </si>
  <si>
    <t>Honey Maid</t>
  </si>
  <si>
    <t>14.4 oz (408g)</t>
  </si>
  <si>
    <t>United States</t>
  </si>
  <si>
    <t>REC-918691</t>
  </si>
  <si>
    <t>Lentil bites sea salt</t>
  </si>
  <si>
    <t>110 g</t>
  </si>
  <si>
    <t>REC-163736</t>
  </si>
  <si>
    <t>Belgian dark chocolate</t>
  </si>
  <si>
    <t>REC-339680</t>
  </si>
  <si>
    <t>Sandwichs Choc</t>
  </si>
  <si>
    <t>65 g</t>
  </si>
  <si>
    <t>REC-435803</t>
  </si>
  <si>
    <t>Sweet chilli crunch</t>
  </si>
  <si>
    <t>REC-646898</t>
  </si>
  <si>
    <t>peri peri crunch</t>
  </si>
  <si>
    <t>REC-322233</t>
  </si>
  <si>
    <t>MINI BROWNIES lidl</t>
  </si>
  <si>
    <t>REC-102437</t>
  </si>
  <si>
    <t>BRUN - 14 Wafers Vanilla Flavor, 146g (5.2oz)</t>
  </si>
  <si>
    <t>Brun</t>
  </si>
  <si>
    <t>146 g</t>
  </si>
  <si>
    <t>Frankrijk,Zwitserland</t>
  </si>
  <si>
    <t>REC-307627</t>
  </si>
  <si>
    <t>La Paille d'Or aux fraises</t>
  </si>
  <si>
    <t>170 g e</t>
  </si>
  <si>
    <t>REC-448265</t>
  </si>
  <si>
    <t>Lindor noir</t>
  </si>
  <si>
    <t>REC-934286</t>
  </si>
  <si>
    <t>Tagada, L'originale</t>
  </si>
  <si>
    <t>REC-580193</t>
  </si>
  <si>
    <t>Le Palmier</t>
  </si>
  <si>
    <t>Saint Michel</t>
  </si>
  <si>
    <t>87 g</t>
  </si>
  <si>
    <t>REC-421704</t>
  </si>
  <si>
    <t>La classique nature</t>
  </si>
  <si>
    <t>Intersnack France, Vico</t>
  </si>
  <si>
    <t>REC-389360</t>
  </si>
  <si>
    <t>Clotted Cream Shortbread Fingers</t>
  </si>
  <si>
    <t>Paterson's</t>
  </si>
  <si>
    <t>300 g e / 16 Oz</t>
  </si>
  <si>
    <t>REC-256058</t>
  </si>
  <si>
    <t>75 g e</t>
  </si>
  <si>
    <t>REC-739848</t>
  </si>
  <si>
    <t>Confetteria raffaello,Ferrero</t>
  </si>
  <si>
    <t>REC-485226</t>
  </si>
  <si>
    <t>King Kotes - Corn Fried Barbecue flavoured</t>
  </si>
  <si>
    <t>Sol de Alba</t>
  </si>
  <si>
    <t>REC-278659</t>
  </si>
  <si>
    <t>Salted Popcorn</t>
  </si>
  <si>
    <t>REC-813831</t>
  </si>
  <si>
    <t>REC-639958</t>
  </si>
  <si>
    <t>Scottish Shortbread Fingers</t>
  </si>
  <si>
    <t>REC-940481</t>
  </si>
  <si>
    <t>wafers</t>
  </si>
  <si>
    <t>REC-304091</t>
  </si>
  <si>
    <t>Absolute Black Orange &amp; Cocoa Nibs</t>
  </si>
  <si>
    <t>REC-862313</t>
  </si>
  <si>
    <t>macaroons</t>
  </si>
  <si>
    <t>Mrs Crimbles</t>
  </si>
  <si>
    <t>REC-337510</t>
  </si>
  <si>
    <t>Gelatina +Proteinas Frutos Silvestres</t>
  </si>
  <si>
    <t>4x100g</t>
  </si>
  <si>
    <t>REC-308461</t>
  </si>
  <si>
    <t>ready salted crisps</t>
  </si>
  <si>
    <t>walkers</t>
  </si>
  <si>
    <t>REC-231389</t>
  </si>
  <si>
    <t>Bounty</t>
  </si>
  <si>
    <t>57g</t>
  </si>
  <si>
    <t>REC-843385</t>
  </si>
  <si>
    <t>Lightly sea salted hand cooked crisps</t>
  </si>
  <si>
    <t>M&amp;S</t>
  </si>
  <si>
    <t>REC-728214</t>
  </si>
  <si>
    <t>Chouchou</t>
  </si>
  <si>
    <t>REC-552340</t>
  </si>
  <si>
    <t>Grany chocolatðŸ« au laitðŸ„ðŸ¥› noisettesðŸ¥œ</t>
  </si>
  <si>
    <t>138 g (6 * 23 g)</t>
  </si>
  <si>
    <t>REC-648686</t>
  </si>
  <si>
    <t>REC-915625</t>
  </si>
  <si>
    <t>600G HAPPY BOX HARIBO</t>
  </si>
  <si>
    <t>REC-599213</t>
  </si>
  <si>
    <t>Le moulin du pivert</t>
  </si>
  <si>
    <t>REC-877009</t>
  </si>
  <si>
    <t>Curly, Intersnack, Vico</t>
  </si>
  <si>
    <t>REC-121908</t>
  </si>
  <si>
    <t>MARZIPAN DARK CHOCOLATE WITH MARZIPAN</t>
  </si>
  <si>
    <t>Ritter SPORT</t>
  </si>
  <si>
    <t>REC-314566</t>
  </si>
  <si>
    <t>Melts Original</t>
  </si>
  <si>
    <t>REC-154093</t>
  </si>
  <si>
    <t>Biscoff, Lotus</t>
  </si>
  <si>
    <t>Belgium,France,Sweden</t>
  </si>
  <si>
    <t>REC-215889</t>
  </si>
  <si>
    <t>Crackers</t>
  </si>
  <si>
    <t>210 g (6 x 35 g)</t>
  </si>
  <si>
    <t>REC-276502</t>
  </si>
  <si>
    <t>Galletti mb 350g int. eu</t>
  </si>
  <si>
    <t>REC-772291</t>
  </si>
  <si>
    <t>Kurkure</t>
  </si>
  <si>
    <t>78 g</t>
  </si>
  <si>
    <t>France,India,Nepal,Spain,Canada</t>
  </si>
  <si>
    <t>REC-351944</t>
  </si>
  <si>
    <t>Milk chocolate caramel seasalt</t>
  </si>
  <si>
    <t>REC-163514</t>
  </si>
  <si>
    <t>Trident menthol</t>
  </si>
  <si>
    <t>Trident</t>
  </si>
  <si>
    <t>60 pieces 84g</t>
  </si>
  <si>
    <t>REC-355592</t>
  </si>
  <si>
    <t>biscotti cereali g granola e frolla</t>
  </si>
  <si>
    <t>REC-923645</t>
  </si>
  <si>
    <t>Frita saveur poulet</t>
  </si>
  <si>
    <t>REC-476368</t>
  </si>
  <si>
    <t>pop chip bbq</t>
  </si>
  <si>
    <t>5 x 17 g</t>
  </si>
  <si>
    <t>REC-548590</t>
  </si>
  <si>
    <t>BJORG BIO NUTRI +</t>
  </si>
  <si>
    <t>REC-433464</t>
  </si>
  <si>
    <t>THINS ROSEMARY &amp; SEA SALT FLATBREADS</t>
  </si>
  <si>
    <t>REC-529167</t>
  </si>
  <si>
    <t>REC-227982</t>
  </si>
  <si>
    <t>Black chocolate 72% with almonds</t>
  </si>
  <si>
    <t>REC-259461</t>
  </si>
  <si>
    <t>REC-909459</t>
  </si>
  <si>
    <t>REC-626158</t>
  </si>
  <si>
    <t>Luxury Hot Cross Buns</t>
  </si>
  <si>
    <t>312 g (4 * 78 g)</t>
  </si>
  <si>
    <t>REC-417209</t>
  </si>
  <si>
    <t>REC-654925</t>
  </si>
  <si>
    <t>200G SCOUBIDOU LUTTI</t>
  </si>
  <si>
    <t>Lutti</t>
  </si>
  <si>
    <t>REC-325900</t>
  </si>
  <si>
    <t>290 g</t>
  </si>
  <si>
    <t>REC-107230</t>
  </si>
  <si>
    <t>REC-703564</t>
  </si>
  <si>
    <t>REC-518027</t>
  </si>
  <si>
    <t>Fine gaufre</t>
  </si>
  <si>
    <t>REC-951568</t>
  </si>
  <si>
    <t>Duplo Einzelriegel</t>
  </si>
  <si>
    <t>Duplo,Ferrero</t>
  </si>
  <si>
    <t>18.2g</t>
  </si>
  <si>
    <t>REC-773836</t>
  </si>
  <si>
    <t>Orkney Thick Oatcakes</t>
  </si>
  <si>
    <t>Stockan's</t>
  </si>
  <si>
    <t>REC-209292</t>
  </si>
  <si>
    <t>Hummus chips tomato and basil</t>
  </si>
  <si>
    <t>France,Netherlands,Switzerland,United Kingdom</t>
  </si>
  <si>
    <t>REC-792593</t>
  </si>
  <si>
    <t>Belgium,Germany</t>
  </si>
  <si>
    <t>REC-228096</t>
  </si>
  <si>
    <t>Furrows Sea Salted imp</t>
  </si>
  <si>
    <t>REC-620416</t>
  </si>
  <si>
    <t>Toblerone Dark Chocolate with Honey &amp; Almond Nougat</t>
  </si>
  <si>
    <t>Mondelez, Toblerone</t>
  </si>
  <si>
    <t>REC-325974</t>
  </si>
  <si>
    <t>Dairymilk buttons</t>
  </si>
  <si>
    <t>119 g</t>
  </si>
  <si>
    <t>Switzerland,United Kingdom,United States</t>
  </si>
  <si>
    <t>REC-214326</t>
  </si>
  <si>
    <t>240 g e (24 x 10 g)</t>
  </si>
  <si>
    <t>REC-905602</t>
  </si>
  <si>
    <t>Kinder Schokobons White</t>
  </si>
  <si>
    <t>Ferrero, Kinder</t>
  </si>
  <si>
    <t>Austria,France,Germany,Spain</t>
  </si>
  <si>
    <t>REC-959730</t>
  </si>
  <si>
    <t>Gustosines</t>
  </si>
  <si>
    <t>REC-280826</t>
  </si>
  <si>
    <t>Sea Salt &amp; Vinegar Potato Chips</t>
  </si>
  <si>
    <t>REC-737970</t>
  </si>
  <si>
    <t>Stem Ginger Oat Biscuit Breaks</t>
  </si>
  <si>
    <t>REC-588226</t>
  </si>
  <si>
    <t>Mamas Babydream Stillsaft</t>
  </si>
  <si>
    <t>Rossmann</t>
  </si>
  <si>
    <t>REC-492166</t>
  </si>
  <si>
    <t>REC-577810</t>
  </si>
  <si>
    <t>Sondey,Lidl</t>
  </si>
  <si>
    <t>6 x 50 g</t>
  </si>
  <si>
    <t>REC-921077</t>
  </si>
  <si>
    <t>Chocolat Villars Noir 85% 100g</t>
  </si>
  <si>
    <t>REC-886569</t>
  </si>
  <si>
    <t>Sainsbury tortillas</t>
  </si>
  <si>
    <t>REC-752416</t>
  </si>
  <si>
    <t>Pan di Stelle</t>
  </si>
  <si>
    <t>Mulino Bianco pan di stelle</t>
  </si>
  <si>
    <t>700 g</t>
  </si>
  <si>
    <t>REC-722431</t>
  </si>
  <si>
    <t>Crimbles Coconut Macarons IMP</t>
  </si>
  <si>
    <t>Danube</t>
  </si>
  <si>
    <t>Verenigd Koninkrijk,Nederland</t>
  </si>
  <si>
    <t>REC-914854</t>
  </si>
  <si>
    <t>REC-187840</t>
  </si>
  <si>
    <t>300g (approx 38 crackers)</t>
  </si>
  <si>
    <t>REC-842977</t>
  </si>
  <si>
    <t>Wasa tartine croustillante sensation aux flocons d'avoine &amp; touche de sel 265g</t>
  </si>
  <si>
    <t>REC-526972</t>
  </si>
  <si>
    <t>Skittles</t>
  </si>
  <si>
    <t>Wrigley</t>
  </si>
  <si>
    <t>45. g</t>
  </si>
  <si>
    <t>REC-636807</t>
  </si>
  <si>
    <t>REC-337073</t>
  </si>
  <si>
    <t>Milka - Riz croustillant</t>
  </si>
  <si>
    <t>REC-607413</t>
  </si>
  <si>
    <t>Excellence Noir Menthe Intense</t>
  </si>
  <si>
    <t>REC-660334</t>
  </si>
  <si>
    <t>REC-541183</t>
  </si>
  <si>
    <t>REC-771409</t>
  </si>
  <si>
    <t>Riz provencal 320g</t>
  </si>
  <si>
    <t>REC-488746</t>
  </si>
  <si>
    <t>Longfizz</t>
  </si>
  <si>
    <t>REC-126607</t>
  </si>
  <si>
    <t>biscuits a la cuillere</t>
  </si>
  <si>
    <t>REC-928442</t>
  </si>
  <si>
    <t>REC-249544</t>
  </si>
  <si>
    <t>Altho, brets</t>
  </si>
  <si>
    <t>REC-812174</t>
  </si>
  <si>
    <t>10 Pains au Lait</t>
  </si>
  <si>
    <t>350 g (10 x 35 g)</t>
  </si>
  <si>
    <t>REC-243111</t>
  </si>
  <si>
    <t>Hobnobs Milk Chocolate</t>
  </si>
  <si>
    <t>262g pack</t>
  </si>
  <si>
    <t>REC-845916</t>
  </si>
  <si>
    <t>caprice</t>
  </si>
  <si>
    <t>400gr</t>
  </si>
  <si>
    <t>REC-658424</t>
  </si>
  <si>
    <t>REC-417967</t>
  </si>
  <si>
    <t>Barni lapte</t>
  </si>
  <si>
    <t>REC-744133</t>
  </si>
  <si>
    <t>Fiori d'acqua</t>
  </si>
  <si>
    <t>REC-276523</t>
  </si>
  <si>
    <t>Mini fish</t>
  </si>
  <si>
    <t>REC-354028</t>
  </si>
  <si>
    <t>Sandwich sabor yogurt</t>
  </si>
  <si>
    <t>REC-631872</t>
  </si>
  <si>
    <t>Leader chips</t>
  </si>
  <si>
    <t>REC-566981</t>
  </si>
  <si>
    <t>Grissini Artigianali Romarin</t>
  </si>
  <si>
    <t>Florelli</t>
  </si>
  <si>
    <t>REC-412499</t>
  </si>
  <si>
    <t>Waitrose &amp; Partners</t>
  </si>
  <si>
    <t>REC-266940</t>
  </si>
  <si>
    <t>138 g (6 x 23 g)</t>
  </si>
  <si>
    <t>REC-327475</t>
  </si>
  <si>
    <t>Patatas Light</t>
  </si>
  <si>
    <t>REC-121685</t>
  </si>
  <si>
    <t>Le Petit Chocolat</t>
  </si>
  <si>
    <t>REC-508874</t>
  </si>
  <si>
    <t>Texas BBQ - Sauce</t>
  </si>
  <si>
    <t>REC-191674</t>
  </si>
  <si>
    <t>REC-694110</t>
  </si>
  <si>
    <t>Snack Day, Grafschafter</t>
  </si>
  <si>
    <t>6pcs</t>
  </si>
  <si>
    <t>REC-949485</t>
  </si>
  <si>
    <t>Grafschafter, Snack Food Poco Loco, el tequito</t>
  </si>
  <si>
    <t>Bulgarien,Frankreich,Deutschland</t>
  </si>
  <si>
    <t>REC-189866</t>
  </si>
  <si>
    <t>LULU</t>
  </si>
  <si>
    <t>150 g (5 x 30 g)</t>
  </si>
  <si>
    <t>REC-391046</t>
  </si>
  <si>
    <t>REC-223265</t>
  </si>
  <si>
    <t>Pains au lait format familial</t>
  </si>
  <si>
    <t>700 g  (2 x 350 g)</t>
  </si>
  <si>
    <t>REC-416620</t>
  </si>
  <si>
    <t>Noir amandes entieres</t>
  </si>
  <si>
    <t>France,Italy,Spain</t>
  </si>
  <si>
    <t>REC-771257</t>
  </si>
  <si>
    <t>REC-289841</t>
  </si>
  <si>
    <t>Corny Free Schoko</t>
  </si>
  <si>
    <t>Corny</t>
  </si>
  <si>
    <t>Bulgaria,France,Germany,Italy</t>
  </si>
  <si>
    <t>REC-828883</t>
  </si>
  <si>
    <t>Organic Dark Cooking Chocolate</t>
  </si>
  <si>
    <t>REC-710834</t>
  </si>
  <si>
    <t>Flavour Cheese</t>
  </si>
  <si>
    <t>LU, MondelÄ“z, Tuc</t>
  </si>
  <si>
    <t>REC-791945</t>
  </si>
  <si>
    <t>REC-698605</t>
  </si>
  <si>
    <t>37.5 g</t>
  </si>
  <si>
    <t>REC-283472</t>
  </si>
  <si>
    <t>Belgian Dark Chocolate</t>
  </si>
  <si>
    <t>REC-366226</t>
  </si>
  <si>
    <t>Hatherwood</t>
  </si>
  <si>
    <t>Bulgaria</t>
  </si>
  <si>
    <t>REC-739496</t>
  </si>
  <si>
    <t>Knoppers Nussriegel Einzelpackung</t>
  </si>
  <si>
    <t>Knoppers</t>
  </si>
  <si>
    <t>REC-618029</t>
  </si>
  <si>
    <t>Happy Hippy 74% Cocoa Organic Orange &amp; Geranium Dark Chocolate</t>
  </si>
  <si>
    <t>REC-121202</t>
  </si>
  <si>
    <t>Portugal,Spain</t>
  </si>
  <si>
    <t>REC-174773</t>
  </si>
  <si>
    <t>Hobnobs</t>
  </si>
  <si>
    <t>255g</t>
  </si>
  <si>
    <t>United Kingdom,France</t>
  </si>
  <si>
    <t>REC-654434</t>
  </si>
  <si>
    <t>Salt &amp; Vinegar (crunch)</t>
  </si>
  <si>
    <t>gb</t>
  </si>
  <si>
    <t>REC-459220</t>
  </si>
  <si>
    <t>Choco Leibniz - Dark</t>
  </si>
  <si>
    <t>111g</t>
  </si>
  <si>
    <t>REC-935294</t>
  </si>
  <si>
    <t>fun</t>
  </si>
  <si>
    <t>Be biscuits</t>
  </si>
  <si>
    <t>REC-152333</t>
  </si>
  <si>
    <t>REC-324715</t>
  </si>
  <si>
    <t>Galettes de Pont-Aven</t>
  </si>
  <si>
    <t>135 g (4 * 33.75 g)</t>
  </si>
  <si>
    <t>REC-645058</t>
  </si>
  <si>
    <t>400 g, 8 sachets de 4 biscuits</t>
  </si>
  <si>
    <t>REC-755998</t>
  </si>
  <si>
    <t>Cracotte Fraise</t>
  </si>
  <si>
    <t>REC-435176</t>
  </si>
  <si>
    <t>150G LINDOR LAIT LINDT</t>
  </si>
  <si>
    <t>REC-503494</t>
  </si>
  <si>
    <t>Ekibio,Le Pain des fleurs</t>
  </si>
  <si>
    <t>REC-250360</t>
  </si>
  <si>
    <t>Choco Bisson cacao</t>
  </si>
  <si>
    <t>15 biscuits - 300gr</t>
  </si>
  <si>
    <t>REC-233148</t>
  </si>
  <si>
    <t>bruschette chips</t>
  </si>
  <si>
    <t>maretti</t>
  </si>
  <si>
    <t>70g</t>
  </si>
  <si>
    <t>Bulgaria,Czech Republic,France,Germany,Hungary,Morocco,Romania,Serbia</t>
  </si>
  <si>
    <t>REC-930429</t>
  </si>
  <si>
    <t>Peanut</t>
  </si>
  <si>
    <t>m&amp;m's</t>
  </si>
  <si>
    <t>France,Germany,Italy,Luxembourg,Romania,Switzerland</t>
  </si>
  <si>
    <t>REC-779570</t>
  </si>
  <si>
    <t>Frusli Juicy Red Berries Chewy Cereals Bars 6 x (180g)</t>
  </si>
  <si>
    <t>REC-671292</t>
  </si>
  <si>
    <t>Pipers Burrow Hill Cider Vinegar &amp; Sea Salt Crisps</t>
  </si>
  <si>
    <t>REC-849772</t>
  </si>
  <si>
    <t>Hand-Cooked Crisps Lightly Sea Salted</t>
  </si>
  <si>
    <t>France,United Kingdom,Ireland</t>
  </si>
  <si>
    <t>REC-960920</t>
  </si>
  <si>
    <t>Gran saraceno</t>
  </si>
  <si>
    <t>galbusera</t>
  </si>
  <si>
    <t>REC-886411</t>
  </si>
  <si>
    <t>Misura Privolat</t>
  </si>
  <si>
    <t>REC-836786</t>
  </si>
  <si>
    <t>Doritos Nacho cheese</t>
  </si>
  <si>
    <t>Belgium</t>
  </si>
  <si>
    <t>REC-569225</t>
  </si>
  <si>
    <t>Roxta</t>
  </si>
  <si>
    <t>Piccadeli</t>
  </si>
  <si>
    <t>REC-597543</t>
  </si>
  <si>
    <t>Almond Butter &amp; Salted Caramel Cups</t>
  </si>
  <si>
    <t>REC-741571</t>
  </si>
  <si>
    <t>Maxi croust</t>
  </si>
  <si>
    <t>REC-949086</t>
  </si>
  <si>
    <t>Kinder joy</t>
  </si>
  <si>
    <t>REC-636894</t>
  </si>
  <si>
    <t>Savane tout choco</t>
  </si>
  <si>
    <t>REC-434765</t>
  </si>
  <si>
    <t>DARK CHOCOLATE NUTS &amp; SEA SALT</t>
  </si>
  <si>
    <t>KIND,Mars Wrigley</t>
  </si>
  <si>
    <t>REC-330819</t>
  </si>
  <si>
    <t>Nachos</t>
  </si>
  <si>
    <t>REC-940581</t>
  </si>
  <si>
    <t>252g</t>
  </si>
  <si>
    <t>REC-152003</t>
  </si>
  <si>
    <t>Galletas chocolate 0%</t>
  </si>
  <si>
    <t>REC-454001</t>
  </si>
  <si>
    <t>Bourn Vita 500Gram Pauch</t>
  </si>
  <si>
    <t>REC-711964</t>
  </si>
  <si>
    <t>Gpav cracker salato pav 560 gr</t>
  </si>
  <si>
    <t>560 g</t>
  </si>
  <si>
    <t>Italy, Germany, France</t>
  </si>
  <si>
    <t>REC-717959</t>
  </si>
  <si>
    <t>Dominican dark chocolate</t>
  </si>
  <si>
    <t>REC-458978</t>
  </si>
  <si>
    <t>Smooth</t>
  </si>
  <si>
    <t>REC-586972</t>
  </si>
  <si>
    <t>Lightly salted</t>
  </si>
  <si>
    <t>REC-493176</t>
  </si>
  <si>
    <t>Sea Salt flavour pea and bean sticks</t>
  </si>
  <si>
    <t>REC-911993</t>
  </si>
  <si>
    <t>Patatas fritas 0% sal</t>
  </si>
  <si>
    <t>REC-657100</t>
  </si>
  <si>
    <t>10 pains au lait</t>
  </si>
  <si>
    <t>maitre jeanpierre</t>
  </si>
  <si>
    <t>REC-737049</t>
  </si>
  <si>
    <t>12.5 OZ (354 g)</t>
  </si>
  <si>
    <t>REC-119319</t>
  </si>
  <si>
    <t>FIG BAR Raspberry</t>
  </si>
  <si>
    <t>NATURE'S BAKERY</t>
  </si>
  <si>
    <t>57 g</t>
  </si>
  <si>
    <t>REC-350392</t>
  </si>
  <si>
    <t>Fruit Oat Biscuit Breaks</t>
  </si>
  <si>
    <t>REC-544623</t>
  </si>
  <si>
    <t>Ginger Crystallized In Dark Chocolate</t>
  </si>
  <si>
    <t>Chocolove</t>
  </si>
  <si>
    <t>3.2 g</t>
  </si>
  <si>
    <t>REC-310249</t>
  </si>
  <si>
    <t>REC-344208</t>
  </si>
  <si>
    <t>Rosemary Crackers</t>
  </si>
  <si>
    <t>REC-859435</t>
  </si>
  <si>
    <t>KITKAT Ball, Billes au chocolat au Lait, 250g</t>
  </si>
  <si>
    <t>REC-670105</t>
  </si>
  <si>
    <t>Pois wasabi</t>
  </si>
  <si>
    <t>Tanoshi</t>
  </si>
  <si>
    <t>REC-914072</t>
  </si>
  <si>
    <t>Lunettes fraise</t>
  </si>
  <si>
    <t>REC-545382</t>
  </si>
  <si>
    <t>Crackers bio emmental et graines de courge paquet de 200g</t>
  </si>
  <si>
    <t>REC-160413</t>
  </si>
  <si>
    <t>Le pain des fleurs, ekibio</t>
  </si>
  <si>
    <t>REC-515616</t>
  </si>
  <si>
    <t>REC-311452</t>
  </si>
  <si>
    <t>REC-934656</t>
  </si>
  <si>
    <t>100G COTE D'OR NOIR ORIGINAL</t>
  </si>
  <si>
    <t>REC-962558</t>
  </si>
  <si>
    <t>LOTUS DINOSAURUS Original Chocolat lait 225g (4x3p)</t>
  </si>
  <si>
    <t>Lotus, Lotus Bakeries</t>
  </si>
  <si>
    <t>REC-641713</t>
  </si>
  <si>
    <t>Czech Republic,France,Italy,Spain,Switzerland,United Kingdom</t>
  </si>
  <si>
    <t>REC-618722</t>
  </si>
  <si>
    <t>Toblerone White</t>
  </si>
  <si>
    <t>REC-672625</t>
  </si>
  <si>
    <t>Milka Choc &amp; Choc</t>
  </si>
  <si>
    <t>MILKA</t>
  </si>
  <si>
    <t>REC-284045</t>
  </si>
  <si>
    <t>Alpine Milk</t>
  </si>
  <si>
    <t>REC-415154</t>
  </si>
  <si>
    <t>Mini Oreo</t>
  </si>
  <si>
    <t>Oreo,Mondelez</t>
  </si>
  <si>
    <t>160 g (4 x 40 g)</t>
  </si>
  <si>
    <t>REC-144391</t>
  </si>
  <si>
    <t>Wafers alla vaniglia</t>
  </si>
  <si>
    <t>balconi</t>
  </si>
  <si>
    <t>REC-462936</t>
  </si>
  <si>
    <t>Doritos Tex-mex</t>
  </si>
  <si>
    <t>44g</t>
  </si>
  <si>
    <t>REC-256990</t>
  </si>
  <si>
    <t>flan</t>
  </si>
  <si>
    <t>Ideal</t>
  </si>
  <si>
    <t>2.5g</t>
  </si>
  <si>
    <t>REC-564988</t>
  </si>
  <si>
    <t>REC-671166</t>
  </si>
  <si>
    <t>Galletas Maria Sin Gluten</t>
  </si>
  <si>
    <t>REC-819983</t>
  </si>
  <si>
    <t>Noir extra 99%</t>
  </si>
  <si>
    <t>Equador</t>
  </si>
  <si>
    <t>REC-166982</t>
  </si>
  <si>
    <t>Fagottini</t>
  </si>
  <si>
    <t>Balocco</t>
  </si>
  <si>
    <t>REC-847357</t>
  </si>
  <si>
    <t>Caramel Almond &amp; Sea salt bar</t>
  </si>
  <si>
    <t>Kind</t>
  </si>
  <si>
    <t>REC-569439</t>
  </si>
  <si>
    <t>Kind Protein Dark Chocolate Nut</t>
  </si>
  <si>
    <t>REC-778795</t>
  </si>
  <si>
    <t>295 g</t>
  </si>
  <si>
    <t>REC-188613</t>
  </si>
  <si>
    <t>Protein Cookie Double Chocolate</t>
  </si>
  <si>
    <t>Bodymass</t>
  </si>
  <si>
    <t>REC-749759</t>
  </si>
  <si>
    <t>Pavesini 200 gr</t>
  </si>
  <si>
    <t>REC-966890</t>
  </si>
  <si>
    <t>REC-409122</t>
  </si>
  <si>
    <t>55 g</t>
  </si>
  <si>
    <t>REC-162042</t>
  </si>
  <si>
    <t>Palitos frutos secos</t>
  </si>
  <si>
    <t>REC-370964</t>
  </si>
  <si>
    <t>Sfogliatine glassate</t>
  </si>
  <si>
    <t>REC-720204</t>
  </si>
  <si>
    <t>Granola Chocolat Noir</t>
  </si>
  <si>
    <t>REC-828818</t>
  </si>
  <si>
    <t>Bruges Assortment Biscuits</t>
  </si>
  <si>
    <t>Delacre, Ferrero</t>
  </si>
  <si>
    <t>REC-378837</t>
  </si>
  <si>
    <t>Lutti guimauve chocolat</t>
  </si>
  <si>
    <t>0.185 kg</t>
  </si>
  <si>
    <t>REC-350692</t>
  </si>
  <si>
    <t>madeleines</t>
  </si>
  <si>
    <t>REC-602222</t>
  </si>
  <si>
    <t>Tablette dessert chocolat noir 52% - 200g</t>
  </si>
  <si>
    <t>REC-355268</t>
  </si>
  <si>
    <t>REC-353264</t>
  </si>
  <si>
    <t>Pierre Martinet</t>
  </si>
  <si>
    <t>REC-807086</t>
  </si>
  <si>
    <t>8 Pains au chocolat pur beurre 400g</t>
  </si>
  <si>
    <t>REC-488857</t>
  </si>
  <si>
    <t>8 Pains au lait</t>
  </si>
  <si>
    <t>REC-531968</t>
  </si>
  <si>
    <t>Tartines craquantes froment</t>
  </si>
  <si>
    <t>REC-365666</t>
  </si>
  <si>
    <t>REC-613926</t>
  </si>
  <si>
    <t>Grand cÅ“ur fondant, chocolat noisettes</t>
  </si>
  <si>
    <t>Michel et Augustin,Ferrero</t>
  </si>
  <si>
    <t>REC-626897</t>
  </si>
  <si>
    <t>Spearmint Flavour</t>
  </si>
  <si>
    <t>Wrigley's Extra</t>
  </si>
  <si>
    <t>REC-715439</t>
  </si>
  <si>
    <t>Twiglets Original</t>
  </si>
  <si>
    <t>150 grame</t>
  </si>
  <si>
    <t>REC-699888</t>
  </si>
  <si>
    <t>Tuc</t>
  </si>
  <si>
    <t>REC-718611</t>
  </si>
  <si>
    <t>REC-115358</t>
  </si>
  <si>
    <t>Nutella &amp; GO</t>
  </si>
  <si>
    <t>Belgium,France,Germany,Switzerland</t>
  </si>
  <si>
    <t>REC-882469</t>
  </si>
  <si>
    <t>REC-714727</t>
  </si>
  <si>
    <t>Roasted &amp; Salted Peanuts</t>
  </si>
  <si>
    <t>Stockwell &amp; Co, Tesco</t>
  </si>
  <si>
    <t>France,Germany,United Kingdom</t>
  </si>
  <si>
    <t>REC-562376</t>
  </si>
  <si>
    <t>Momo white</t>
  </si>
  <si>
    <t>REC-186239</t>
  </si>
  <si>
    <t>Ð¥Ñ€ÑƒÑ-Ñ…Ñ€ÑƒÑ</t>
  </si>
  <si>
    <t>Maxi sticks</t>
  </si>
  <si>
    <t>REC-383171</t>
  </si>
  <si>
    <t>Le Sfoglie</t>
  </si>
  <si>
    <t>Italiamo</t>
  </si>
  <si>
    <t>225 g e</t>
  </si>
  <si>
    <t>REC-154746</t>
  </si>
  <si>
    <t>Vitamin coconut bar</t>
  </si>
  <si>
    <t>Sante</t>
  </si>
  <si>
    <t>REC-239527</t>
  </si>
  <si>
    <t>Sour cream &amp; onion</t>
  </si>
  <si>
    <t>REC-710440</t>
  </si>
  <si>
    <t>Protein Bar Chocolate Brownie</t>
  </si>
  <si>
    <t>135 g (3 x 45 g)</t>
  </si>
  <si>
    <t>France,Italy,Spain,United Kingdom</t>
  </si>
  <si>
    <t>REC-238083</t>
  </si>
  <si>
    <t>Chocolate negro 72%</t>
  </si>
  <si>
    <t>REC-894864</t>
  </si>
  <si>
    <t>Kinder tronky</t>
  </si>
  <si>
    <t>90 g (5 x 18 g)</t>
  </si>
  <si>
    <t>REC-903339</t>
  </si>
  <si>
    <t>REC-527625</t>
  </si>
  <si>
    <t>milka triple chocolat avec morceaux de biscuits</t>
  </si>
  <si>
    <t>REC-329135</t>
  </si>
  <si>
    <t>REC-827523</t>
  </si>
  <si>
    <t>Mini Rollos Chocolat au Lait &amp; Coeur fondant au Lait</t>
  </si>
  <si>
    <t>REC-537049</t>
  </si>
  <si>
    <t>REC-911943</t>
  </si>
  <si>
    <t>CMI (Carrefour Marchandises Internationales), Carrefour, Carrefour Original, Groupe Carrefour</t>
  </si>
  <si>
    <t>REC-225721</t>
  </si>
  <si>
    <t>Sel et Poivre</t>
  </si>
  <si>
    <t>REC-674813</t>
  </si>
  <si>
    <t>REC-362150</t>
  </si>
  <si>
    <t>190 g</t>
  </si>
  <si>
    <t>REC-378651</t>
  </si>
  <si>
    <t>COOKIES Chocolat Noisettes</t>
  </si>
  <si>
    <t>REC-765266</t>
  </si>
  <si>
    <t>Dipster</t>
  </si>
  <si>
    <t>REC-678283</t>
  </si>
  <si>
    <t>REC-526402</t>
  </si>
  <si>
    <t>Snacks a Jacks Chocolate Chip Rice Cakes 180g</t>
  </si>
  <si>
    <t>REC-247704</t>
  </si>
  <si>
    <t>Dark chocolate bar with cranberries and macadamias</t>
  </si>
  <si>
    <t>REC-360645</t>
  </si>
  <si>
    <t>Pipers Lye Cross Cheddar &amp; Onion Crisps</t>
  </si>
  <si>
    <t>REC-136960</t>
  </si>
  <si>
    <t>REC-432468</t>
  </si>
  <si>
    <t>1 x 35g</t>
  </si>
  <si>
    <t>REC-896481</t>
  </si>
  <si>
    <t>Snack Aper Matutano Doritos Tex-Mex 120g</t>
  </si>
  <si>
    <t>Doritos, Pepsico</t>
  </si>
  <si>
    <t>REC-346240</t>
  </si>
  <si>
    <t>Fibrextra</t>
  </si>
  <si>
    <t>330g</t>
  </si>
  <si>
    <t>æ³•å›½,æ„å¤§åˆ©,ç‘žå£«,Japan</t>
  </si>
  <si>
    <t>REC-810414</t>
  </si>
  <si>
    <t>Choco Chip Cookies</t>
  </si>
  <si>
    <t>France,Germany,Italy,Netherlands,Poland,Spain,Switzerland</t>
  </si>
  <si>
    <t>REC-196394</t>
  </si>
  <si>
    <t>Digestive Choco</t>
  </si>
  <si>
    <t>REC-227714</t>
  </si>
  <si>
    <t>gullon</t>
  </si>
  <si>
    <t>265g</t>
  </si>
  <si>
    <t>REC-309234</t>
  </si>
  <si>
    <t>Galleta boer sabor coco</t>
  </si>
  <si>
    <t>Coral</t>
  </si>
  <si>
    <t>REC-570728</t>
  </si>
  <si>
    <t>Maria</t>
  </si>
  <si>
    <t>REC-318805</t>
  </si>
  <si>
    <t>264g</t>
  </si>
  <si>
    <t>REC-454748</t>
  </si>
  <si>
    <t>KP Dry Roasted Peanuts</t>
  </si>
  <si>
    <t>415g</t>
  </si>
  <si>
    <t>REC-582396</t>
  </si>
  <si>
    <t>Nature Valley CRUNCHY</t>
  </si>
  <si>
    <t>REC-497572</t>
  </si>
  <si>
    <t>Kingsize Peanuts Unsalted</t>
  </si>
  <si>
    <t>Snacks of the world</t>
  </si>
  <si>
    <t>REC-832139</t>
  </si>
  <si>
    <t>Kinder Cards Family-Pack 20days</t>
  </si>
  <si>
    <t>256g</t>
  </si>
  <si>
    <t>REC-485234</t>
  </si>
  <si>
    <t>Organic Peruvian 85% Cocoa Dark Chocolate</t>
  </si>
  <si>
    <t>REC-695546</t>
  </si>
  <si>
    <t>Nascondini mb 330g int. eu</t>
  </si>
  <si>
    <t>Mulino Bianco</t>
  </si>
  <si>
    <t>Hrvatska,Francuska,NjemaÄka,Italija</t>
  </si>
  <si>
    <t>REC-775836</t>
  </si>
  <si>
    <t>Salted Potato Rings</t>
  </si>
  <si>
    <t>Hula Hoops</t>
  </si>
  <si>
    <t>REC-922538</t>
  </si>
  <si>
    <t>trufas</t>
  </si>
  <si>
    <t>lacasa</t>
  </si>
  <si>
    <t>REC-963706</t>
  </si>
  <si>
    <t>Granola cookie cÅ“ur extra moelleux</t>
  </si>
  <si>
    <t>Granola</t>
  </si>
  <si>
    <t>5 x 28 g</t>
  </si>
  <si>
    <t>REC-886381</t>
  </si>
  <si>
    <t>Oaty &amp; Crispy Avoine &amp; Cacao x 5 barres de 23 g</t>
  </si>
  <si>
    <t>115 g</t>
  </si>
  <si>
    <t>REC-966843</t>
  </si>
  <si>
    <t>Avoine &amp; miel</t>
  </si>
  <si>
    <t>REC-951651</t>
  </si>
  <si>
    <t>500 g (2 x 250 g)</t>
  </si>
  <si>
    <t>REC-466621</t>
  </si>
  <si>
    <t>Chocolat noir bio 70% cacao</t>
  </si>
  <si>
    <t>Fair,simplement bon et bio</t>
  </si>
  <si>
    <t>REC-479956</t>
  </si>
  <si>
    <t>Glico Mikado &amp; Go - Chocolat au lait</t>
  </si>
  <si>
    <t>LU, Mikado</t>
  </si>
  <si>
    <t>REC-267547</t>
  </si>
  <si>
    <t>REC-600661</t>
  </si>
  <si>
    <t>REC-758659</t>
  </si>
  <si>
    <t>3D's Bugles, BENENUTS, LAYS, PepsiCo</t>
  </si>
  <si>
    <t>REC-912417</t>
  </si>
  <si>
    <t>Crousti Chocolat</t>
  </si>
  <si>
    <t>Gerlinea</t>
  </si>
  <si>
    <t>102 g</t>
  </si>
  <si>
    <t>REC-133930</t>
  </si>
  <si>
    <t>Tartelettes framboise</t>
  </si>
  <si>
    <t>REC-229387</t>
  </si>
  <si>
    <t>Bouton D'Or, Les creations</t>
  </si>
  <si>
    <t>REC-120214</t>
  </si>
  <si>
    <t>Curly,Intersnack,Vico</t>
  </si>
  <si>
    <t>2 x 100 g</t>
  </si>
  <si>
    <t>Pains au chocolat x 8</t>
  </si>
  <si>
    <t>REC-447636</t>
  </si>
  <si>
    <t>REC-578343</t>
  </si>
  <si>
    <t>REC-551973</t>
  </si>
  <si>
    <t>REC-110289</t>
  </si>
  <si>
    <t>Finest Selection Assorted European Chocolates</t>
  </si>
  <si>
    <t>Merci,Storck</t>
  </si>
  <si>
    <t>Bulgaria,France,Germany,Spain,Switzerland,Qatar</t>
  </si>
  <si>
    <t>REC-805359</t>
  </si>
  <si>
    <t>Sour Cream &amp; Cracked Black Pepper Flavour Wholegrain Snack</t>
  </si>
  <si>
    <t>Sunbites</t>
  </si>
  <si>
    <t>REC-388577</t>
  </si>
  <si>
    <t>Doritos Tangy Cheese</t>
  </si>
  <si>
    <t>Doritos,Walkers</t>
  </si>
  <si>
    <t>REC-329576</t>
  </si>
  <si>
    <t>Mignonnette lait</t>
  </si>
  <si>
    <t>REC-870994</t>
  </si>
  <si>
    <t>Oreo Original</t>
  </si>
  <si>
    <t>REC-533704</t>
  </si>
  <si>
    <t>Caramelo Liquido</t>
  </si>
  <si>
    <t>Royal, Mondelez</t>
  </si>
  <si>
    <t>Frankreich, Marokko, Spanien, Germany</t>
  </si>
  <si>
    <t>REC-237148</t>
  </si>
  <si>
    <t>Original Neapolitaner</t>
  </si>
  <si>
    <t>Manner</t>
  </si>
  <si>
    <t>Czech Republic,Germany</t>
  </si>
  <si>
    <t>REC-970742</t>
  </si>
  <si>
    <t>snacks of the world</t>
  </si>
  <si>
    <t>REC-500768</t>
  </si>
  <si>
    <t>Barritas frutos secos</t>
  </si>
  <si>
    <t>REC-132115</t>
  </si>
  <si>
    <t>REC-969205</t>
  </si>
  <si>
    <t>Chocolat Noir IRRESISTIBLE 70%</t>
  </si>
  <si>
    <t>Co Op</t>
  </si>
  <si>
    <t>REC-128027</t>
  </si>
  <si>
    <t>Galletas Relieve</t>
  </si>
  <si>
    <t>645 g</t>
  </si>
  <si>
    <t>REC-794061</t>
  </si>
  <si>
    <t>Schtroumpfs</t>
  </si>
  <si>
    <t>REC-391244</t>
  </si>
  <si>
    <t>All Butter Pistachio and Almond Cookies</t>
  </si>
  <si>
    <t>REC-803408</t>
  </si>
  <si>
    <t>Lightly Salted Rice Crackers</t>
  </si>
  <si>
    <t>REC-451300</t>
  </si>
  <si>
    <t>Cereali G - granola e frolla</t>
  </si>
  <si>
    <t>REC-535797</t>
  </si>
  <si>
    <t>Petites tartelettes Chocolat caramel</t>
  </si>
  <si>
    <t>REC-182838</t>
  </si>
  <si>
    <t>WW, Weight Watchers</t>
  </si>
  <si>
    <t>16 200g</t>
  </si>
  <si>
    <t>REC-421396</t>
  </si>
  <si>
    <t>chocolate orange dipped almonds</t>
  </si>
  <si>
    <t>REC-825231</t>
  </si>
  <si>
    <t>Merveilles du Monde</t>
  </si>
  <si>
    <t>REC-314385</t>
  </si>
  <si>
    <t>REC-663293</t>
  </si>
  <si>
    <t>Twiglets (6 Pack)</t>
  </si>
  <si>
    <t>REC-861014</t>
  </si>
  <si>
    <t>Snaktastic</t>
  </si>
  <si>
    <t>REC-402908</t>
  </si>
  <si>
    <t>Musli bar apple</t>
  </si>
  <si>
    <t>Alemanha</t>
  </si>
  <si>
    <t>REC-855527</t>
  </si>
  <si>
    <t>REC-589457</t>
  </si>
  <si>
    <t>Biscuits Croquants Avoine Chocolat</t>
  </si>
  <si>
    <t>Evernat</t>
  </si>
  <si>
    <t>REC-972625</t>
  </si>
  <si>
    <t>REC-762627</t>
  </si>
  <si>
    <t>Tables du Mondes - Tortillas chips original</t>
  </si>
  <si>
    <t>REC-310695</t>
  </si>
  <si>
    <t>Rochers - chocolat au lait</t>
  </si>
  <si>
    <t>REC-167697</t>
  </si>
  <si>
    <t>REC-622907</t>
  </si>
  <si>
    <t>Tartines craquantes avoine</t>
  </si>
  <si>
    <t>REC-100261</t>
  </si>
  <si>
    <t>REC-261443</t>
  </si>
  <si>
    <t>Milchschnitte 10er-Pack</t>
  </si>
  <si>
    <t>kinder,Ferrero</t>
  </si>
  <si>
    <t>280 g (10 x 28 g)</t>
  </si>
  <si>
    <t>REC-628281</t>
  </si>
  <si>
    <t>Salted Tortilla Chips</t>
  </si>
  <si>
    <t>Essential Waitrose &amp; Partners</t>
  </si>
  <si>
    <t>REC-218902</t>
  </si>
  <si>
    <t>After Eight</t>
  </si>
  <si>
    <t>REC-433228</t>
  </si>
  <si>
    <t>After Eight Dark Chocolate Thins</t>
  </si>
  <si>
    <t>REC-520060</t>
  </si>
  <si>
    <t>Tuc Sour Cream &amp; Onion</t>
  </si>
  <si>
    <t>Danmark,Frankrig,Tyskland,Schweiz</t>
  </si>
  <si>
    <t>REC-711588</t>
  </si>
  <si>
    <t>Schoko Bons</t>
  </si>
  <si>
    <t>Austria,France,Germany,Hungary,Italy,Romania,Switzerland</t>
  </si>
  <si>
    <t>REC-986010</t>
  </si>
  <si>
    <t>REC-955736</t>
  </si>
  <si>
    <t>Ricola eucalyptus</t>
  </si>
  <si>
    <t>REC-109679</t>
  </si>
  <si>
    <t>Loacker</t>
  </si>
  <si>
    <t>REC-769831</t>
  </si>
  <si>
    <t>Hungary,Morocco,Spain</t>
  </si>
  <si>
    <t>REC-254616</t>
  </si>
  <si>
    <t>Milk Chocolate Coated Caramel Wafer Biscuit</t>
  </si>
  <si>
    <t>France,Spain,United Kingdom</t>
  </si>
  <si>
    <t>REC-223368</t>
  </si>
  <si>
    <t>102.5g</t>
  </si>
  <si>
    <t>REC-238171</t>
  </si>
  <si>
    <t>REC-820874</t>
  </si>
  <si>
    <t>Tangfastics</t>
  </si>
  <si>
    <t>HARIBO</t>
  </si>
  <si>
    <t>REC-485210</t>
  </si>
  <si>
    <t>Butter croissant</t>
  </si>
  <si>
    <t>REC-253854</t>
  </si>
  <si>
    <t>Mature Cheddar &amp; Red Onion</t>
  </si>
  <si>
    <t>REC-129540</t>
  </si>
  <si>
    <t>REC-924905</t>
  </si>
  <si>
    <t>Ferrero Rocher Haselnuss white</t>
  </si>
  <si>
    <t>REC-885830</t>
  </si>
  <si>
    <t>Milk Chocolate Buttons 38%</t>
  </si>
  <si>
    <t>Montezuma</t>
  </si>
  <si>
    <t>REC-357279</t>
  </si>
  <si>
    <t>Sweet and salty nut</t>
  </si>
  <si>
    <t>REC-622082</t>
  </si>
  <si>
    <t>Dominican Republic Dark Chocolate 72</t>
  </si>
  <si>
    <t>REC-663875</t>
  </si>
  <si>
    <t>REC-811450</t>
  </si>
  <si>
    <t>Excellence Noir Orange sanguine de Sicile</t>
  </si>
  <si>
    <t>REC-235626</t>
  </si>
  <si>
    <t>Madeleines sorties du four</t>
  </si>
  <si>
    <t>LE STERN</t>
  </si>
  <si>
    <t>REC-263162</t>
  </si>
  <si>
    <t>Pom-Bar</t>
  </si>
  <si>
    <t>Chio</t>
  </si>
  <si>
    <t>REC-317392</t>
  </si>
  <si>
    <t>Nut &amp; Fruit mix</t>
  </si>
  <si>
    <t>Natural Happiness</t>
  </si>
  <si>
    <t>REC-665020</t>
  </si>
  <si>
    <t>Chewing gum pure fresh</t>
  </si>
  <si>
    <t>Mentos</t>
  </si>
  <si>
    <t>REC-751576</t>
  </si>
  <si>
    <t>Milka triple caramel</t>
  </si>
  <si>
    <t>REC-369771</t>
  </si>
  <si>
    <t>Organix</t>
  </si>
  <si>
    <t>REC-910501</t>
  </si>
  <si>
    <t>flipo</t>
  </si>
  <si>
    <t>henrry's</t>
  </si>
  <si>
    <t>3 /18g</t>
  </si>
  <si>
    <t>REC-156624</t>
  </si>
  <si>
    <t>REC-828771</t>
  </si>
  <si>
    <t>FIG BAR Blueberry</t>
  </si>
  <si>
    <t>2 oz</t>
  </si>
  <si>
    <t>REC-700700</t>
  </si>
  <si>
    <t>Harvest Basket</t>
  </si>
  <si>
    <t>750g</t>
  </si>
  <si>
    <t>Finland,France,Germany,Slovenia,Spain</t>
  </si>
  <si>
    <t>REC-885399</t>
  </si>
  <si>
    <t>La Coqueline (fraise)</t>
  </si>
  <si>
    <t>165 g e</t>
  </si>
  <si>
    <t>REC-419542</t>
  </si>
  <si>
    <t>REC-997234</t>
  </si>
  <si>
    <t>Excellence Noir Zeste de Citron Vert</t>
  </si>
  <si>
    <t>REC-908188</t>
  </si>
  <si>
    <t>REC-466284</t>
  </si>
  <si>
    <t>Madeleines</t>
  </si>
  <si>
    <t>REC-849172</t>
  </si>
  <si>
    <t>REC-477050</t>
  </si>
  <si>
    <t>REC-975262</t>
  </si>
  <si>
    <t>REC-692776</t>
  </si>
  <si>
    <t>Coeur coulant au chocolatðŸ«</t>
  </si>
  <si>
    <t>Bonne maman</t>
  </si>
  <si>
    <t>160 g (2 * 80g)</t>
  </si>
  <si>
    <t>REC-124011</t>
  </si>
  <si>
    <t>REC-831710</t>
  </si>
  <si>
    <t>Ferrero,Michel et Augustin</t>
  </si>
  <si>
    <t>REC-106778</t>
  </si>
  <si>
    <t>Kinder Pingui</t>
  </si>
  <si>
    <t>REC-366090</t>
  </si>
  <si>
    <t>flash</t>
  </si>
  <si>
    <t>REC-403416</t>
  </si>
  <si>
    <t>Manyana</t>
  </si>
  <si>
    <t>Alimani</t>
  </si>
  <si>
    <t>REC-596451</t>
  </si>
  <si>
    <t>Candia</t>
  </si>
  <si>
    <t>20 cl</t>
  </si>
  <si>
    <t>Ø§Ù„Ø¬Ø²Ø§Ø¦Ø±</t>
  </si>
  <si>
    <t>REC-214722</t>
  </si>
  <si>
    <t>BEAN SALT SNACK</t>
  </si>
  <si>
    <t>Zweifel vaya</t>
  </si>
  <si>
    <t>Austria,France,Germany,Switzerland</t>
  </si>
  <si>
    <t>REC-596127</t>
  </si>
  <si>
    <t>Caramel et Noisettes</t>
  </si>
  <si>
    <t>à¸›à¸£à¸°à¹€à¸—à¸¨à¸à¸£à¸±à¹ˆà¸‡à¹€à¸¨à¸ª,à¸›à¸£à¸°à¹€à¸—à¸¨à¹€à¸¢à¸­à¸£à¸¡à¸™à¸µ,à¸›à¸£à¸°à¹€à¸—à¸¨à¸®à¸±à¸‡à¸à¸²à¸£à¸µ,à¸›à¸£à¸°à¹€à¸—à¸¨à¸ªà¹‚à¸¥à¸§à¸²à¹€à¸à¸µà¸¢,à¸›à¸£à¸°à¹€à¸—à¸¨à¸ªà¹€à¸›à¸™,à¸›à¸£à¸°à¹€à¸—à¸¨à¹„à¸—à¸¢ (Thai)</t>
  </si>
  <si>
    <t>REC-193284</t>
  </si>
  <si>
    <t>REC-569680</t>
  </si>
  <si>
    <t>REC-227467</t>
  </si>
  <si>
    <t>REC-425781</t>
  </si>
  <si>
    <t>Protein Peanut &amp; Chocolate Cereal Bar</t>
  </si>
  <si>
    <t>Nature valley</t>
  </si>
  <si>
    <t>REC-893588</t>
  </si>
  <si>
    <t>Chocolate puro con almendras</t>
  </si>
  <si>
    <t>REC-235336</t>
  </si>
  <si>
    <t>REC-969221</t>
  </si>
  <si>
    <t>Pan tostado ajo y perejil</t>
  </si>
  <si>
    <t>REC-823328</t>
  </si>
  <si>
    <t>Conikos barbecue</t>
  </si>
  <si>
    <t>REC-543975</t>
  </si>
  <si>
    <t>Galettes au bon beurre bio</t>
  </si>
  <si>
    <t>REC-959261</t>
  </si>
  <si>
    <t>Starmix</t>
  </si>
  <si>
    <t>Canada,France,United Kingdom</t>
  </si>
  <si>
    <t>REC-960717</t>
  </si>
  <si>
    <t>Nussknacker - Vollmilchschokolade</t>
  </si>
  <si>
    <t>Aldi,Choceur,WIHA</t>
  </si>
  <si>
    <t>Germany,Morocco,Romania</t>
  </si>
  <si>
    <t>REC-419467</t>
  </si>
  <si>
    <t>KIDDYLICIOUS Fruity Bakes - Fraise - 132g (6x1p)</t>
  </si>
  <si>
    <t>REC-452442</t>
  </si>
  <si>
    <t>REC-513581</t>
  </si>
  <si>
    <t>Home chip</t>
  </si>
  <si>
    <t>Mccain</t>
  </si>
  <si>
    <t>1kg</t>
  </si>
  <si>
    <t>REC-509111</t>
  </si>
  <si>
    <t>Grany - Envie de nuts</t>
  </si>
  <si>
    <t>REC-861734</t>
  </si>
  <si>
    <t>N.A ! NATURE ADDICTS</t>
  </si>
  <si>
    <t>REC-922046</t>
  </si>
  <si>
    <t>Wild Strawberry Gourmet Sweets</t>
  </si>
  <si>
    <t>Candy Kittens</t>
  </si>
  <si>
    <t>REC-829105</t>
  </si>
  <si>
    <t>Rice cracker paprika</t>
  </si>
  <si>
    <t>Nature Addict</t>
  </si>
  <si>
    <t>REC-493714</t>
  </si>
  <si>
    <t>Serrano cholli &amp; yucatan honey</t>
  </si>
  <si>
    <t>REC-153078</t>
  </si>
  <si>
    <t>KROKOLA, Merveilles du Monde</t>
  </si>
  <si>
    <t>REC-706672</t>
  </si>
  <si>
    <t>Crunchy Nut Clusters Chocolate</t>
  </si>
  <si>
    <t>Kellogg's</t>
  </si>
  <si>
    <t>REC-685498</t>
  </si>
  <si>
    <t>Leka</t>
  </si>
  <si>
    <t>REC-879107</t>
  </si>
  <si>
    <t>REC-879744</t>
  </si>
  <si>
    <t>Tortilla wraps</t>
  </si>
  <si>
    <t>Snack Day,Tastino</t>
  </si>
  <si>
    <t>740 g</t>
  </si>
  <si>
    <t>Bulgaria,France,Romania,Spain,Czech Republic</t>
  </si>
  <si>
    <t>REC-475317</t>
  </si>
  <si>
    <t>REC-257477</t>
  </si>
  <si>
    <t>51g</t>
  </si>
  <si>
    <t>REC-434589</t>
  </si>
  <si>
    <t>Swiss Chocolate Extra Fine Dark</t>
  </si>
  <si>
    <t>REC-703352</t>
  </si>
  <si>
    <t>Marylands Chocolate Chip Cookies</t>
  </si>
  <si>
    <t>REC-254549</t>
  </si>
  <si>
    <t>Chocolate Sea Salt</t>
  </si>
  <si>
    <t>RXBAR</t>
  </si>
  <si>
    <t>1 bar (52g)</t>
  </si>
  <si>
    <t>REC-628296</t>
  </si>
  <si>
    <t>Spiced biscuits</t>
  </si>
  <si>
    <t>REC-193233</t>
  </si>
  <si>
    <t>Galletas saladas</t>
  </si>
  <si>
    <t>REC-850368</t>
  </si>
  <si>
    <t>REM</t>
  </si>
  <si>
    <t>375g</t>
  </si>
  <si>
    <t>REC-933080</t>
  </si>
  <si>
    <t>Galettes Au bon beurre</t>
  </si>
  <si>
    <t>260 g (2 * 130 g)</t>
  </si>
  <si>
    <t>REC-913337</t>
  </si>
  <si>
    <t>Minizza TomateðŸ…&amp; Herbes de Provence</t>
  </si>
  <si>
    <t>REC-910565</t>
  </si>
  <si>
    <t>250G BUBBLIZZ LUTTI</t>
  </si>
  <si>
    <t>REC-562771</t>
  </si>
  <si>
    <t>REC-719058</t>
  </si>
  <si>
    <t>Moelleux tout chocolat Sans Sucres</t>
  </si>
  <si>
    <t>196 g</t>
  </si>
  <si>
    <t>REC-893840</t>
  </si>
  <si>
    <t>200 g (4 x 50 g)</t>
  </si>
  <si>
    <t>REC-226430</t>
  </si>
  <si>
    <t>TooGood</t>
  </si>
  <si>
    <t>REC-258752</t>
  </si>
  <si>
    <t>REC-828897</t>
  </si>
  <si>
    <t>Madeleines longues - Perles de sucre</t>
  </si>
  <si>
    <t>REC-156780</t>
  </si>
  <si>
    <t>Petit beurre 200g</t>
  </si>
  <si>
    <t>U</t>
  </si>
  <si>
    <t>REC-763192</t>
  </si>
  <si>
    <t>REC-771999</t>
  </si>
  <si>
    <t>Brossard - brownie familial pepites de chocolat 285gr</t>
  </si>
  <si>
    <t>REC-680048</t>
  </si>
  <si>
    <t>REC-596232</t>
  </si>
  <si>
    <t>Wrigley's Extra Peppermint</t>
  </si>
  <si>
    <t>Wrigley's</t>
  </si>
  <si>
    <t>60 pieces</t>
  </si>
  <si>
    <t>REC-434376</t>
  </si>
  <si>
    <t>Finest Scottish Shortbread Fingers</t>
  </si>
  <si>
    <t>REC-594932</t>
  </si>
  <si>
    <t>Penguin Biscuit Bar</t>
  </si>
  <si>
    <t>24.6 g</t>
  </si>
  <si>
    <t>REC-537235</t>
  </si>
  <si>
    <t>Sante Baton Proteinowy Go On Kakaowy</t>
  </si>
  <si>
    <t>Go On</t>
  </si>
  <si>
    <t>REC-508467</t>
  </si>
  <si>
    <t>154g</t>
  </si>
  <si>
    <t>REC-654088</t>
  </si>
  <si>
    <t>Granola L'original</t>
  </si>
  <si>
    <t>400 g (2 * 200 g)</t>
  </si>
  <si>
    <t>REC-645643</t>
  </si>
  <si>
    <t>REC-972955</t>
  </si>
  <si>
    <t>Bonbons Tic Tac x110 pastilles MENTHE - 54g</t>
  </si>
  <si>
    <t>Ferrero,Mixte,TIC TAC</t>
  </si>
  <si>
    <t>54 g</t>
  </si>
  <si>
    <t>REC-719828</t>
  </si>
  <si>
    <t>Kinder pingui gouter frais genoise avec chocolat noir extra, fourree lait et cacao t8 pack de 8 etuis</t>
  </si>
  <si>
    <t>REC-307113</t>
  </si>
  <si>
    <t>REC-939640</t>
  </si>
  <si>
    <t>gullon Hearts of Cereal Breakfast</t>
  </si>
  <si>
    <t>REC-869798</t>
  </si>
  <si>
    <t>Muesli &amp; Raisin Cookies 185g</t>
  </si>
  <si>
    <t>REC-238276</t>
  </si>
  <si>
    <t>san nicasio crisps imp</t>
  </si>
  <si>
    <t>San Nicasio</t>
  </si>
  <si>
    <t>REC-388806</t>
  </si>
  <si>
    <t>Barritas de cereales muesli con avellanas y almendras</t>
  </si>
  <si>
    <t>REC-677939</t>
  </si>
  <si>
    <t>Peanut Butter Pretzels</t>
  </si>
  <si>
    <t>Kirkland Signature</t>
  </si>
  <si>
    <t>55 oz</t>
  </si>
  <si>
    <t>REC-840350</t>
  </si>
  <si>
    <t>Carrefour, Reflets de France</t>
  </si>
  <si>
    <t>REC-504534</t>
  </si>
  <si>
    <t>REC-794582</t>
  </si>
  <si>
    <t>Palomitas pipocas microondas Sal</t>
  </si>
  <si>
    <t>REC-878514</t>
  </si>
  <si>
    <t>REC-851305</t>
  </si>
  <si>
    <t>ROSHEN</t>
  </si>
  <si>
    <t>Bulgaria,Georgia,Romania</t>
  </si>
  <si>
    <t>REC-595830</t>
  </si>
  <si>
    <t>Curvies original gluten free</t>
  </si>
  <si>
    <t>REC-455521</t>
  </si>
  <si>
    <t>Hand Cooked Lightly Salted Potato Crisps</t>
  </si>
  <si>
    <t>Specially Selected</t>
  </si>
  <si>
    <t>6 Bags 25g Each</t>
  </si>
  <si>
    <t>REC-429007</t>
  </si>
  <si>
    <t>Cashew Nuts Unsalted (Anacardos sin sal)</t>
  </si>
  <si>
    <t>Snacks of The World</t>
  </si>
  <si>
    <t>REC-968440</t>
  </si>
  <si>
    <t>REC-658069</t>
  </si>
  <si>
    <t>150 g (2 x 75 g)</t>
  </si>
  <si>
    <t>REC-460238</t>
  </si>
  <si>
    <t>Sour cream &amp; onion flavour potato chips</t>
  </si>
  <si>
    <t>REC-154663</t>
  </si>
  <si>
    <t>Hummus bites tomato and basil</t>
  </si>
  <si>
    <t>REC-661977</t>
  </si>
  <si>
    <t>Linsen Chips Paprika Style</t>
  </si>
  <si>
    <t>REC-418798</t>
  </si>
  <si>
    <t>REC-620407</t>
  </si>
  <si>
    <t>Brioche Muffin x 5 250g</t>
  </si>
  <si>
    <t>REC-256282</t>
  </si>
  <si>
    <t>Fairglobe, Way to go!, Lidl</t>
  </si>
  <si>
    <t>REC-660659</t>
  </si>
  <si>
    <t>Cookies Classique</t>
  </si>
  <si>
    <t>136g</t>
  </si>
  <si>
    <t>REC-181038</t>
  </si>
  <si>
    <t>Almond Cantucci</t>
  </si>
  <si>
    <t>REC-292059</t>
  </si>
  <si>
    <t>amaretti</t>
  </si>
  <si>
    <t>Crosta and mollica</t>
  </si>
  <si>
    <t>REC-736619</t>
  </si>
  <si>
    <t>crispy seaweed thins sea salt</t>
  </si>
  <si>
    <t>itsu</t>
  </si>
  <si>
    <t>5G</t>
  </si>
  <si>
    <t>REC-948811</t>
  </si>
  <si>
    <t>Snickers x10</t>
  </si>
  <si>
    <t>REC-427984</t>
  </si>
  <si>
    <t>France,Germany,Spain</t>
  </si>
  <si>
    <t>REC-979169</t>
  </si>
  <si>
    <t>France,</t>
  </si>
  <si>
    <t>REC-133492</t>
  </si>
  <si>
    <t>REC-705097</t>
  </si>
  <si>
    <t>St michel - madeleines moelleuses nature x32 sachets individuels - le paquet de 800g</t>
  </si>
  <si>
    <t>REC-479730</t>
  </si>
  <si>
    <t>REC-222852</t>
  </si>
  <si>
    <t>REC-760733</t>
  </si>
  <si>
    <t>Chocolat noir caramel pointe de sel</t>
  </si>
  <si>
    <t>REC-761251</t>
  </si>
  <si>
    <t>REC-520336</t>
  </si>
  <si>
    <t>AmanieNord Fresh, Lidl</t>
  </si>
  <si>
    <t>REC-441194</t>
  </si>
  <si>
    <t>Peanut Chocolate Treat Bag</t>
  </si>
  <si>
    <t>M&amp;M's</t>
  </si>
  <si>
    <t>82 g</t>
  </si>
  <si>
    <t>REC-431820</t>
  </si>
  <si>
    <t>McVitie's Rich Tea Classic 2 x</t>
  </si>
  <si>
    <t>REC-393895</t>
  </si>
  <si>
    <t>Hand-cooked crisp lightly sea salted</t>
  </si>
  <si>
    <t>Tyrrells</t>
  </si>
  <si>
    <t>REC-687663</t>
  </si>
  <si>
    <t>REC-856276</t>
  </si>
  <si>
    <t>Ficelles Olives Vertes et Noires</t>
  </si>
  <si>
    <t>REC-735162</t>
  </si>
  <si>
    <t>Lindet choco swis dark 2yrs prod</t>
  </si>
  <si>
    <t>REC-867667</t>
  </si>
  <si>
    <t>BelVita, LU</t>
  </si>
  <si>
    <t>REC-410547</t>
  </si>
  <si>
    <t>3 x 300 g</t>
  </si>
  <si>
    <t>REC-110068</t>
  </si>
  <si>
    <t>Milka Tendre au lait</t>
  </si>
  <si>
    <t>REC-919137</t>
  </si>
  <si>
    <t>Milk Chocolate Truffles</t>
  </si>
  <si>
    <t>REC-944870</t>
  </si>
  <si>
    <t>TIC TAC Fresh Mint</t>
  </si>
  <si>
    <t>18 g</t>
  </si>
  <si>
    <t>REC-430972</t>
  </si>
  <si>
    <t>Sunbites. Sal marina.</t>
  </si>
  <si>
    <t>Sunbites,PepsiCo</t>
  </si>
  <si>
    <t>Portugal,Espanha</t>
  </si>
  <si>
    <t>REC-245362</t>
  </si>
  <si>
    <t>Barilla, Harrys</t>
  </si>
  <si>
    <t>REC-345822</t>
  </si>
  <si>
    <t>BiscuiÈ›i cu cremÄƒ de cacao</t>
  </si>
  <si>
    <t>Croco</t>
  </si>
  <si>
    <t>REC-232705</t>
  </si>
  <si>
    <t>Sea Salt &amp; Chardonnay Wine Vinegar Crisps</t>
  </si>
  <si>
    <t>Co Op, Coop</t>
  </si>
  <si>
    <t>REC-999167</t>
  </si>
  <si>
    <t>Potato Cakes</t>
  </si>
  <si>
    <t>Warburtons</t>
  </si>
  <si>
    <t>REC-605560</t>
  </si>
  <si>
    <t>Corn Puffs Star W Cascaval 90G 1 / 20 1.6KG / Box</t>
  </si>
  <si>
    <t>Star</t>
  </si>
  <si>
    <t>REC-497922</t>
  </si>
  <si>
    <t>Pure fresh mentos</t>
  </si>
  <si>
    <t>REC-631891</t>
  </si>
  <si>
    <t>REC-692106</t>
  </si>
  <si>
    <t>Sea Salt Sourdough Flatbreads</t>
  </si>
  <si>
    <t>Peter's Yard</t>
  </si>
  <si>
    <t>REC-630007</t>
  </si>
  <si>
    <t>Pepite chocolat</t>
  </si>
  <si>
    <t>REC-496835</t>
  </si>
  <si>
    <t>Funkie</t>
  </si>
  <si>
    <t>REC-602078</t>
  </si>
  <si>
    <t>126 gr</t>
  </si>
  <si>
    <t>REC-293057</t>
  </si>
  <si>
    <t>Pistachios</t>
  </si>
  <si>
    <t>REC-645951</t>
  </si>
  <si>
    <t>REC-327669</t>
  </si>
  <si>
    <t>Brossard - Savane Mini Dark Chocolate Marble Cakes, 210g (7.5oz)</t>
  </si>
  <si>
    <t>REC-769574</t>
  </si>
  <si>
    <t>50G RICOLA MENTHOL</t>
  </si>
  <si>
    <t>REC-293254</t>
  </si>
  <si>
    <t>REC-706176</t>
  </si>
  <si>
    <t>REC-318587</t>
  </si>
  <si>
    <t>The Best Sea Salted Crisps</t>
  </si>
  <si>
    <t>Morrisons</t>
  </si>
  <si>
    <t>REC-970573</t>
  </si>
  <si>
    <t>Storck,Toffifee</t>
  </si>
  <si>
    <t>REC-753812</t>
  </si>
  <si>
    <t>REC-415914</t>
  </si>
  <si>
    <t>Heroes</t>
  </si>
  <si>
    <t>550g</t>
  </si>
  <si>
    <t>REC-614261</t>
  </si>
  <si>
    <t>Sweet chilli pepper</t>
  </si>
  <si>
    <t>REC-987997</t>
  </si>
  <si>
    <t>Organix carrot cake oats bars</t>
  </si>
  <si>
    <t>6x23g</t>
  </si>
  <si>
    <t>REC-407145</t>
  </si>
  <si>
    <t>France,Kenya</t>
  </si>
  <si>
    <t>REC-173883</t>
  </si>
  <si>
    <t>Natural Original Liquorice 4 Bars</t>
  </si>
  <si>
    <t>Panda</t>
  </si>
  <si>
    <t>REC-296684</t>
  </si>
  <si>
    <t>Mikrowellen Popcorn salzig</t>
  </si>
  <si>
    <t>McEnnedy</t>
  </si>
  <si>
    <t>REC-325558</t>
  </si>
  <si>
    <t>2 x 200 g</t>
  </si>
  <si>
    <t>REC-781241</t>
  </si>
  <si>
    <t>Aachener Zucker- und Backwaren Paul Schaeffer, Lidl, Sondey</t>
  </si>
  <si>
    <t>200 g (16 x 12,5 g)</t>
  </si>
  <si>
    <t>REC-202883</t>
  </si>
  <si>
    <t>REC-813081</t>
  </si>
  <si>
    <t>Cereal Max Energy Noisette Chocolat</t>
  </si>
  <si>
    <t>Isostar</t>
  </si>
  <si>
    <t>3 x 55g</t>
  </si>
  <si>
    <t>REC-970687</t>
  </si>
  <si>
    <t>Sticks et bretzels</t>
  </si>
  <si>
    <t>REC-467524</t>
  </si>
  <si>
    <t>Bouton d'or</t>
  </si>
  <si>
    <t>REC-863738</t>
  </si>
  <si>
    <t>Galleta de mantequilla con tableta de chocolate con leche</t>
  </si>
  <si>
    <t>France,Italy,Poland,Romania,Spain,Switzerland,Belgium</t>
  </si>
  <si>
    <t>REC-329610</t>
  </si>
  <si>
    <t>Le Palet Breton</t>
  </si>
  <si>
    <t>REC-738029</t>
  </si>
  <si>
    <t>REC-296064</t>
  </si>
  <si>
    <t>Chocolat noir Quinoa</t>
  </si>
  <si>
    <t>REC-494728</t>
  </si>
  <si>
    <t>Werthers Original Drops Sukkerfri 42g</t>
  </si>
  <si>
    <t>Conaxess trade norway, Storck</t>
  </si>
  <si>
    <t>REC-911361</t>
  </si>
  <si>
    <t>Storck Caramel Popcorn Classic 140g</t>
  </si>
  <si>
    <t>REC-405085</t>
  </si>
  <si>
    <t>Balisto Miel Amandes x9</t>
  </si>
  <si>
    <t>Balisto</t>
  </si>
  <si>
    <t>REC-745432</t>
  </si>
  <si>
    <t>Bombay mix</t>
  </si>
  <si>
    <t>Cofresh</t>
  </si>
  <si>
    <t>REC-796803</t>
  </si>
  <si>
    <t>Kellogg's, Extra</t>
  </si>
  <si>
    <t>REC-967434</t>
  </si>
  <si>
    <t>Cashew Cookie Raw Fruit &amp; Nut WholefoodBars</t>
  </si>
  <si>
    <t>REC-549220</t>
  </si>
  <si>
    <t>Nakd, nÄkd</t>
  </si>
  <si>
    <t>Belgie,ÄŒesko,Francie</t>
  </si>
  <si>
    <t>REC-427535</t>
  </si>
  <si>
    <t>REC-932107</t>
  </si>
  <si>
    <t>REC-907261</t>
  </si>
  <si>
    <t>Orange Menthe</t>
  </si>
  <si>
    <t>REC-145785</t>
  </si>
  <si>
    <t>REC-363549</t>
  </si>
  <si>
    <t>Choco sticks</t>
  </si>
  <si>
    <t>112 g</t>
  </si>
  <si>
    <t>Bulgaria,Canada,Croatia,France,Italy,Morocco,Poland,Spain</t>
  </si>
  <si>
    <t>REC-528754</t>
  </si>
  <si>
    <t>Kinder, Ferrero, Mixte</t>
  </si>
  <si>
    <t>258 g</t>
  </si>
  <si>
    <t>REC-383715</t>
  </si>
  <si>
    <t>Buoni cosi</t>
  </si>
  <si>
    <t>REC-128676</t>
  </si>
  <si>
    <t>MixMax</t>
  </si>
  <si>
    <t>REC-255895</t>
  </si>
  <si>
    <t>Tortilla chips chili</t>
  </si>
  <si>
    <t>REC-759522</t>
  </si>
  <si>
    <t>Cheetos Sticks</t>
  </si>
  <si>
    <t>cheetos</t>
  </si>
  <si>
    <t>96 g</t>
  </si>
  <si>
    <t>REC-697534</t>
  </si>
  <si>
    <t>Chocolat gianduja</t>
  </si>
  <si>
    <t>REC-983695</t>
  </si>
  <si>
    <t>Sweet &amp; Salty Microwave Popcorn</t>
  </si>
  <si>
    <t>Butterkist</t>
  </si>
  <si>
    <t>REC-591711</t>
  </si>
  <si>
    <t>Black's Organic White Chocolate Bar</t>
  </si>
  <si>
    <t>REC-455140</t>
  </si>
  <si>
    <t>Classic Cream Crackers</t>
  </si>
  <si>
    <t>REC-120006</t>
  </si>
  <si>
    <t>Tartines Craquantes Sarrasin</t>
  </si>
  <si>
    <t>REC-374758</t>
  </si>
  <si>
    <t>Original Beef Stick</t>
  </si>
  <si>
    <t>Chomps</t>
  </si>
  <si>
    <t>32 grams</t>
  </si>
  <si>
    <t>United States, World</t>
  </si>
  <si>
    <t>REC-396521</t>
  </si>
  <si>
    <t>Smooth operator milk chocolate</t>
  </si>
  <si>
    <t>REC-197979</t>
  </si>
  <si>
    <t>Biscotti Al Cioccolato</t>
  </si>
  <si>
    <t>REC-285833</t>
  </si>
  <si>
    <t>Salt &amp; Shake Potato Crisps</t>
  </si>
  <si>
    <t>6 x 24g</t>
  </si>
  <si>
    <t>REC-859689</t>
  </si>
  <si>
    <t>REC-958829</t>
  </si>
  <si>
    <t>Oat Shortbread</t>
  </si>
  <si>
    <t>REC-944705</t>
  </si>
  <si>
    <t>REC-611391</t>
  </si>
  <si>
    <t>Chips saveur miel moutarde</t>
  </si>
  <si>
    <t>REC-629653</t>
  </si>
  <si>
    <t>Hot &amp; Spicy</t>
  </si>
  <si>
    <t>Pringles, Pringles - Kellogg</t>
  </si>
  <si>
    <t>REC-760152</t>
  </si>
  <si>
    <t>Brioches barre chocolat au lait</t>
  </si>
  <si>
    <t>REC-168017</t>
  </si>
  <si>
    <t>REC-661558</t>
  </si>
  <si>
    <t>Mini Cheddars</t>
  </si>
  <si>
    <t>REC-735951</t>
  </si>
  <si>
    <t>sour cream &amp; onion flavour popped potato snacks</t>
  </si>
  <si>
    <t>17g</t>
  </si>
  <si>
    <t>REC-484055</t>
  </si>
  <si>
    <t>Cioccoavena</t>
  </si>
  <si>
    <t>mulino bianco</t>
  </si>
  <si>
    <t>270g</t>
  </si>
  <si>
    <t>REC-931515</t>
  </si>
  <si>
    <t>REC-549925</t>
  </si>
  <si>
    <t>chips saveur barbecue</t>
  </si>
  <si>
    <t>REC-112650</t>
  </si>
  <si>
    <t>napolitane</t>
  </si>
  <si>
    <t>REC-798251</t>
  </si>
  <si>
    <t>REC-991527</t>
  </si>
  <si>
    <t>Multi-Grain Crackers 6-Seed</t>
  </si>
  <si>
    <t>Crunchmaster</t>
  </si>
  <si>
    <t>REC-195320</t>
  </si>
  <si>
    <t>Dark chocolate covered pretzels with peppermint pieces, peppermint</t>
  </si>
  <si>
    <t>21g</t>
  </si>
  <si>
    <t>REC-375991</t>
  </si>
  <si>
    <t>Bellarom, Fin Carre</t>
  </si>
  <si>
    <t>REC-863414</t>
  </si>
  <si>
    <t>Fette croccanti con sesamo</t>
  </si>
  <si>
    <t>REC-923685</t>
  </si>
  <si>
    <t>Crusti Choc</t>
  </si>
  <si>
    <t>Ð¤Ñ€Ð°Ð½Ñ†Ð¸Ñ,Ð“ÐµÑ€Ð¼Ð°Ð½Ð¸Ñ,Ð£Ð½Ð³Ð°Ñ€Ð¸Ñ,Ð˜ÑÐ¿Ð°Ð½Ð¸Ñ,Ð‘ÑŠÐ»Ð³Ð°Ñ€Ð¸Ñ</t>
  </si>
  <si>
    <t>REC-544776</t>
  </si>
  <si>
    <t>REC-930146</t>
  </si>
  <si>
    <t>ancel</t>
  </si>
  <si>
    <t>REC-988456</t>
  </si>
  <si>
    <t>REC-258443</t>
  </si>
  <si>
    <t>30 boudoirs 175g</t>
  </si>
  <si>
    <t>Frankreich, Germany</t>
  </si>
  <si>
    <t>REC-573438</t>
  </si>
  <si>
    <t>Haribo pik</t>
  </si>
  <si>
    <t>REC-504266</t>
  </si>
  <si>
    <t>REC-933430</t>
  </si>
  <si>
    <t>REC-784797</t>
  </si>
  <si>
    <t>REC-647607</t>
  </si>
  <si>
    <t>France,Italy,Kenya,Morocco,Spain</t>
  </si>
  <si>
    <t>REC-692769</t>
  </si>
  <si>
    <t>Kaoka</t>
  </si>
  <si>
    <t>France,Netherlands</t>
  </si>
  <si>
    <t>REC-847417</t>
  </si>
  <si>
    <t>L'originale</t>
  </si>
  <si>
    <t>REC-984143</t>
  </si>
  <si>
    <t>REC-116729</t>
  </si>
  <si>
    <t>Chips Pom'Lisse</t>
  </si>
  <si>
    <t>REC-118132</t>
  </si>
  <si>
    <t>Rocher Suchard noir (7 x 35g) 245 g e</t>
  </si>
  <si>
    <t>Suchard,Suchard rocher</t>
  </si>
  <si>
    <t>REC-515635</t>
  </si>
  <si>
    <t>Kinderriegel</t>
  </si>
  <si>
    <t>378 g</t>
  </si>
  <si>
    <t>REC-839852</t>
  </si>
  <si>
    <t>Lightly Salted Tortilla Chips</t>
  </si>
  <si>
    <t>CO OP</t>
  </si>
  <si>
    <t>REC-899897</t>
  </si>
  <si>
    <t>M&amp;M's - peanut</t>
  </si>
  <si>
    <t>M&amp;m's, Mars, Mars Chocolat, Mars Chocolat France</t>
  </si>
  <si>
    <t>REC-309726</t>
  </si>
  <si>
    <t>Toasting Muffins</t>
  </si>
  <si>
    <t>256g (4)</t>
  </si>
  <si>
    <t>REC-206249</t>
  </si>
  <si>
    <t>REC-282639</t>
  </si>
  <si>
    <t>chocolat brownie</t>
  </si>
  <si>
    <t>REC-651812</t>
  </si>
  <si>
    <t>Hollywood</t>
  </si>
  <si>
    <t>REC-118285</t>
  </si>
  <si>
    <t>Kinder Bueno Mini</t>
  </si>
  <si>
    <t>Belgium,France,Spain</t>
  </si>
  <si>
    <t>REC-274883</t>
  </si>
  <si>
    <t>Butterkeks Petit beurre</t>
  </si>
  <si>
    <t>165unknown</t>
  </si>
  <si>
    <t>REC-447723</t>
  </si>
  <si>
    <t>IL CRACKER</t>
  </si>
  <si>
    <t>Gran Pavesi</t>
  </si>
  <si>
    <t>REC-463087</t>
  </si>
  <si>
    <t>Primizie</t>
  </si>
  <si>
    <t>France, Italy, Germany</t>
  </si>
  <si>
    <t>REC-346480</t>
  </si>
  <si>
    <t>Crunchy Avena y Miel</t>
  </si>
  <si>
    <t>Nature Valley,General Mills</t>
  </si>
  <si>
    <t>210 g (5 x 42 g)</t>
  </si>
  <si>
    <t>REC-142184</t>
  </si>
  <si>
    <t>Naturel Chips</t>
  </si>
  <si>
    <t>Belgium,Netherlands</t>
  </si>
  <si>
    <t>REC-629911</t>
  </si>
  <si>
    <t>Classic</t>
  </si>
  <si>
    <t>8 OZ (226.8 g)</t>
  </si>
  <si>
    <t>REC-835675</t>
  </si>
  <si>
    <t>Team up</t>
  </si>
  <si>
    <t>24 g</t>
  </si>
  <si>
    <t>REC-251464</t>
  </si>
  <si>
    <t>Gullon cookies</t>
  </si>
  <si>
    <t>REC-480076</t>
  </si>
  <si>
    <t>Aldi, ALDI MOSER ROTH, Moser Roth</t>
  </si>
  <si>
    <t>REC-338665</t>
  </si>
  <si>
    <t>Croc break</t>
  </si>
  <si>
    <t>REC-528427</t>
  </si>
  <si>
    <t>Creamy Coleslaw</t>
  </si>
  <si>
    <t>REC-185822</t>
  </si>
  <si>
    <t>REC-932820</t>
  </si>
  <si>
    <t>Tortilla Chips Avocado Guacamole Flavour</t>
  </si>
  <si>
    <t>Mister Free'd</t>
  </si>
  <si>
    <t>REC-362921</t>
  </si>
  <si>
    <t>Wintertraum,Borggreve</t>
  </si>
  <si>
    <t>REC-969188</t>
  </si>
  <si>
    <t>Organic Sea Salt Thin &amp; Crispy Tortilla Chips</t>
  </si>
  <si>
    <t>Late July</t>
  </si>
  <si>
    <t>REC-313371</t>
  </si>
  <si>
    <t>170 g (3 x 56,7 g)</t>
  </si>
  <si>
    <t>REC-971893</t>
  </si>
  <si>
    <t>REC-290308</t>
  </si>
  <si>
    <t>Sour Watermelon</t>
  </si>
  <si>
    <t>REC-439794</t>
  </si>
  <si>
    <t>Schokolade Halbbitter</t>
  </si>
  <si>
    <t>Ritter Sport</t>
  </si>
  <si>
    <t>REC-263925</t>
  </si>
  <si>
    <t>Crunchips Paprika</t>
  </si>
  <si>
    <t>REC-295417</t>
  </si>
  <si>
    <t>85% Cacao NOIR</t>
  </si>
  <si>
    <t>REC-498452</t>
  </si>
  <si>
    <t>NESTLE FITNESS Cocoa Protein Bar Multipack (</t>
  </si>
  <si>
    <t>4 x 20 g</t>
  </si>
  <si>
    <t>REC-554259</t>
  </si>
  <si>
    <t>Mikado</t>
  </si>
  <si>
    <t>Glico, LU, Mikado, Mondelez</t>
  </si>
  <si>
    <t>REC-881519</t>
  </si>
  <si>
    <t>Nocciolata</t>
  </si>
  <si>
    <t>Rigoni di Asiago</t>
  </si>
  <si>
    <t>REC-596684</t>
  </si>
  <si>
    <t>Dark milk chocolate with blood orange</t>
  </si>
  <si>
    <t>REC-577588</t>
  </si>
  <si>
    <t>Original Saltine Crackers</t>
  </si>
  <si>
    <t>Premium</t>
  </si>
  <si>
    <t>1 lb</t>
  </si>
  <si>
    <t>REC-266020</t>
  </si>
  <si>
    <t>Cinnamon Brown Sugar Breakfast Biscuits</t>
  </si>
  <si>
    <t>1.76oz</t>
  </si>
  <si>
    <t>France, United States</t>
  </si>
  <si>
    <t>REC-772267</t>
  </si>
  <si>
    <t>Organic Tortilla Chips</t>
  </si>
  <si>
    <t>40 oz</t>
  </si>
  <si>
    <t>REC-364543</t>
  </si>
  <si>
    <t>Bastoncini salati</t>
  </si>
  <si>
    <t>Snack day</t>
  </si>
  <si>
    <t>Frankreich, Litauen, Niederlande, Germany</t>
  </si>
  <si>
    <t>REC-928943</t>
  </si>
  <si>
    <t>Rich Tea Biscuits</t>
  </si>
  <si>
    <t>REC-308580</t>
  </si>
  <si>
    <t>Nature Tortilla</t>
  </si>
  <si>
    <t>Frankrijk,Duitsland,Nederland</t>
  </si>
  <si>
    <t>REC-874194</t>
  </si>
  <si>
    <t>REC-951803</t>
  </si>
  <si>
    <t>REC-113164</t>
  </si>
  <si>
    <t>REC-179823</t>
  </si>
  <si>
    <t>200G STARMINT HARIBO</t>
  </si>
  <si>
    <t>REC-862062</t>
  </si>
  <si>
    <t>Lutti best fizz tubo 550g</t>
  </si>
  <si>
    <t>0.55 kg</t>
  </si>
  <si>
    <t>REC-641701</t>
  </si>
  <si>
    <t>REC-540919</t>
  </si>
  <si>
    <t>176 g</t>
  </si>
  <si>
    <t>REC-949221</t>
  </si>
  <si>
    <t>Cookies Chocolat Noisettes</t>
  </si>
  <si>
    <t>REC-616247</t>
  </si>
  <si>
    <t>REC-605140</t>
  </si>
  <si>
    <t>Crackers 3 graines - BIO</t>
  </si>
  <si>
    <t>Chabrior, Regain</t>
  </si>
  <si>
    <t>REC-903541</t>
  </si>
  <si>
    <t>Vico La Classique 400g</t>
  </si>
  <si>
    <t>Intersnack, Vico</t>
  </si>
  <si>
    <t>REC-533561</t>
  </si>
  <si>
    <t>Chocolate Fitness Special K</t>
  </si>
  <si>
    <t>23,5 g</t>
  </si>
  <si>
    <t>Belgium,France,Spain,Finland</t>
  </si>
  <si>
    <t>REC-966633</t>
  </si>
  <si>
    <t>REC-875560</t>
  </si>
  <si>
    <t>REC-670784</t>
  </si>
  <si>
    <t>Soreen Malt Loaf 190g</t>
  </si>
  <si>
    <t>REC-627837</t>
  </si>
  <si>
    <t>REC-527275</t>
  </si>
  <si>
    <t>Croissant with Cocoa Filling</t>
  </si>
  <si>
    <t>7 DAYS</t>
  </si>
  <si>
    <t>Poland,Romania</t>
  </si>
  <si>
    <t>REC-706193</t>
  </si>
  <si>
    <t>Belvita Muesli</t>
  </si>
  <si>
    <t>France,Poland,Romania</t>
  </si>
  <si>
    <t>REC-927322</t>
  </si>
  <si>
    <t>REC-660478</t>
  </si>
  <si>
    <t>prince</t>
  </si>
  <si>
    <t>Belgien, Luxemburg, Schweiz, Germany</t>
  </si>
  <si>
    <t>REC-408670</t>
  </si>
  <si>
    <t>Leo</t>
  </si>
  <si>
    <t>33g</t>
  </si>
  <si>
    <t>REC-113161</t>
  </si>
  <si>
    <t>Albania,Australia,Austria,Belgium,Bosnia and Herzegovina,Croatia,France,Italy,Montenegro,Morocco,North Macedonia,Serbia,Slovenia,Switzerland,Thailand,United Kingdom</t>
  </si>
  <si>
    <t>REC-238315</t>
  </si>
  <si>
    <t>Magretti</t>
  </si>
  <si>
    <t>REC-911324</t>
  </si>
  <si>
    <t>Mix milk</t>
  </si>
  <si>
    <t>1pcs</t>
  </si>
  <si>
    <t>REC-765162</t>
  </si>
  <si>
    <t>Chocolate puro</t>
  </si>
  <si>
    <t>REC-308966</t>
  </si>
  <si>
    <t>Mega Duo Doble Cacao</t>
  </si>
  <si>
    <t>REC-696383</t>
  </si>
  <si>
    <t>Lays Oven Baked roasted paprika</t>
  </si>
  <si>
    <t>150 gram</t>
  </si>
  <si>
    <t>Belgium,France,Netherlands</t>
  </si>
  <si>
    <t>REC-853198</t>
  </si>
  <si>
    <t>340g</t>
  </si>
  <si>
    <t>REC-145978</t>
  </si>
  <si>
    <t>Fig Rolls</t>
  </si>
  <si>
    <t>lidl</t>
  </si>
  <si>
    <t>REC-567325</t>
  </si>
  <si>
    <t>Tesco Finest All Butter Croissant 4 Pack</t>
  </si>
  <si>
    <t>REC-989461</t>
  </si>
  <si>
    <t>Bio organic</t>
  </si>
  <si>
    <t>REC-725479</t>
  </si>
  <si>
    <t>Micro Popcorn sare</t>
  </si>
  <si>
    <t>Ð¤Ñ€Ð°Ð½Ñ†Ð¸Ñ,Ð ÑƒÐ¼ÑŠÐ½Ð¸Ñ,Ð‘ÑŠÐ»Ð³Ð°Ñ€Ð¸Ñ</t>
  </si>
  <si>
    <t>REC-380923</t>
  </si>
  <si>
    <t>6 x 25 g</t>
  </si>
  <si>
    <t>REC-809940</t>
  </si>
  <si>
    <t>Fruit &amp; Seed Oatcakes on the go</t>
  </si>
  <si>
    <t>REC-117583</t>
  </si>
  <si>
    <t>Fruit Snack</t>
  </si>
  <si>
    <t>Welch's</t>
  </si>
  <si>
    <t>0.8 oz (22.7 g)</t>
  </si>
  <si>
    <t>Andorra,United States</t>
  </si>
  <si>
    <t>REC-749978</t>
  </si>
  <si>
    <t>Grenada</t>
  </si>
  <si>
    <t>REC-435053</t>
  </si>
  <si>
    <t>252 g (6 x 42g)</t>
  </si>
  <si>
    <t>REC-441887</t>
  </si>
  <si>
    <t>Sea salt &amp; chardonny vinegar</t>
  </si>
  <si>
    <t>Aldi Specially Selected</t>
  </si>
  <si>
    <t>REC-470270</t>
  </si>
  <si>
    <t>Chicles hierbabuena</t>
  </si>
  <si>
    <t>REC-336409</t>
  </si>
  <si>
    <t>Suzi Wan</t>
  </si>
  <si>
    <t>REC-678154</t>
  </si>
  <si>
    <t>REC-560466</t>
  </si>
  <si>
    <t>6x22g</t>
  </si>
  <si>
    <t>REC-726977</t>
  </si>
  <si>
    <t>Muffins</t>
  </si>
  <si>
    <t>REC-562193</t>
  </si>
  <si>
    <t>LAY'S, Lays</t>
  </si>
  <si>
    <t>REC-418321</t>
  </si>
  <si>
    <t>Paprika</t>
  </si>
  <si>
    <t>REC-624005</t>
  </si>
  <si>
    <t>REC-717890</t>
  </si>
  <si>
    <t>Barres au son d'avoine</t>
  </si>
  <si>
    <t>Monoprix</t>
  </si>
  <si>
    <t>REC-284514</t>
  </si>
  <si>
    <t>132 g (3 sachets de 3 biscuits)</t>
  </si>
  <si>
    <t>REC-162086</t>
  </si>
  <si>
    <t>Chocolat noir 70% cacao</t>
  </si>
  <si>
    <t>REC-523299</t>
  </si>
  <si>
    <t>Roasted Pistachios</t>
  </si>
  <si>
    <t>The Foodie Market, Aldi, Aldi The Foodie Market</t>
  </si>
  <si>
    <t>REC-704408</t>
  </si>
  <si>
    <t>protein bar caramel</t>
  </si>
  <si>
    <t>NÄkd, Nakd</t>
  </si>
  <si>
    <t>REC-608717</t>
  </si>
  <si>
    <t>Rosemary &amp; Sea Salt Flatbread Thins</t>
  </si>
  <si>
    <t>REC-533848</t>
  </si>
  <si>
    <t>P'tit Gouter</t>
  </si>
  <si>
    <t>It</t>
  </si>
  <si>
    <t>REC-116932</t>
  </si>
  <si>
    <t>Twix</t>
  </si>
  <si>
    <t>2*25g</t>
  </si>
  <si>
    <t>Morocco,South Africa</t>
  </si>
  <si>
    <t>REC-281034</t>
  </si>
  <si>
    <t>Chocolate and Hazelnut Cake</t>
  </si>
  <si>
    <t>France,Monaco</t>
  </si>
  <si>
    <t>REC-560283</t>
  </si>
  <si>
    <t>Nacho Cheese Flavored Tortilla Chips</t>
  </si>
  <si>
    <t>1 oz (28.3 g)</t>
  </si>
  <si>
    <t>Bolivia,Estados Unidos</t>
  </si>
  <si>
    <t>REC-660776</t>
  </si>
  <si>
    <t>Jammie dodgers raspberry flavour</t>
  </si>
  <si>
    <t>REC-270756</t>
  </si>
  <si>
    <t>REC-677323</t>
  </si>
  <si>
    <t>Excellence Milk Sea Salt Caramel</t>
  </si>
  <si>
    <t>REC-523713</t>
  </si>
  <si>
    <t>Rotella</t>
  </si>
  <si>
    <t>REC-480368</t>
  </si>
  <si>
    <t>Galettes au bon beurre</t>
  </si>
  <si>
    <t>520 g</t>
  </si>
  <si>
    <t>REC-213646</t>
  </si>
  <si>
    <t>La madeleine Bio</t>
  </si>
  <si>
    <t>REC-718928</t>
  </si>
  <si>
    <t>REC-770218</t>
  </si>
  <si>
    <t>REC-684462</t>
  </si>
  <si>
    <t>Chips paysannes nature</t>
  </si>
  <si>
    <t>REC-358374</t>
  </si>
  <si>
    <t>Petit beurre nature</t>
  </si>
  <si>
    <t>Bisson</t>
  </si>
  <si>
    <t>REC-357252</t>
  </si>
  <si>
    <t>Chocolat noir Gingembre confit</t>
  </si>
  <si>
    <t>ethiquable</t>
  </si>
  <si>
    <t>REC-746500</t>
  </si>
  <si>
    <t>Milchschnitte</t>
  </si>
  <si>
    <t>140 g (5x28g)</t>
  </si>
  <si>
    <t>REC-161338</t>
  </si>
  <si>
    <t>Lorenz</t>
  </si>
  <si>
    <t>REC-441814</t>
  </si>
  <si>
    <t>38G SKITTLES SACHET</t>
  </si>
  <si>
    <t>Mars norge as</t>
  </si>
  <si>
    <t>REC-461096</t>
  </si>
  <si>
    <t>Fruit &amp; Oat Bakes apple</t>
  </si>
  <si>
    <t>REC-689540</t>
  </si>
  <si>
    <t>Walkers Salt &amp; Vinegar crisps 6 Pack - OUTER PACKAGING ONLY</t>
  </si>
  <si>
    <t>REC-363412</t>
  </si>
  <si>
    <t>REC-819471</t>
  </si>
  <si>
    <t>Urban Fruit Snack Pack Strawberry</t>
  </si>
  <si>
    <t>smashing strawberry</t>
  </si>
  <si>
    <t>REC-404392</t>
  </si>
  <si>
    <t>Start</t>
  </si>
  <si>
    <t>REC-589532</t>
  </si>
  <si>
    <t>Kit Kat 2 Finger Milk Chocolate Biscuit Bars</t>
  </si>
  <si>
    <t>REC-592505</t>
  </si>
  <si>
    <t>Milka au lait du pays alpin</t>
  </si>
  <si>
    <t>3 x 100g</t>
  </si>
  <si>
    <t>REC-388107</t>
  </si>
  <si>
    <t>Crackers cereali antichi</t>
  </si>
  <si>
    <t>REC-221970</t>
  </si>
  <si>
    <t>Lindor Lait</t>
  </si>
  <si>
    <t>337 g</t>
  </si>
  <si>
    <t>REC-717375</t>
  </si>
  <si>
    <t>Tortilla Nachips</t>
  </si>
  <si>
    <t>300g e</t>
  </si>
  <si>
    <t>REC-648523</t>
  </si>
  <si>
    <t>Chocolate negro 82%</t>
  </si>
  <si>
    <t>REC-405076</t>
  </si>
  <si>
    <t>Twins chocolate</t>
  </si>
  <si>
    <t>REC-922293</t>
  </si>
  <si>
    <t>La Galette gourmande chocolat noir</t>
  </si>
  <si>
    <t>REC-318216</t>
  </si>
  <si>
    <t>Tacos</t>
  </si>
  <si>
    <t>fritosa,</t>
  </si>
  <si>
    <t>REC-722710</t>
  </si>
  <si>
    <t>Conikos,LeaderFood</t>
  </si>
  <si>
    <t>REC-199530</t>
  </si>
  <si>
    <t>Oat cookies milk chocolate</t>
  </si>
  <si>
    <t>Bulgaria,France,Czech Republic</t>
  </si>
  <si>
    <t>REC-709097</t>
  </si>
  <si>
    <t>Gluten Free Oaties Syrupy &amp; Crumbly</t>
  </si>
  <si>
    <t>REC-590297</t>
  </si>
  <si>
    <t>Protein Bar - Muscle Mass - Caramel Cookie Flavor</t>
  </si>
  <si>
    <t>60 gram</t>
  </si>
  <si>
    <t>REC-408468</t>
  </si>
  <si>
    <t>Milbona, Pilos</t>
  </si>
  <si>
    <t>REC-264084</t>
  </si>
  <si>
    <t>Lays paprika</t>
  </si>
  <si>
    <t>REC-707308</t>
  </si>
  <si>
    <t>maltesers</t>
  </si>
  <si>
    <t>Maltesers</t>
  </si>
  <si>
    <t>102g</t>
  </si>
  <si>
    <t>REC-927863</t>
  </si>
  <si>
    <t>Strawberry</t>
  </si>
  <si>
    <t>REC-188356</t>
  </si>
  <si>
    <t>Cranberries dried &amp; sweetened</t>
  </si>
  <si>
    <t>REC-564574</t>
  </si>
  <si>
    <t>BE-KIND</t>
  </si>
  <si>
    <t>REC-802461</t>
  </si>
  <si>
    <t>Rye Sourdough Crackers</t>
  </si>
  <si>
    <t>REC-938306</t>
  </si>
  <si>
    <t>CRACKS</t>
  </si>
  <si>
    <t>REC-211192</t>
  </si>
  <si>
    <t>PITCH</t>
  </si>
  <si>
    <t>REC-712813</t>
  </si>
  <si>
    <t>Crunchy Chocolat ðŸ« au Lait ðŸ¥›ðŸ„</t>
  </si>
  <si>
    <t>8 x 20 g</t>
  </si>
  <si>
    <t>France,Poland</t>
  </si>
  <si>
    <t>REC-300048</t>
  </si>
  <si>
    <t>5 x 15g</t>
  </si>
  <si>
    <t>REC-301338</t>
  </si>
  <si>
    <t>Privolat</t>
  </si>
  <si>
    <t>REC-148012</t>
  </si>
  <si>
    <t>Protein Peanut, Chocolate &amp; Berries</t>
  </si>
  <si>
    <t>REC-942276</t>
  </si>
  <si>
    <t>Germany,France</t>
  </si>
  <si>
    <t>REC-434443</t>
  </si>
  <si>
    <t>Patatas Fritas Extra Crunch</t>
  </si>
  <si>
    <t>REC-888507</t>
  </si>
  <si>
    <t>Chips de lentilles</t>
  </si>
  <si>
    <t>REC-426691</t>
  </si>
  <si>
    <t>REC-480144</t>
  </si>
  <si>
    <t>REC-628913</t>
  </si>
  <si>
    <t>REC-926063</t>
  </si>
  <si>
    <t>REC-562451</t>
  </si>
  <si>
    <t>Aussie Bites</t>
  </si>
  <si>
    <t>Universal Bakery</t>
  </si>
  <si>
    <t>30 oz</t>
  </si>
  <si>
    <t>Canada,United States</t>
  </si>
  <si>
    <t>REC-117941</t>
  </si>
  <si>
    <t>Schokobutterkeks Zartbitter</t>
  </si>
  <si>
    <t>REC-259952</t>
  </si>
  <si>
    <t>Lindt chocolate negro Limon con Gengibre con amandes</t>
  </si>
  <si>
    <t>REC-231257</t>
  </si>
  <si>
    <t>Biscuit Crousti Pause choco noisette ss gluten</t>
  </si>
  <si>
    <t>REC-294681</t>
  </si>
  <si>
    <t>Biscuits Galettes pur beurre bio , 125g</t>
  </si>
  <si>
    <t>U,U Bio</t>
  </si>
  <si>
    <t>REC-809928</t>
  </si>
  <si>
    <t>REC-876279</t>
  </si>
  <si>
    <t>Croissants</t>
  </si>
  <si>
    <t>Brioche Pasquier,Pasquier</t>
  </si>
  <si>
    <t>REC-755308</t>
  </si>
  <si>
    <t>Pains au chocolat format familial</t>
  </si>
  <si>
    <t>720 g</t>
  </si>
  <si>
    <t>REC-615123</t>
  </si>
  <si>
    <t>Curly Donuts</t>
  </si>
  <si>
    <t>REC-840145</t>
  </si>
  <si>
    <t>Chips de lentilles aux petits oignons</t>
  </si>
  <si>
    <t>REC-784546</t>
  </si>
  <si>
    <t>Brossard - mini brownie choco pepites</t>
  </si>
  <si>
    <t>Frankreich, Schweiz, Germany</t>
  </si>
  <si>
    <t>REC-660384</t>
  </si>
  <si>
    <t>Crackers Emmental Graines de Courge</t>
  </si>
  <si>
    <t>REC-666118</t>
  </si>
  <si>
    <t>Jardin Bio, Jardin biologique, LEA Nature</t>
  </si>
  <si>
    <t>REC-675310</t>
  </si>
  <si>
    <t>Merci : Milk Chocolate ÑÐ¸Ð½Ð¸Ð¹ ÑÐ¼Ð¾Ñ‚ÐºÐ°</t>
  </si>
  <si>
    <t>Merci, Storck</t>
  </si>
  <si>
    <t>Ð‘Ð¾Ð»Ð³Ð°Ñ€Ð¸Ñ,Ð¤Ñ€Ð°Ð½Ñ†Ð¸Ñ,Ð“ÐµÑ€Ð¼Ð°Ð½Ð¸Ñ,Ð’ÐµÐ½Ð³Ñ€Ð¸Ñ,Ð ÑƒÐ¼Ñ‹Ð½Ð¸Ñ,Ð¨Ð²ÐµÐ¹Ñ†Ð°Ñ€Ð¸Ñ,Ð Ð¾ÑÑÐ¸Ñ</t>
  </si>
  <si>
    <t>REC-246477</t>
  </si>
  <si>
    <t>Puffreis mit Schokolade</t>
  </si>
  <si>
    <t>NIPPON</t>
  </si>
  <si>
    <t>REC-624042</t>
  </si>
  <si>
    <t>Cream Crackers Crispy Crackers</t>
  </si>
  <si>
    <t>REC-266711</t>
  </si>
  <si>
    <t>Cheese &amp; Onion</t>
  </si>
  <si>
    <t>REC-287637</t>
  </si>
  <si>
    <t>Cacao &amp; Almond Oat Bar</t>
  </si>
  <si>
    <t>REC-911612</t>
  </si>
  <si>
    <t>REC-722495</t>
  </si>
  <si>
    <t>Galette senior</t>
  </si>
  <si>
    <t>REC-281338</t>
  </si>
  <si>
    <t>L'Original Lait</t>
  </si>
  <si>
    <t>REC-677128</t>
  </si>
  <si>
    <t>BELIN</t>
  </si>
  <si>
    <t>REC-213299</t>
  </si>
  <si>
    <t>CRUNCH (lot de 2)</t>
  </si>
  <si>
    <t>REC-166854</t>
  </si>
  <si>
    <t>Kinder Schokolade</t>
  </si>
  <si>
    <t>REC-499463</t>
  </si>
  <si>
    <t>Mix Max</t>
  </si>
  <si>
    <t>REC-528478</t>
  </si>
  <si>
    <t>ColCuore</t>
  </si>
  <si>
    <t>REC-545836</t>
  </si>
  <si>
    <t>Kaskys</t>
  </si>
  <si>
    <t>Tosfrit</t>
  </si>
  <si>
    <t>REC-475712</t>
  </si>
  <si>
    <t>TostaRica Choco Guay</t>
  </si>
  <si>
    <t>REC-960157</t>
  </si>
  <si>
    <t>Scottish Seeded Oatcakes</t>
  </si>
  <si>
    <t>REC-486028</t>
  </si>
  <si>
    <t>Protein Bar Muscle Mass</t>
  </si>
  <si>
    <t>REC-372031</t>
  </si>
  <si>
    <t>REC-512536</t>
  </si>
  <si>
    <t>Smart Price Lightly Salted Tortilla Chips</t>
  </si>
  <si>
    <t>REC-828165</t>
  </si>
  <si>
    <t>Leader chips sel</t>
  </si>
  <si>
    <t>Leader food</t>
  </si>
  <si>
    <t>REC-887070</t>
  </si>
  <si>
    <t>REC-109915</t>
  </si>
  <si>
    <t>Cookilate</t>
  </si>
  <si>
    <t>REC-317779</t>
  </si>
  <si>
    <t>KINGSIZE PEANUTS Salted</t>
  </si>
  <si>
    <t>REC-822511</t>
  </si>
  <si>
    <t>REC-880561</t>
  </si>
  <si>
    <t>Palets Bretons</t>
  </si>
  <si>
    <t>Carrefour, Interdis</t>
  </si>
  <si>
    <t>REC-474884</t>
  </si>
  <si>
    <t>Beignet chocolat noisette x 6</t>
  </si>
  <si>
    <t>REC-530633</t>
  </si>
  <si>
    <t>Dark Chocolate Gingers</t>
  </si>
  <si>
    <t>Border</t>
  </si>
  <si>
    <t>REC-565108</t>
  </si>
  <si>
    <t>Oatcakes</t>
  </si>
  <si>
    <t>REC-834522</t>
  </si>
  <si>
    <t>Lindor noir 70%</t>
  </si>
  <si>
    <t>REC-374089</t>
  </si>
  <si>
    <t>Crinkle Cut Sea Salt &amp; Chardonnay Vinegar Hand Cooked Crisps</t>
  </si>
  <si>
    <t>REC-768122</t>
  </si>
  <si>
    <t>REC-184966</t>
  </si>
  <si>
    <t>Noir extra fondant</t>
  </si>
  <si>
    <t>France,Taiwan</t>
  </si>
  <si>
    <t>REC-185793</t>
  </si>
  <si>
    <t>REC-569488</t>
  </si>
  <si>
    <t>Crispy Biscuit Slices</t>
  </si>
  <si>
    <t>174g</t>
  </si>
  <si>
    <t>REC-169626</t>
  </si>
  <si>
    <t>Ð§ÐµÑ…Ð¸Ñ,Ð¤Ñ€Ð°Ð½Ñ†Ð¸Ñ,Ð“ÐµÑ€Ð¼Ð°Ð½Ð¸Ñ,Ð˜Ñ‚Ð°Ð»Ð¸Ñ,ÐžÐ±ÐµÐ´Ð¸Ð½ÐµÐ½Ð¾ ÐºÑ€Ð°Ð»ÑÑ‚Ð²Ð¾ Ð’ÐµÐ»Ð¸ÐºÐ¾Ð±Ñ€Ð¸Ñ‚Ð°Ð½Ð¸Ñ Ð¸ Ð¡ÐµÐ²ÐµÑ€Ð½Ð° Ð˜Ñ€Ð»Ð°Ð½Ð´Ð¸Ñ,Ð‘ÑŠÐ»Ð³Ð°Ñ€Ð¸Ñ</t>
  </si>
  <si>
    <t>REC-559942</t>
  </si>
  <si>
    <t>REC-331462</t>
  </si>
  <si>
    <t>Savoiardi</t>
  </si>
  <si>
    <t>REC-627101</t>
  </si>
  <si>
    <t>Original Stapelchips</t>
  </si>
  <si>
    <t>REC-433103</t>
  </si>
  <si>
    <t>REC-101499</t>
  </si>
  <si>
    <t>208 g (10x20,8 g)</t>
  </si>
  <si>
    <t>REC-742367</t>
  </si>
  <si>
    <t>Sticks d'Alsace 200g</t>
  </si>
  <si>
    <t>REC-894827</t>
  </si>
  <si>
    <t>21.5 gram</t>
  </si>
  <si>
    <t>REC-647064</t>
  </si>
  <si>
    <t>Biscuits son d'avoine</t>
  </si>
  <si>
    <t>REC-812771</t>
  </si>
  <si>
    <t>Biscuit fondant choco lait</t>
  </si>
  <si>
    <t>REC-437121</t>
  </si>
  <si>
    <t>REC-464831</t>
  </si>
  <si>
    <t>Reflets de France</t>
  </si>
  <si>
    <t>REC-383525</t>
  </si>
  <si>
    <t>REC-732567</t>
  </si>
  <si>
    <t>REC-423178</t>
  </si>
  <si>
    <t>REC-365837</t>
  </si>
  <si>
    <t>REC-874145</t>
  </si>
  <si>
    <t>REC-673640</t>
  </si>
  <si>
    <t>Ranska,Sveitsi,Suomi</t>
  </si>
  <si>
    <t>REC-245644</t>
  </si>
  <si>
    <t>Chips lentilles</t>
  </si>
  <si>
    <t>REC-694391</t>
  </si>
  <si>
    <t>Chips les natures craquantes</t>
  </si>
  <si>
    <t>REC-348151</t>
  </si>
  <si>
    <t>REC-699551</t>
  </si>
  <si>
    <t>Stylesse Chocolat Noir</t>
  </si>
  <si>
    <t>REC-831048</t>
  </si>
  <si>
    <t>REC-649653</t>
  </si>
  <si>
    <t>Chips nature Maxi Format</t>
  </si>
  <si>
    <t>REC-939057</t>
  </si>
  <si>
    <t>280G MICHOKO NOIR</t>
  </si>
  <si>
    <t>La Pie Qui Chante</t>
  </si>
  <si>
    <t>REC-215473</t>
  </si>
  <si>
    <t>Petit Beurre Nature sans sucres</t>
  </si>
  <si>
    <t>REC-752927</t>
  </si>
  <si>
    <t>Kinder Pingui Schoko 4er-Packung</t>
  </si>
  <si>
    <t>REC-444881</t>
  </si>
  <si>
    <t>Veggie Straws - With Kale, Tomato &amp; Spinach</t>
  </si>
  <si>
    <t>REC-863670</t>
  </si>
  <si>
    <t>Fruit &amp; Nut Bar Dark Chocolate</t>
  </si>
  <si>
    <t>REC-619927</t>
  </si>
  <si>
    <t>Belgian Chocolate Guylian Seashells</t>
  </si>
  <si>
    <t>REC-261498</t>
  </si>
  <si>
    <t>chocolat noir uganda</t>
  </si>
  <si>
    <t>Cachet</t>
  </si>
  <si>
    <t>REC-968580</t>
  </si>
  <si>
    <t>Kif</t>
  </si>
  <si>
    <t>REC-161923</t>
  </si>
  <si>
    <t>Delicate Crisp Rosemary &amp; Sea Salt</t>
  </si>
  <si>
    <t>Wasa, Wasa - Tasty Snacks</t>
  </si>
  <si>
    <t>190g</t>
  </si>
  <si>
    <t>Austria,Belgium,Germany,Netherlands,Switzerland</t>
  </si>
  <si>
    <t>REC-323873</t>
  </si>
  <si>
    <t>Creme Egg</t>
  </si>
  <si>
    <t>France,United States,United Kingdom</t>
  </si>
  <si>
    <t>REC-817350</t>
  </si>
  <si>
    <t>Oreo Sjokoladetrukket 246 g</t>
  </si>
  <si>
    <t>Mondelez Norge AS</t>
  </si>
  <si>
    <t>REC-285293</t>
  </si>
  <si>
    <t>Lindor Assorted Chocolate Truffles Box</t>
  </si>
  <si>
    <t>REC-312217</t>
  </si>
  <si>
    <t>Dulcesol snack cacao</t>
  </si>
  <si>
    <t>Gateau</t>
  </si>
  <si>
    <t>REC-614367</t>
  </si>
  <si>
    <t>Wasabi peanuts</t>
  </si>
  <si>
    <t>Belgia,Czechy,Francja,WÅ‚ochy,Holandia,Polska</t>
  </si>
  <si>
    <t>REC-517930</t>
  </si>
  <si>
    <t>Lays Classics Salted 20rs</t>
  </si>
  <si>
    <t>Inde</t>
  </si>
  <si>
    <t>REC-661881</t>
  </si>
  <si>
    <t>Novellini</t>
  </si>
  <si>
    <t>Switzerland</t>
  </si>
  <si>
    <t>REC-502336</t>
  </si>
  <si>
    <t>Coconut &amp; Chia Oat Biscuits imp</t>
  </si>
  <si>
    <t>REC-832319</t>
  </si>
  <si>
    <t>REC-803423</t>
  </si>
  <si>
    <t>REC-234551</t>
  </si>
  <si>
    <t>Pains au lait</t>
  </si>
  <si>
    <t>Brioches Fonteneau</t>
  </si>
  <si>
    <t>280 g (8 x 35 g)</t>
  </si>
  <si>
    <t>REC-425941</t>
  </si>
  <si>
    <t>Thins Cheddar &amp; Pepper</t>
  </si>
  <si>
    <t>REC-133406</t>
  </si>
  <si>
    <t>All Natural Nut Bar</t>
  </si>
  <si>
    <t>2KEEP</t>
  </si>
  <si>
    <t>3 x 30 g</t>
  </si>
  <si>
    <t>REC-834815</t>
  </si>
  <si>
    <t>REC-328296</t>
  </si>
  <si>
    <t>APPLIES + BLUEBERRIES MINI FRUIT BAR</t>
  </si>
  <si>
    <t>That's it.</t>
  </si>
  <si>
    <t>480g</t>
  </si>
  <si>
    <t>REC-988381</t>
  </si>
  <si>
    <t>85% cacao collection</t>
  </si>
  <si>
    <t>REC-496103</t>
  </si>
  <si>
    <t>Nachos Tex-Mex</t>
  </si>
  <si>
    <t>REC-125764</t>
  </si>
  <si>
    <t>Organic Peruvian 70% cocoa dark chocolate</t>
  </si>
  <si>
    <t>REC-597052</t>
  </si>
  <si>
    <t>Pistachios Roasted &amp; Salted</t>
  </si>
  <si>
    <t>REC-758907</t>
  </si>
  <si>
    <t>REC-485097</t>
  </si>
  <si>
    <t>Salt And Vinegar Flavour Peanuts</t>
  </si>
  <si>
    <t>225 grams</t>
  </si>
  <si>
    <t>REC-114225</t>
  </si>
  <si>
    <t>REC-466727</t>
  </si>
  <si>
    <t>merendina double choco 36g</t>
  </si>
  <si>
    <t>REC-275066</t>
  </si>
  <si>
    <t>Almond Flour Crackers Fine Ground Sea Salt</t>
  </si>
  <si>
    <t>Simple Mills</t>
  </si>
  <si>
    <t>2 x 10 oz</t>
  </si>
  <si>
    <t>REC-830505</t>
  </si>
  <si>
    <t>All Butter Shortbread Fingers</t>
  </si>
  <si>
    <t>REC-806107</t>
  </si>
  <si>
    <t>La madelein coeur chocolat</t>
  </si>
  <si>
    <t>REC-123390</t>
  </si>
  <si>
    <t>REC-214055</t>
  </si>
  <si>
    <t>NOIR 80% Cacao Equateur</t>
  </si>
  <si>
    <t>REC-298530</t>
  </si>
  <si>
    <t>Guet Apens</t>
  </si>
  <si>
    <t>105 g</t>
  </si>
  <si>
    <t>REC-866392</t>
  </si>
  <si>
    <t>Protein cookie</t>
  </si>
  <si>
    <t>REC-742480</t>
  </si>
  <si>
    <t>Snack balls figues, graines de chia, noix</t>
  </si>
  <si>
    <t>Vemondo</t>
  </si>
  <si>
    <t>144g e</t>
  </si>
  <si>
    <t>REC-545649</t>
  </si>
  <si>
    <t>Lightly salted hand cooked potato crisps</t>
  </si>
  <si>
    <t>REC-941169</t>
  </si>
  <si>
    <t>Ancora Uno Frolla con Cioccolato in pezzi</t>
  </si>
  <si>
    <t>Tremarie</t>
  </si>
  <si>
    <t>REC-997813</t>
  </si>
  <si>
    <t>Kaugummi WRIGLEY'S Extra Fresh Strong Mint (blau) 70g Dose</t>
  </si>
  <si>
    <t>Mars GmbH,Wrigleys</t>
  </si>
  <si>
    <t>REC-271656</t>
  </si>
  <si>
    <t>Jaffa cakes</t>
  </si>
  <si>
    <t>McVitie's,McVities</t>
  </si>
  <si>
    <t>REC-255667</t>
  </si>
  <si>
    <t>Doritos saveur Barbecue</t>
  </si>
  <si>
    <t>REC-567322</t>
  </si>
  <si>
    <t>Vollmilch extra cremig 30%</t>
  </si>
  <si>
    <t>REC-182393</t>
  </si>
  <si>
    <t>Takis Queso Volcano 100g</t>
  </si>
  <si>
    <t>REC-100659</t>
  </si>
  <si>
    <t>REC-824368</t>
  </si>
  <si>
    <t>High protein milk chocolate crisp</t>
  </si>
  <si>
    <t>Fincarre</t>
  </si>
  <si>
    <t>REC-296278</t>
  </si>
  <si>
    <t>Mars Foods</t>
  </si>
  <si>
    <t>Morocco,United Kingdom</t>
  </si>
  <si>
    <t>REC-594650</t>
  </si>
  <si>
    <t>REC-595991</t>
  </si>
  <si>
    <t>Goldfish</t>
  </si>
  <si>
    <t>Pepperidge Farm</t>
  </si>
  <si>
    <t>6.6 oz (187 g)</t>
  </si>
  <si>
    <t>France,Mexico,United States</t>
  </si>
  <si>
    <t>REC-356909</t>
  </si>
  <si>
    <t>Peanut Butter Dark Chocolate Chewy Bar</t>
  </si>
  <si>
    <t>REC-741800</t>
  </si>
  <si>
    <t>Blueberry</t>
  </si>
  <si>
    <t>52 g</t>
  </si>
  <si>
    <t>REC-402605</t>
  </si>
  <si>
    <t>Aachener Zucker und Backwaren Paul Schaeffer, Favorina, Lidl</t>
  </si>
  <si>
    <t>REC-878739</t>
  </si>
  <si>
    <t>REC-507034</t>
  </si>
  <si>
    <t>Snack Day, Lidl</t>
  </si>
  <si>
    <t>REC-856664</t>
  </si>
  <si>
    <t>REC-226531</t>
  </si>
  <si>
    <t>Maitre Jean Pierre</t>
  </si>
  <si>
    <t>REC-315687</t>
  </si>
  <si>
    <t>Pockitos Chocolat au lait</t>
  </si>
  <si>
    <t>REC-197124</t>
  </si>
  <si>
    <t>Box Best of</t>
  </si>
  <si>
    <t>Belin, Mondelez France, Mondelez International</t>
  </si>
  <si>
    <t>REC-720028</t>
  </si>
  <si>
    <t>REC-452156</t>
  </si>
  <si>
    <t>Brossard - le cake aux fruits 300gr</t>
  </si>
  <si>
    <t>REC-776509</t>
  </si>
  <si>
    <t>Mao Croqui</t>
  </si>
  <si>
    <t>REC-363173</t>
  </si>
  <si>
    <t>REC-700054</t>
  </si>
  <si>
    <t>REC-414510</t>
  </si>
  <si>
    <t>REC-532694</t>
  </si>
  <si>
    <t>REC-832155</t>
  </si>
  <si>
    <t>bjorg</t>
  </si>
  <si>
    <t>REC-535318</t>
  </si>
  <si>
    <t>Too Good</t>
  </si>
  <si>
    <t>REC-814183</t>
  </si>
  <si>
    <t>Madeleines extra moelleuses</t>
  </si>
  <si>
    <t>400 g e (16 * 25 g)</t>
  </si>
  <si>
    <t>REC-183927</t>
  </si>
  <si>
    <t>Quatre-Quarts pur beurre</t>
  </si>
  <si>
    <t>REC-728522</t>
  </si>
  <si>
    <t>Intersnack, Monster Munch, Vico</t>
  </si>
  <si>
    <t>2 x 85 g</t>
  </si>
  <si>
    <t>REC-492841</t>
  </si>
  <si>
    <t>8 pains au chocolat</t>
  </si>
  <si>
    <t>REC-905371</t>
  </si>
  <si>
    <t>Tortillas chips nature</t>
  </si>
  <si>
    <t>REC-747392</t>
  </si>
  <si>
    <t>STICKS &amp; BRETZELS</t>
  </si>
  <si>
    <t>REC-798416</t>
  </si>
  <si>
    <t>REC-122946</t>
  </si>
  <si>
    <t>Vico pop corn baff caramel</t>
  </si>
  <si>
    <t>REC-426186</t>
  </si>
  <si>
    <t>REC-750895</t>
  </si>
  <si>
    <t>Walkers Cheese &amp; Onion Crisps 6pk</t>
  </si>
  <si>
    <t>6pk</t>
  </si>
  <si>
    <t>REC-975007</t>
  </si>
  <si>
    <t>Almond &amp; Apricot Bars</t>
  </si>
  <si>
    <t>Belgium,France,United Kingdom</t>
  </si>
  <si>
    <t>REC-881009</t>
  </si>
  <si>
    <t>Twirl Chocolate Bar</t>
  </si>
  <si>
    <t>REC-592773</t>
  </si>
  <si>
    <t>OATIES</t>
  </si>
  <si>
    <t>TESCO</t>
  </si>
  <si>
    <t>REC-858419</t>
  </si>
  <si>
    <t>Pringles Cheese &amp; onion</t>
  </si>
  <si>
    <t>REC-293786</t>
  </si>
  <si>
    <t>Love corn smoked bbq imp</t>
  </si>
  <si>
    <t>REC-676694</t>
  </si>
  <si>
    <t>Biscuits super extra</t>
  </si>
  <si>
    <t>190g (24 P)</t>
  </si>
  <si>
    <t>REC-960640</t>
  </si>
  <si>
    <t>180G C OR LT RAISIN NOISET</t>
  </si>
  <si>
    <t>REC-556090</t>
  </si>
  <si>
    <t>110 gram</t>
  </si>
  <si>
    <t>REC-896689</t>
  </si>
  <si>
    <t>Brioss</t>
  </si>
  <si>
    <t>REC-891802</t>
  </si>
  <si>
    <t>Barilla, Gran Cereale</t>
  </si>
  <si>
    <t>Hrvatska,Francuska,Italija,Å vicarska,Slovenija</t>
  </si>
  <si>
    <t>REC-955170</t>
  </si>
  <si>
    <t>Vitalday Crocant Chocolate</t>
  </si>
  <si>
    <t>REC-776503</t>
  </si>
  <si>
    <t>Desayuno integral</t>
  </si>
  <si>
    <t>REC-950203</t>
  </si>
  <si>
    <t>Barritas muesli chocolate</t>
  </si>
  <si>
    <t>REC-834363</t>
  </si>
  <si>
    <t>Garlic bread</t>
  </si>
  <si>
    <t>BECKY'S</t>
  </si>
  <si>
    <t>France,Czech Republic</t>
  </si>
  <si>
    <t>REC-971740</t>
  </si>
  <si>
    <t>REC-127214</t>
  </si>
  <si>
    <t>Tentation</t>
  </si>
  <si>
    <t>REC-916183</t>
  </si>
  <si>
    <t>Barrette arachidi e cioccolato al latte</t>
  </si>
  <si>
    <t>crownfield</t>
  </si>
  <si>
    <t>96 g, 4 barres de 24 g</t>
  </si>
  <si>
    <t>REC-314017</t>
  </si>
  <si>
    <t>REC-231756</t>
  </si>
  <si>
    <t>WR Shortbread Fingers 200g</t>
  </si>
  <si>
    <t>REC-134748</t>
  </si>
  <si>
    <t>Organic Oatmeal Dark Chocolate</t>
  </si>
  <si>
    <t>22 oz</t>
  </si>
  <si>
    <t>REC-457256</t>
  </si>
  <si>
    <t>Sea Salt Chocolate</t>
  </si>
  <si>
    <t>Moser Roth Aldi</t>
  </si>
  <si>
    <t>REC-949000</t>
  </si>
  <si>
    <t>Dark &amp; Salted Caramel Vegan Chocolate</t>
  </si>
  <si>
    <t>raw halo</t>
  </si>
  <si>
    <t>7à¸Šà¸´à¹‰à¸™</t>
  </si>
  <si>
    <t>REC-109016</t>
  </si>
  <si>
    <t>Bonbons aux plantes</t>
  </si>
  <si>
    <t>REC-842658</t>
  </si>
  <si>
    <t>REC-435258</t>
  </si>
  <si>
    <t>Seeded Sourdough Flatbreads</t>
  </si>
  <si>
    <t>REC-882957</t>
  </si>
  <si>
    <t>Apple &amp; Cinnamon Porridge Oat Bars</t>
  </si>
  <si>
    <t>Crownfield, Lidl</t>
  </si>
  <si>
    <t>REC-618241</t>
  </si>
  <si>
    <t>REC-281837</t>
  </si>
  <si>
    <t>ALL BUTTER CROISSANTS</t>
  </si>
  <si>
    <t>taste THE DIFFERENCE</t>
  </si>
  <si>
    <t>REC-153948</t>
  </si>
  <si>
    <t>avoine chocolat</t>
  </si>
  <si>
    <t>REC-116839</t>
  </si>
  <si>
    <t>Giant buttons</t>
  </si>
  <si>
    <t>REC-176220</t>
  </si>
  <si>
    <t>Silvia duo</t>
  </si>
  <si>
    <t>REC-394009</t>
  </si>
  <si>
    <t>Mini Gaufres au chocolat au lait</t>
  </si>
  <si>
    <t>REC-237575</t>
  </si>
  <si>
    <t>Haribo dragolo</t>
  </si>
  <si>
    <t>750 g</t>
  </si>
  <si>
    <t>REC-329651</t>
  </si>
  <si>
    <t>Brunch bar raisin</t>
  </si>
  <si>
    <t>REC-709697</t>
  </si>
  <si>
    <t>REC-506257</t>
  </si>
  <si>
    <t>Harvest Snaps Lightly Salted Crispy Baked Veggie Snacks</t>
  </si>
  <si>
    <t>Calbee</t>
  </si>
  <si>
    <t>20.0 OZ (1.25 LB) 567g</t>
  </si>
  <si>
    <t>REC-204100</t>
  </si>
  <si>
    <t>Oaties</t>
  </si>
  <si>
    <t>REC-235548</t>
  </si>
  <si>
    <t>Graze cocoa vanilla</t>
  </si>
  <si>
    <t>REC-912543</t>
  </si>
  <si>
    <t>Patatas fritas sabor campestre</t>
  </si>
  <si>
    <t>REC-569021</t>
  </si>
  <si>
    <t>Petit ourson guimauve</t>
  </si>
  <si>
    <t>CEMOI</t>
  </si>
  <si>
    <t>REC-239025</t>
  </si>
  <si>
    <t>Takis Dragon Sweet chilli</t>
  </si>
  <si>
    <t>Takis</t>
  </si>
  <si>
    <t>92.3g</t>
  </si>
  <si>
    <t>REC-260077</t>
  </si>
  <si>
    <t>Skittles Taste The Rainbow Fruits</t>
  </si>
  <si>
    <t>REC-365239</t>
  </si>
  <si>
    <t>Oreo White Protein Bar</t>
  </si>
  <si>
    <t>Grenade</t>
  </si>
  <si>
    <t>REC-826388</t>
  </si>
  <si>
    <t>REC-817002</t>
  </si>
  <si>
    <t>43.75g</t>
  </si>
  <si>
    <t>India</t>
  </si>
  <si>
    <t>Mini tartelettes</t>
  </si>
  <si>
    <t>REC-970492</t>
  </si>
  <si>
    <t>Crunchy Cookies</t>
  </si>
  <si>
    <t>8 x 17 g = 136 g</t>
  </si>
  <si>
    <t>REC-613132</t>
  </si>
  <si>
    <t>Cantuccini alle mandorle</t>
  </si>
  <si>
    <t>ITALIAMO, Lidl Realforno, Realforno, Lidl</t>
  </si>
  <si>
    <t>REC-857303</t>
  </si>
  <si>
    <t>REC-110909</t>
  </si>
  <si>
    <t>Heudebert, LU, Mondelez</t>
  </si>
  <si>
    <t>REC-792833</t>
  </si>
  <si>
    <t>Excellence Dark 70% Cocoa</t>
  </si>
  <si>
    <t>REC-220315</t>
  </si>
  <si>
    <t>Zanzigliss 300g</t>
  </si>
  <si>
    <t>REC-749948</t>
  </si>
  <si>
    <t>Biscuits Delacre Cigarettes Russes - 200g</t>
  </si>
  <si>
    <t>REC-374713</t>
  </si>
  <si>
    <t>124 g</t>
  </si>
  <si>
    <t>REC-575108</t>
  </si>
  <si>
    <t>Cake Moeles</t>
  </si>
  <si>
    <t>REC-282727</t>
  </si>
  <si>
    <t>REC-277635</t>
  </si>
  <si>
    <t>REC-722891</t>
  </si>
  <si>
    <t>Madeleines Moelleuses</t>
  </si>
  <si>
    <t>France, Guadeloupe</t>
  </si>
  <si>
    <t>REC-725125</t>
  </si>
  <si>
    <t>REC-526466</t>
  </si>
  <si>
    <t>Vitality* Orange &amp; Soja</t>
  </si>
  <si>
    <t>REC-808257</t>
  </si>
  <si>
    <t>Chabrior, Chabrior Bio</t>
  </si>
  <si>
    <t>REC-480230</t>
  </si>
  <si>
    <t>REC-945761</t>
  </si>
  <si>
    <t>pasquier</t>
  </si>
  <si>
    <t>REC-397859</t>
  </si>
  <si>
    <t>Biscuits rose de Reims</t>
  </si>
  <si>
    <t>Maison fossier</t>
  </si>
  <si>
    <t>250 gr</t>
  </si>
  <si>
    <t>REC-483281</t>
  </si>
  <si>
    <t>Crackers Emmental &amp; pipas de calabaza</t>
  </si>
  <si>
    <t>REC-542499</t>
  </si>
  <si>
    <t>Noisette</t>
  </si>
  <si>
    <t>Carrefour, Carrefour Classic</t>
  </si>
  <si>
    <t>REC-158707</t>
  </si>
  <si>
    <t>REC-503962</t>
  </si>
  <si>
    <t>REC-134302</t>
  </si>
  <si>
    <t>Chocolat noir dessert bio</t>
  </si>
  <si>
    <t>REC-780500</t>
  </si>
  <si>
    <t>REC-262002</t>
  </si>
  <si>
    <t>REC-760560</t>
  </si>
  <si>
    <t>Balisto miel amandes x10</t>
  </si>
  <si>
    <t>185 g, 10 barres de 18.5 g</t>
  </si>
  <si>
    <t>REC-622940</t>
  </si>
  <si>
    <t>REC-363765</t>
  </si>
  <si>
    <t>Wotsits</t>
  </si>
  <si>
    <t>REC-459206</t>
  </si>
  <si>
    <t>Mature Cheddar &amp; Red Onion Flavour Hand Cooked Crisps</t>
  </si>
  <si>
    <t>REC-459551</t>
  </si>
  <si>
    <t>The Original Digestive</t>
  </si>
  <si>
    <t>REC-259772</t>
  </si>
  <si>
    <t>Pipers Lye cross cheddar &amp; onion crisps</t>
  </si>
  <si>
    <t>Pipers, Trade Mark</t>
  </si>
  <si>
    <t>REC-461969</t>
  </si>
  <si>
    <t>Browniz</t>
  </si>
  <si>
    <t>Moulin d'Or</t>
  </si>
  <si>
    <t>REC-594359</t>
  </si>
  <si>
    <t>Bonbons Ricola aux Plantes</t>
  </si>
  <si>
    <t>REC-680660</t>
  </si>
  <si>
    <t>Choco Moo</t>
  </si>
  <si>
    <t>REC-315527</t>
  </si>
  <si>
    <t>REC-708074</t>
  </si>
  <si>
    <t>Riso su riso croccantezza integrale</t>
  </si>
  <si>
    <t>REC-914960</t>
  </si>
  <si>
    <t>Granetti integrali</t>
  </si>
  <si>
    <t>Frankreich, Italien, Germany</t>
  </si>
  <si>
    <t>REC-600928</t>
  </si>
  <si>
    <t>Francuska,Maroko,Å panjolska,Hrvatska</t>
  </si>
  <si>
    <t>REC-526531</t>
  </si>
  <si>
    <t>Speculos</t>
  </si>
  <si>
    <t>REC-328260</t>
  </si>
  <si>
    <t>Chocotom</t>
  </si>
  <si>
    <t>REC-579906</t>
  </si>
  <si>
    <t>REC-233927</t>
  </si>
  <si>
    <t>800g</t>
  </si>
  <si>
    <t>REC-661899</t>
  </si>
  <si>
    <t>DUO CRUNCH Strawberry &amp; Yogurt</t>
  </si>
  <si>
    <t>REC-726163</t>
  </si>
  <si>
    <t>Matzos: Flame Baked Crackers</t>
  </si>
  <si>
    <t>Rakusen's of Yorkshire</t>
  </si>
  <si>
    <t>REC-582339</t>
  </si>
  <si>
    <t>REC-827812</t>
  </si>
  <si>
    <t>Receta Campesina</t>
  </si>
  <si>
    <t>REC-767435</t>
  </si>
  <si>
    <t>Sweet Chilli Crackers</t>
  </si>
  <si>
    <t>REC-705267</t>
  </si>
  <si>
    <t>Galleta crocant con copos de avena zero</t>
  </si>
  <si>
    <t>REC-339894</t>
  </si>
  <si>
    <t>300G POLKA HARIBO</t>
  </si>
  <si>
    <t>REC-568951</t>
  </si>
  <si>
    <t>REC-816569</t>
  </si>
  <si>
    <t>Masala Munch</t>
  </si>
  <si>
    <t>Kurkure,PepsiCo</t>
  </si>
  <si>
    <t>REC-250735</t>
  </si>
  <si>
    <t>Cuquis</t>
  </si>
  <si>
    <t>REC-757617</t>
  </si>
  <si>
    <t>REC-136440</t>
  </si>
  <si>
    <t>Magdalenas Integrales 0%</t>
  </si>
  <si>
    <t>REC-759596</t>
  </si>
  <si>
    <t>Saracene</t>
  </si>
  <si>
    <t>REC-961108</t>
  </si>
  <si>
    <t>Savane familial chocolat noir</t>
  </si>
  <si>
    <t>REC-275926</t>
  </si>
  <si>
    <t>2 x 245 g</t>
  </si>
  <si>
    <t>REC-177589</t>
  </si>
  <si>
    <t>Finest Sea Salt And Black Pepper Crisps</t>
  </si>
  <si>
    <t>1 bag, 150g</t>
  </si>
  <si>
    <t>REC-445276</t>
  </si>
  <si>
    <t>Trident peppermint flavor</t>
  </si>
  <si>
    <t>REC-111010</t>
  </si>
  <si>
    <t>Flocons d'Avoine</t>
  </si>
  <si>
    <t>0.5 kg</t>
  </si>
  <si>
    <t>France,Monde</t>
  </si>
  <si>
    <t>REC-272885</t>
  </si>
  <si>
    <t>Tendre cÅ“ur chocolat</t>
  </si>
  <si>
    <t>REC-456735</t>
  </si>
  <si>
    <t>REC-692202</t>
  </si>
  <si>
    <t>Mini Cheddars Original</t>
  </si>
  <si>
    <t>REC-948001</t>
  </si>
  <si>
    <t>Cracker salati con lievito madre mulino bianco</t>
  </si>
  <si>
    <t>REC-848277</t>
  </si>
  <si>
    <t>Cheese Flavour Potato Snacks</t>
  </si>
  <si>
    <t>6 x 16g</t>
  </si>
  <si>
    <t>REC-229671</t>
  </si>
  <si>
    <t>FINGERS</t>
  </si>
  <si>
    <t>Cadbury, Fingers</t>
  </si>
  <si>
    <t>REC-190698</t>
  </si>
  <si>
    <t>REC-321026</t>
  </si>
  <si>
    <t>REC-403580</t>
  </si>
  <si>
    <t>Carrot cake bars</t>
  </si>
  <si>
    <t>4 x 27 g</t>
  </si>
  <si>
    <t>REC-687579</t>
  </si>
  <si>
    <t>REC-839107</t>
  </si>
  <si>
    <t>Superfood Oat Bites Cocoa &amp; Orange</t>
  </si>
  <si>
    <t>REC-221630</t>
  </si>
  <si>
    <t>Covrigei Italienesti Taralli Cu Masline</t>
  </si>
  <si>
    <t>alka</t>
  </si>
  <si>
    <t>REC-484163</t>
  </si>
  <si>
    <t>Tobigo Petit Beurre</t>
  </si>
  <si>
    <t>REC-364226</t>
  </si>
  <si>
    <t>Tchambi choco up</t>
  </si>
  <si>
    <t>REC-551244</t>
  </si>
  <si>
    <t>Leka Gaufre</t>
  </si>
  <si>
    <t>Mecho</t>
  </si>
  <si>
    <t>REC-901507</t>
  </si>
  <si>
    <t>Dark Chocolate Nuts &amp; Sea Salt</t>
  </si>
  <si>
    <t>14 oz</t>
  </si>
  <si>
    <t>Spain,United States</t>
  </si>
  <si>
    <t>REC-771597</t>
  </si>
  <si>
    <t>Kafferep (Aveia)</t>
  </si>
  <si>
    <t>Ikea</t>
  </si>
  <si>
    <t>France,Germany,Switzerland,United Kingdom</t>
  </si>
  <si>
    <t>REC-341113</t>
  </si>
  <si>
    <t>REC-419021</t>
  </si>
  <si>
    <t>SALSA DIP medium</t>
  </si>
  <si>
    <t>REC-574998</t>
  </si>
  <si>
    <t>Barquette Fraise</t>
  </si>
  <si>
    <t>REC-365695</t>
  </si>
  <si>
    <t>Vegetable crisps</t>
  </si>
  <si>
    <t>Crusti Croc, Snack Day</t>
  </si>
  <si>
    <t>REC-297142</t>
  </si>
  <si>
    <t>La barquette (chocolat)</t>
  </si>
  <si>
    <t>REC-505913</t>
  </si>
  <si>
    <t>REC-724380</t>
  </si>
  <si>
    <t>200 g e (10 * 20 g)</t>
  </si>
  <si>
    <t>REC-825001</t>
  </si>
  <si>
    <t>Caramel Feinherb</t>
  </si>
  <si>
    <t>REC-377355</t>
  </si>
  <si>
    <t>Petits coeurs choco'croc</t>
  </si>
  <si>
    <t>90 g â„®</t>
  </si>
  <si>
    <t>REC-722753</t>
  </si>
  <si>
    <t>162g</t>
  </si>
  <si>
    <t>REC-934813</t>
  </si>
  <si>
    <t>Biscuit moelleux pomme saveur framboise</t>
  </si>
  <si>
    <t>REC-631616</t>
  </si>
  <si>
    <t>Petit Muffins</t>
  </si>
  <si>
    <t>235g</t>
  </si>
  <si>
    <t>REC-228167</t>
  </si>
  <si>
    <t>Cookies nougatine - 200g</t>
  </si>
  <si>
    <t>Chabrior</t>
  </si>
  <si>
    <t>REC-483798</t>
  </si>
  <si>
    <t>Tubo sticks &amp; bretzels</t>
  </si>
  <si>
    <t>REC-272517</t>
  </si>
  <si>
    <t>REC-123614</t>
  </si>
  <si>
    <t>300gr</t>
  </si>
  <si>
    <t>REC-156736</t>
  </si>
  <si>
    <t>La gourmande</t>
  </si>
  <si>
    <t>REC-658399</t>
  </si>
  <si>
    <t>Tartines craquantes bio cacao</t>
  </si>
  <si>
    <t>Ekibio, Le pain des fleurs</t>
  </si>
  <si>
    <t>REC-919466</t>
  </si>
  <si>
    <t>Chocolat Noir 70% Bio</t>
  </si>
  <si>
    <t>REC-132331</t>
  </si>
  <si>
    <t>Chocolate negro con almendras caramelizadas</t>
  </si>
  <si>
    <t>REC-107465</t>
  </si>
  <si>
    <t>Petit-beurre bio</t>
  </si>
  <si>
    <t>REC-209311</t>
  </si>
  <si>
    <t>Carambar</t>
  </si>
  <si>
    <t>REC-860847</t>
  </si>
  <si>
    <t>Speculoos sans sucres</t>
  </si>
  <si>
    <t>REC-659596</t>
  </si>
  <si>
    <t>Gaufrettes chocolat</t>
  </si>
  <si>
    <t>REC-216366</t>
  </si>
  <si>
    <t>Maretti</t>
  </si>
  <si>
    <t>REC-323342</t>
  </si>
  <si>
    <t>KITKAT 4 Fingers Barre au Chocolat au Lait 41,5g, unitaire</t>
  </si>
  <si>
    <t>41.5 g</t>
  </si>
  <si>
    <t>REC-167820</t>
  </si>
  <si>
    <t>Mr. Tom Peanuts in Caramel</t>
  </si>
  <si>
    <t>Mr. Tom</t>
  </si>
  <si>
    <t>REC-938275</t>
  </si>
  <si>
    <t>M&amp;M's Erdnuss</t>
  </si>
  <si>
    <t>M&amp;M'S</t>
  </si>
  <si>
    <t>REC-923677</t>
  </si>
  <si>
    <t>Butter Broiche Rolls</t>
  </si>
  <si>
    <t>France, United Kingdom, Germany</t>
  </si>
  <si>
    <t>REC-447844</t>
  </si>
  <si>
    <t>Speculoos Original Format Familial</t>
  </si>
  <si>
    <t>Lotus, Biscoff</t>
  </si>
  <si>
    <t>750 g (6x125g)</t>
  </si>
  <si>
    <t>REC-456435</t>
  </si>
  <si>
    <t>M&amp;M's Biscuit</t>
  </si>
  <si>
    <t>198 g (10x19.8g)</t>
  </si>
  <si>
    <t>REC-945508</t>
  </si>
  <si>
    <t>LU,Prince</t>
  </si>
  <si>
    <t>REC-586240</t>
  </si>
  <si>
    <t>REC-540364</t>
  </si>
  <si>
    <t>REC-226542</t>
  </si>
  <si>
    <t>176g</t>
  </si>
  <si>
    <t>REC-164984</t>
  </si>
  <si>
    <t>Granola CÅ“ur Extra Moelleux Chocolat</t>
  </si>
  <si>
    <t>Granola, Lu</t>
  </si>
  <si>
    <t>312 g</t>
  </si>
  <si>
    <t>REC-104497</t>
  </si>
  <si>
    <t>Happy Cow</t>
  </si>
  <si>
    <t>Austria,France,Germany,Poland,United Kingdom</t>
  </si>
  <si>
    <t>REC-345618</t>
  </si>
  <si>
    <t>Enervit</t>
  </si>
  <si>
    <t>120 g (3 x 40 g)</t>
  </si>
  <si>
    <t>REC-976212</t>
  </si>
  <si>
    <t>Grand' Italia Pesto alla Genovese</t>
  </si>
  <si>
    <t>Grand' Italia</t>
  </si>
  <si>
    <t>REC-503614</t>
  </si>
  <si>
    <t>Cracker integrali</t>
  </si>
  <si>
    <t>France,Guadeloupe,Italy,Romania</t>
  </si>
  <si>
    <t>REC-931430</t>
  </si>
  <si>
    <t>Peak Fish Crackers 250G</t>
  </si>
  <si>
    <t>REC-488077</t>
  </si>
  <si>
    <t>DIBUS SHARKIES imp</t>
  </si>
  <si>
    <t>REC-677236</t>
  </si>
  <si>
    <t>Mary Trini - -</t>
  </si>
  <si>
    <t>REC-254479</t>
  </si>
  <si>
    <t>REC-424351</t>
  </si>
  <si>
    <t>Crunchy Toffee Popcorn</t>
  </si>
  <si>
    <t>REC-976121</t>
  </si>
  <si>
    <t>450g</t>
  </si>
  <si>
    <t>REC-140088</t>
  </si>
  <si>
    <t>Dark Chocolate Nut</t>
  </si>
  <si>
    <t>BE KIND PROTEIN</t>
  </si>
  <si>
    <t>50 gm</t>
  </si>
  <si>
    <t>Finland,France,Spain,Switzerland</t>
  </si>
  <si>
    <t>REC-156633</t>
  </si>
  <si>
    <t>Kanel Gifflar</t>
  </si>
  <si>
    <t>Denmark,Norway,Sweden,Finland</t>
  </si>
  <si>
    <t>REC-167969</t>
  </si>
  <si>
    <t>Cococoa</t>
  </si>
  <si>
    <t>Toren</t>
  </si>
  <si>
    <t>REC-304894</t>
  </si>
  <si>
    <t>Biscuits charcuterie Chorizo</t>
  </si>
  <si>
    <t>Michel Et Augustin</t>
  </si>
  <si>
    <t>REC-108252</t>
  </si>
  <si>
    <t>Nut Bar Cashew Pumpkin Raisin</t>
  </si>
  <si>
    <t>2 KEEP NATURAL BITES</t>
  </si>
  <si>
    <t>REC-361896</t>
  </si>
  <si>
    <t>Caramelised Biscuits</t>
  </si>
  <si>
    <t>REC-219709</t>
  </si>
  <si>
    <t>Cuor di Mela Mulino Bianco</t>
  </si>
  <si>
    <t>REC-487590</t>
  </si>
  <si>
    <t>REC-869438</t>
  </si>
  <si>
    <t>REC-291132</t>
  </si>
  <si>
    <t>52.5 g</t>
  </si>
  <si>
    <t>REC-310269</t>
  </si>
  <si>
    <t>Curly Donut</t>
  </si>
  <si>
    <t>REC-988097</t>
  </si>
  <si>
    <t>Nutella biscuitsðŸª</t>
  </si>
  <si>
    <t>207 g</t>
  </si>
  <si>
    <t>REC-659979</t>
  </si>
  <si>
    <t>Aldi,ALDI Moser Roth,Moser Roth</t>
  </si>
  <si>
    <t>REC-433235</t>
  </si>
  <si>
    <t>REC-649280</t>
  </si>
  <si>
    <t>Crunchy Peanut Butter</t>
  </si>
  <si>
    <t>Clif Bar</t>
  </si>
  <si>
    <t>68 g</t>
  </si>
  <si>
    <t>REC-653226</t>
  </si>
  <si>
    <t>Rice bar dark chocolate</t>
  </si>
  <si>
    <t>LIFESTYLE</t>
  </si>
  <si>
    <t>REC-254398</t>
  </si>
  <si>
    <t>Brioche muffin bio x 5 250g blg</t>
  </si>
  <si>
    <t>REC-979422</t>
  </si>
  <si>
    <t>SOFT BAKES Red Berries</t>
  </si>
  <si>
    <t>REC-225569</t>
  </si>
  <si>
    <t>Smooth Milk</t>
  </si>
  <si>
    <t>Galaxy</t>
  </si>
  <si>
    <t>REC-993375</t>
  </si>
  <si>
    <t>fruit splits raspberry &amp; pineapple</t>
  </si>
  <si>
    <t>bear</t>
  </si>
  <si>
    <t>REC-729133</t>
  </si>
  <si>
    <t>Barre Cranberry</t>
  </si>
  <si>
    <t>Raw Bar</t>
  </si>
  <si>
    <t>REC-953041</t>
  </si>
  <si>
    <t>Raw Bar salted caramel Flavour</t>
  </si>
  <si>
    <t>REC-576667</t>
  </si>
  <si>
    <t>Fluffy white</t>
  </si>
  <si>
    <t>REC-275994</t>
  </si>
  <si>
    <t>Cigarettes Russes</t>
  </si>
  <si>
    <t>REC-466325</t>
  </si>
  <si>
    <t>Original Popcorn</t>
  </si>
  <si>
    <t>SkinnyPop</t>
  </si>
  <si>
    <t>France,United States,World</t>
  </si>
  <si>
    <t>REC-156725</t>
  </si>
  <si>
    <t>Bolachas Recheadas Framboesa</t>
  </si>
  <si>
    <t>REC-880936</t>
  </si>
  <si>
    <t>Edelrahm-Ganze-Mandel</t>
  </si>
  <si>
    <t>REC-971006</t>
  </si>
  <si>
    <t>Salsa Mexicana Style Spicy Dip</t>
  </si>
  <si>
    <t>REC-187810</t>
  </si>
  <si>
    <t>REC-816720</t>
  </si>
  <si>
    <t>REC-726190</t>
  </si>
  <si>
    <t>Cookies trois chocolats</t>
  </si>
  <si>
    <t>Frankreich,Spanien,Deutschland</t>
  </si>
  <si>
    <t>REC-979947</t>
  </si>
  <si>
    <t>200 gram</t>
  </si>
  <si>
    <t>REC-362815</t>
  </si>
  <si>
    <t>Milk chocolate lidl</t>
  </si>
  <si>
    <t>12.5 gram</t>
  </si>
  <si>
    <t>REC-542248</t>
  </si>
  <si>
    <t>Mikado Chocolat Noir</t>
  </si>
  <si>
    <t>Lu, Mikado</t>
  </si>
  <si>
    <t>Belgium,France,Guadeloupe,Italy,Spain,Switzerland</t>
  </si>
  <si>
    <t>REC-140403</t>
  </si>
  <si>
    <t>400 g (4 * 100 g)</t>
  </si>
  <si>
    <t>REC-103766</t>
  </si>
  <si>
    <t>Australia,France,Switzerland,United Kingdom</t>
  </si>
  <si>
    <t>REC-603717</t>
  </si>
  <si>
    <t>BN, United biscuits</t>
  </si>
  <si>
    <t>590g (2x295g)</t>
  </si>
  <si>
    <t>REC-775875</t>
  </si>
  <si>
    <t>Haricots Happy Life</t>
  </si>
  <si>
    <t>REC-368603</t>
  </si>
  <si>
    <t>REC-459837</t>
  </si>
  <si>
    <t>REC-185395</t>
  </si>
  <si>
    <t>Galletas de arroz inflado rellenas de chocolate y avellana</t>
  </si>
  <si>
    <t>6 x 20 g</t>
  </si>
  <si>
    <t>REC-722702</t>
  </si>
  <si>
    <t>Vitality* Figue</t>
  </si>
  <si>
    <t>REC-156182</t>
  </si>
  <si>
    <t>Crackers emmental et graines de courge x8 - BIO</t>
  </si>
  <si>
    <t>REC-776407</t>
  </si>
  <si>
    <t>Chocolat Noir 90% Bio</t>
  </si>
  <si>
    <t>REC-898285</t>
  </si>
  <si>
    <t>Carrefour,Carrefour Original</t>
  </si>
  <si>
    <t>Belgium,France,Italy,Kenya,Spain</t>
  </si>
  <si>
    <t>REC-788835</t>
  </si>
  <si>
    <t>Bizcocho con fruta</t>
  </si>
  <si>
    <t>REC-306066</t>
  </si>
  <si>
    <t>REC-861950</t>
  </si>
  <si>
    <t>Tortillas Chips</t>
  </si>
  <si>
    <t>REC-979302</t>
  </si>
  <si>
    <t>REC-554475</t>
  </si>
  <si>
    <t>REC-697206</t>
  </si>
  <si>
    <t>Chocolat lait nature tendre et fondant</t>
  </si>
  <si>
    <t>REC-533513</t>
  </si>
  <si>
    <t>Lotto Classic Snack</t>
  </si>
  <si>
    <t>Best Foods</t>
  </si>
  <si>
    <t>REC-567009</t>
  </si>
  <si>
    <t>Halbbitter</t>
  </si>
  <si>
    <t>REC-904442</t>
  </si>
  <si>
    <t>Schogetten</t>
  </si>
  <si>
    <t>Ð”Ð°Ð½Ð¸Ñ,Ð¤Ñ€Ð°Ð½Ñ†Ð¸Ñ,Ð“ÐµÑ€Ð¼Ð°Ð½Ð¸Ñ,Ð“ÑŠÑ€Ñ†Ð¸Ñ,Ð˜Ð·Ñ€Ð°ÐµÐ»,Ð˜Ñ‚Ð°Ð»Ð¸Ñ,ÐœÐ°Ñ€Ð¾ÐºÐ¾,ÐŸÐ¾Ð»ÑˆÐ°,Ð ÑƒÐ¼ÑŠÐ½Ð¸Ñ,Ð˜ÑÐ¿Ð°Ð½Ð¸Ñ,Ð‘ÑŠÐ»Ð³Ð°Ñ€Ð¸Ñ</t>
  </si>
  <si>
    <t>REC-558109</t>
  </si>
  <si>
    <t>REC-222045</t>
  </si>
  <si>
    <t>Kipferl</t>
  </si>
  <si>
    <t>REC-567580</t>
  </si>
  <si>
    <t>Milka Noisette</t>
  </si>
  <si>
    <t>Austria,Bulgaria,France,Germany,Italy</t>
  </si>
  <si>
    <t>REC-545790</t>
  </si>
  <si>
    <t>Fromage emmental &amp; graines de courges</t>
  </si>
  <si>
    <t>DR. KARG'S</t>
  </si>
  <si>
    <t>REC-570729</t>
  </si>
  <si>
    <t>Balisto Fruits des bois x10</t>
  </si>
  <si>
    <t>REC-633408</t>
  </si>
  <si>
    <t>Digestives Dark chocolate</t>
  </si>
  <si>
    <t>REC-686110</t>
  </si>
  <si>
    <t>Mango &amp; Chilli Chutney Poppadoms</t>
  </si>
  <si>
    <t>82.5g</t>
  </si>
  <si>
    <t>REC-225043</t>
  </si>
  <si>
    <t>Cashew Cookie Fruit &amp; Nut Bar</t>
  </si>
  <si>
    <t>REC-210223</t>
  </si>
  <si>
    <t>Pure fruit yoyo raspberry</t>
  </si>
  <si>
    <t>20 g</t>
  </si>
  <si>
    <t>REC-842549</t>
  </si>
  <si>
    <t>Dark Intense</t>
  </si>
  <si>
    <t>Heidi</t>
  </si>
  <si>
    <t>REC-652519</t>
  </si>
  <si>
    <t>Ambassadeur</t>
  </si>
  <si>
    <t>REC-633648</t>
  </si>
  <si>
    <t>50G RICOLA ALPIN FRESH</t>
  </si>
  <si>
    <t>REC-224217</t>
  </si>
  <si>
    <t>Rocher aux amandes</t>
  </si>
  <si>
    <t>REC-312716</t>
  </si>
  <si>
    <t>Calendrier de l'avent au chocolat</t>
  </si>
  <si>
    <t>REC-376614</t>
  </si>
  <si>
    <t>Gocciole Extra Dark</t>
  </si>
  <si>
    <t>France,Italy,Switzerland</t>
  </si>
  <si>
    <t>REC-197496</t>
  </si>
  <si>
    <t>Macine con Panna Fresca</t>
  </si>
  <si>
    <t>Canada,France,Germany,Italy</t>
  </si>
  <si>
    <t>REC-575359</t>
  </si>
  <si>
    <t>Mini</t>
  </si>
  <si>
    <t>Chips Ahoy!,Mondelez</t>
  </si>
  <si>
    <t>REC-620872</t>
  </si>
  <si>
    <t>Huesitos original</t>
  </si>
  <si>
    <t>Valor,Mondelez</t>
  </si>
  <si>
    <t>REC-679794</t>
  </si>
  <si>
    <t>CANADIAN MAPLE SYRUP</t>
  </si>
  <si>
    <t>NATURE VALLEY</t>
  </si>
  <si>
    <t>40 x 42 g</t>
  </si>
  <si>
    <t>REC-341686</t>
  </si>
  <si>
    <t>Tortas de Aceite</t>
  </si>
  <si>
    <t>REC-527915</t>
  </si>
  <si>
    <t>Cheetos Big Chipito saveur fromage</t>
  </si>
  <si>
    <t>REC-255561</t>
  </si>
  <si>
    <t>Freshmint</t>
  </si>
  <si>
    <t>Frezzh</t>
  </si>
  <si>
    <t>50pcs</t>
  </si>
  <si>
    <t>REC-753335</t>
  </si>
  <si>
    <t>Pop corn sweet</t>
  </si>
  <si>
    <t>REC-361794</t>
  </si>
  <si>
    <t>180G POULAIN PRALINOISE</t>
  </si>
  <si>
    <t>REC-225051</t>
  </si>
  <si>
    <t>Patatas fritas</t>
  </si>
  <si>
    <t>Leader Chips</t>
  </si>
  <si>
    <t>REC-478830</t>
  </si>
  <si>
    <t>Mentos Pure Fresh</t>
  </si>
  <si>
    <t>30g. (13 dh)</t>
  </si>
  <si>
    <t>REC-412060</t>
  </si>
  <si>
    <t>REC-573586</t>
  </si>
  <si>
    <t>Moser roth chocolate</t>
  </si>
  <si>
    <t>5 x 25 g</t>
  </si>
  <si>
    <t>REC-431848</t>
  </si>
  <si>
    <t>Doritos Sweet Chilli Pepper Flavour</t>
  </si>
  <si>
    <t>Belgium, France, Netherlands, Sweden, Germany</t>
  </si>
  <si>
    <t>REC-152690</t>
  </si>
  <si>
    <t>Sweet sriracha chilli lentil chips</t>
  </si>
  <si>
    <t>REC-773512</t>
  </si>
  <si>
    <t>Ð¡Ð¾Ð»ÐµÑ‚Ð¸</t>
  </si>
  <si>
    <t>Ð—Ð»Ð°Ñ‚Ð½Ð° Ð”Ð¾Ð±Ñ€ÑƒÐ´Ð¶Ð°</t>
  </si>
  <si>
    <t>REC-611123</t>
  </si>
  <si>
    <t>72% Noir intense</t>
  </si>
  <si>
    <t>Auchan,Auchan Gourmet</t>
  </si>
  <si>
    <t>France,World</t>
  </si>
  <si>
    <t>REC-840930</t>
  </si>
  <si>
    <t>REC-765084</t>
  </si>
  <si>
    <t>Finger biskiivi</t>
  </si>
  <si>
    <t>REC-284541</t>
  </si>
  <si>
    <t>NESTLE L'ATELIER Tablette Chocolat noir myrtilles amandes - 170g</t>
  </si>
  <si>
    <t>REC-865265</t>
  </si>
  <si>
    <t>Chocolat noir extra fin 73%</t>
  </si>
  <si>
    <t>REC-800312</t>
  </si>
  <si>
    <t>Leader chips fromage</t>
  </si>
  <si>
    <t>REC-102364</t>
  </si>
  <si>
    <t>Petits beurre</t>
  </si>
  <si>
    <t>REC-763991</t>
  </si>
  <si>
    <t>Peanut Butter Dark Chocolate</t>
  </si>
  <si>
    <t>Be Kind</t>
  </si>
  <si>
    <t>Finland,France,Italy,Norway,Switzerland</t>
  </si>
  <si>
    <t>REC-634524</t>
  </si>
  <si>
    <t>Wheat Thins 100% Whole Grain</t>
  </si>
  <si>
    <t>8.5 oz</t>
  </si>
  <si>
    <t>REC-965546</t>
  </si>
  <si>
    <t>REC-272923</t>
  </si>
  <si>
    <t>REC-485266</t>
  </si>
  <si>
    <t>Corn thins</t>
  </si>
  <si>
    <t>Sainsburys</t>
  </si>
  <si>
    <t>REC-183187</t>
  </si>
  <si>
    <t>Sour Cream &amp; Chive Flavour Rice and Corn Snack</t>
  </si>
  <si>
    <t>5 pk</t>
  </si>
  <si>
    <t>REC-550052</t>
  </si>
  <si>
    <t>10 pains au chocolats</t>
  </si>
  <si>
    <t>REC-115792</t>
  </si>
  <si>
    <t>Le petiy biscotte crunchy cinnamon and brown sugar biscuits</t>
  </si>
  <si>
    <t>REC-877493</t>
  </si>
  <si>
    <t>REC-224121</t>
  </si>
  <si>
    <t>REC-974262</t>
  </si>
  <si>
    <t>REC-425720</t>
  </si>
  <si>
    <t>Dairy Milk Fruit &amp; Nut</t>
  </si>
  <si>
    <t>REC-258516</t>
  </si>
  <si>
    <t>REC-603778</t>
  </si>
  <si>
    <t>Mint</t>
  </si>
  <si>
    <t>Skinny Whip</t>
  </si>
  <si>
    <t>REC-896377</t>
  </si>
  <si>
    <t>REC-320770</t>
  </si>
  <si>
    <t>Halls cherry</t>
  </si>
  <si>
    <t>REC-275442</t>
  </si>
  <si>
    <t>Lively Lemon Oat Boosts</t>
  </si>
  <si>
    <t>REC-498256</t>
  </si>
  <si>
    <t>Lemon blueberry</t>
  </si>
  <si>
    <t>REC-478281</t>
  </si>
  <si>
    <t>BOURBON</t>
  </si>
  <si>
    <t>Britannia</t>
  </si>
  <si>
    <t>REC-729722</t>
  </si>
  <si>
    <t>Sour Shox</t>
  </si>
  <si>
    <t>United Kingdom,United States</t>
  </si>
  <si>
    <t>REC-227428</t>
  </si>
  <si>
    <t>Pick Up! Original</t>
  </si>
  <si>
    <t>Pick Up!</t>
  </si>
  <si>
    <t>140 g (5 x 28 g)</t>
  </si>
  <si>
    <t>REC-909357</t>
  </si>
  <si>
    <t>Artiach</t>
  </si>
  <si>
    <t>REC-818715</t>
  </si>
  <si>
    <t>Cookies chocolat noir</t>
  </si>
  <si>
    <t>REC-119367</t>
  </si>
  <si>
    <t>REC-905023</t>
  </si>
  <si>
    <t>Shortbread Highlanders</t>
  </si>
  <si>
    <t>200G</t>
  </si>
  <si>
    <t>REC-505546</t>
  </si>
  <si>
    <t>RITZ Crackers the original</t>
  </si>
  <si>
    <t>Mondelez International</t>
  </si>
  <si>
    <t>13.7 OZ (388g)</t>
  </si>
  <si>
    <t>REC-657196</t>
  </si>
  <si>
    <t>corn muffin mix</t>
  </si>
  <si>
    <t>JIFFY</t>
  </si>
  <si>
    <t>REC-224219</t>
  </si>
  <si>
    <t>Panda Liquorice</t>
  </si>
  <si>
    <t>panda</t>
  </si>
  <si>
    <t>REC-863013</t>
  </si>
  <si>
    <t>REC-619067</t>
  </si>
  <si>
    <t>Arlequin Original</t>
  </si>
  <si>
    <t>0.25 kg</t>
  </si>
  <si>
    <t>REC-920009</t>
  </si>
  <si>
    <t>REC-412474</t>
  </si>
  <si>
    <t>Cocottes chocolat et graines bio</t>
  </si>
  <si>
    <t>REC-777724</t>
  </si>
  <si>
    <t>Madeleines moelleuses</t>
  </si>
  <si>
    <t>REC-387941</t>
  </si>
  <si>
    <t>208 g</t>
  </si>
  <si>
    <t>REC-384511</t>
  </si>
  <si>
    <t>Harris, Harrys</t>
  </si>
  <si>
    <t>REC-268081</t>
  </si>
  <si>
    <t>Crackers Espelta 3 semillas</t>
  </si>
  <si>
    <t>REC-940034</t>
  </si>
  <si>
    <t>Coleslaw</t>
  </si>
  <si>
    <t>Monique Ranou</t>
  </si>
  <si>
    <t>REC-757456</t>
  </si>
  <si>
    <t>Gaufres fourrage au miel - BIO</t>
  </si>
  <si>
    <t>REC-409619</t>
  </si>
  <si>
    <t>Cookies Tout Chocolat</t>
  </si>
  <si>
    <t>Belgium,France,Italy,Morocco,Spain</t>
  </si>
  <si>
    <t>REC-439800</t>
  </si>
  <si>
    <t>Noir noisettes entieres</t>
  </si>
  <si>
    <t>Carrefour Extra</t>
  </si>
  <si>
    <t>Belgium,France,Kenya</t>
  </si>
  <si>
    <t>REC-908156</t>
  </si>
  <si>
    <t>REC-479940</t>
  </si>
  <si>
    <t>REC-596701</t>
  </si>
  <si>
    <t>La fournee doree</t>
  </si>
  <si>
    <t>REC-995175</t>
  </si>
  <si>
    <t>Croquettes de Poisson MSC Ail et Fines Herbes</t>
  </si>
  <si>
    <t>Findus</t>
  </si>
  <si>
    <t>REC-713914</t>
  </si>
  <si>
    <t>Poulain noir extra</t>
  </si>
  <si>
    <t>REC-715226</t>
  </si>
  <si>
    <t>Fine gourmande, Poulain</t>
  </si>
  <si>
    <t>REC-600120</t>
  </si>
  <si>
    <t>Pain lait bio* nature x8 280g</t>
  </si>
  <si>
    <t>Bien</t>
  </si>
  <si>
    <t>REC-336168</t>
  </si>
  <si>
    <t>Chocolat noir extra</t>
  </si>
  <si>
    <t>REC-635877</t>
  </si>
  <si>
    <t>Tablette de chocolat 85% de cacao</t>
  </si>
  <si>
    <t>Grain de Sail</t>
  </si>
  <si>
    <t>REC-793869</t>
  </si>
  <si>
    <t>Corny, Schwartau</t>
  </si>
  <si>
    <t>Austria,Germany</t>
  </si>
  <si>
    <t>REC-729454</t>
  </si>
  <si>
    <t>Bahlsen, Brandt</t>
  </si>
  <si>
    <t>REC-710421</t>
  </si>
  <si>
    <t>WERTHER'S ORIGINAL</t>
  </si>
  <si>
    <t>REC-795417</t>
  </si>
  <si>
    <t>Barber</t>
  </si>
  <si>
    <t>REC-991261</t>
  </si>
  <si>
    <t>Menier Swiss Dark Chocolate</t>
  </si>
  <si>
    <t>Menier</t>
  </si>
  <si>
    <t>REC-456070</t>
  </si>
  <si>
    <t>Smiths Scampi &amp; Lemon Snacks</t>
  </si>
  <si>
    <t>Smiths</t>
  </si>
  <si>
    <t>REC-593710</t>
  </si>
  <si>
    <t>Centwafers</t>
  </si>
  <si>
    <t>Belgium,France,Luxembourg</t>
  </si>
  <si>
    <t>REC-807443</t>
  </si>
  <si>
    <t>Pim's Fraise touche de Fraise des Bois</t>
  </si>
  <si>
    <t>150 g e</t>
  </si>
  <si>
    <t>REC-881762</t>
  </si>
  <si>
    <t>Sans gluten et sans lactose</t>
  </si>
  <si>
    <t>Ovomaltine Barres</t>
  </si>
  <si>
    <t>REC-198426</t>
  </si>
  <si>
    <t>Granola Barre Extra Cookie</t>
  </si>
  <si>
    <t>REC-735262</t>
  </si>
  <si>
    <t>TOBLERONE</t>
  </si>
  <si>
    <t>360 gram</t>
  </si>
  <si>
    <t>France, Switzerland, Germany</t>
  </si>
  <si>
    <t>REC-335006</t>
  </si>
  <si>
    <t>215 g</t>
  </si>
  <si>
    <t>REC-235171</t>
  </si>
  <si>
    <t>Ferrero, TIC TAC</t>
  </si>
  <si>
    <t>France, Switzerland</t>
  </si>
  <si>
    <t>REC-126795</t>
  </si>
  <si>
    <t>Plazma</t>
  </si>
  <si>
    <t>Bambi</t>
  </si>
  <si>
    <t>7pcs</t>
  </si>
  <si>
    <t>Serbien, Germany</t>
  </si>
  <si>
    <t>REC-191439</t>
  </si>
  <si>
    <t>Dairy Milk Little Bar</t>
  </si>
  <si>
    <t>REC-879240</t>
  </si>
  <si>
    <t>REC-742761</t>
  </si>
  <si>
    <t>CARREFOUR CLASSIC'</t>
  </si>
  <si>
    <t>Belgium,France,Italy,Poland,Romania,Spain,Guadeloupe</t>
  </si>
  <si>
    <t>REC-182506</t>
  </si>
  <si>
    <t>Salted Caramel Bar</t>
  </si>
  <si>
    <t>REC-947426</t>
  </si>
  <si>
    <t>Ekibio,Le Pain des Fleurs</t>
  </si>
  <si>
    <t>REC-624868</t>
  </si>
  <si>
    <t>Galbusera Frollino Vitagi Alcalinizzante</t>
  </si>
  <si>
    <t>REC-340816</t>
  </si>
  <si>
    <t>KitKat Chunky</t>
  </si>
  <si>
    <t>4x40g</t>
  </si>
  <si>
    <t>REC-575916</t>
  </si>
  <si>
    <t>frita saveur paprika</t>
  </si>
  <si>
    <t>Frita</t>
  </si>
  <si>
    <t>15g</t>
  </si>
  <si>
    <t>REC-273523</t>
  </si>
  <si>
    <t>Chips Saveur Sauce Pommes Frites</t>
  </si>
  <si>
    <t>REC-221747</t>
  </si>
  <si>
    <t>REC-635011</t>
  </si>
  <si>
    <t>Wortsits Giants Really cheesy</t>
  </si>
  <si>
    <t>REC-151480</t>
  </si>
  <si>
    <t>Pomme</t>
  </si>
  <si>
    <t>REC-540709</t>
  </si>
  <si>
    <t>French Fries - Ready Salted</t>
  </si>
  <si>
    <t>REC-881893</t>
  </si>
  <si>
    <t>PROTEIN FLAPJACKS SALTED CARAMEL</t>
  </si>
  <si>
    <t>REC-299690</t>
  </si>
  <si>
    <t>gullon zero wafer vanilla</t>
  </si>
  <si>
    <t>REC-478544</t>
  </si>
  <si>
    <t>Carrot Cake Soft Oaty Bars</t>
  </si>
  <si>
    <t>6 x 25g = 125g</t>
  </si>
  <si>
    <t>REC-165693</t>
  </si>
  <si>
    <t>KIDDYLICIOUS Cheesy Straws - saveur Fromage - 48g (4x12g)</t>
  </si>
  <si>
    <t>REC-679095</t>
  </si>
  <si>
    <t>Peruvian Dark Chocolate</t>
  </si>
  <si>
    <t>REC-470114</t>
  </si>
  <si>
    <t>Mozart Kugeln</t>
  </si>
  <si>
    <t>J.D. Gross,Lidl,Schluckwerder</t>
  </si>
  <si>
    <t>France,Germany,Netherlands,Spain</t>
  </si>
  <si>
    <t>REC-623255</t>
  </si>
  <si>
    <t>Chocolate con leche 0%</t>
  </si>
  <si>
    <t>REC-978198</t>
  </si>
  <si>
    <t>REC-400651</t>
  </si>
  <si>
    <t>REC-508622</t>
  </si>
  <si>
    <t>Chocolate Orange Oat Biscuits</t>
  </si>
  <si>
    <t>REC-705609</t>
  </si>
  <si>
    <t>Water Biscuits</t>
  </si>
  <si>
    <t>REC-239402</t>
  </si>
  <si>
    <t>Galletas Divertidas</t>
  </si>
  <si>
    <t>REC-631780</t>
  </si>
  <si>
    <t>Milka Chips Ahoy Chocolate</t>
  </si>
  <si>
    <t>REC-639918</t>
  </si>
  <si>
    <t>REC-598647</t>
  </si>
  <si>
    <t>L'Original fingers</t>
  </si>
  <si>
    <t>Cadbury, Fingers, Mondelez</t>
  </si>
  <si>
    <t>REC-795928</t>
  </si>
  <si>
    <t>Haferkraft Zero - Kakao 4er-Pack</t>
  </si>
  <si>
    <t>140 g (4 x 35 g)</t>
  </si>
  <si>
    <t>REC-995010</t>
  </si>
  <si>
    <t>Chipsfrisch Peperoni</t>
  </si>
  <si>
    <t>Funny-frisch</t>
  </si>
  <si>
    <t>REC-416656</t>
  </si>
  <si>
    <t>REC-864408</t>
  </si>
  <si>
    <t>La pause chocolat</t>
  </si>
  <si>
    <t>6x2 235 gr</t>
  </si>
  <si>
    <t>REC-560140</t>
  </si>
  <si>
    <t>REC-861436</t>
  </si>
  <si>
    <t>Drumstick Squashies</t>
  </si>
  <si>
    <t>Swizzels</t>
  </si>
  <si>
    <t>REC-529810</t>
  </si>
  <si>
    <t>Pringles hot cheese</t>
  </si>
  <si>
    <t>REC-567924</t>
  </si>
  <si>
    <t>Original</t>
  </si>
  <si>
    <t>Cheez-It</t>
  </si>
  <si>
    <t>12.4 oz</t>
  </si>
  <si>
    <t>REC-378832</t>
  </si>
  <si>
    <t>100g, 5.2 oz</t>
  </si>
  <si>
    <t>Bolivia,France,Germany,Hong Kong,United States</t>
  </si>
  <si>
    <t>REC-183489</t>
  </si>
  <si>
    <t>tartines craquantes riz et quinoa</t>
  </si>
  <si>
    <t>190g, 14 biscottes</t>
  </si>
  <si>
    <t>Belgium,France,Guadeloupe,New Caledonia</t>
  </si>
  <si>
    <t>REC-370007</t>
  </si>
  <si>
    <t>Tiramisu</t>
  </si>
  <si>
    <t>Deluxe,Lidl,Solo Italia</t>
  </si>
  <si>
    <t>Bulgaria,Croatia,Czech Republic,France,Germany,Slovakia,Slovenia,Spain,United Kingdom</t>
  </si>
  <si>
    <t>REC-437363</t>
  </si>
  <si>
    <t>La cerise</t>
  </si>
  <si>
    <t>REC-160738</t>
  </si>
  <si>
    <t>Envitas Fraise &amp; Yaourt</t>
  </si>
  <si>
    <t>Sondey Envitas</t>
  </si>
  <si>
    <t>REC-495254</t>
  </si>
  <si>
    <t>Cachou</t>
  </si>
  <si>
    <t>Lajaunie</t>
  </si>
  <si>
    <t>6 g</t>
  </si>
  <si>
    <t>REC-489036</t>
  </si>
  <si>
    <t>REC-925128</t>
  </si>
  <si>
    <t>Bledina mon premier boudoir</t>
  </si>
  <si>
    <t>REC-559723</t>
  </si>
  <si>
    <t>Macedoine de legumes 320g</t>
  </si>
  <si>
    <t>REC-736521</t>
  </si>
  <si>
    <t>Biscuit quinoa cacao</t>
  </si>
  <si>
    <t>REC-488195</t>
  </si>
  <si>
    <t>Galette Riz Chocolat Noir</t>
  </si>
  <si>
    <t>130,4 g</t>
  </si>
  <si>
    <t>REC-136944</t>
  </si>
  <si>
    <t>REC-658131</t>
  </si>
  <si>
    <t>Bonne Maman - Mini Marble Cake Chocolat, 300g (10.6oz)</t>
  </si>
  <si>
    <t>REC-195641</t>
  </si>
  <si>
    <t>REC-477705</t>
  </si>
  <si>
    <t>Pains au lait x10 - 350g</t>
  </si>
  <si>
    <t>REC-877616</t>
  </si>
  <si>
    <t>QUATRE-QUARTS</t>
  </si>
  <si>
    <t>REC-262652</t>
  </si>
  <si>
    <t>600 g e (24 * 25 g)</t>
  </si>
  <si>
    <t>REC-256300</t>
  </si>
  <si>
    <t>REC-913748</t>
  </si>
  <si>
    <t>Authentique noir bio 100%</t>
  </si>
  <si>
    <t>Moulin des Moines</t>
  </si>
  <si>
    <t>REC-440765</t>
  </si>
  <si>
    <t>Feigen Crackers</t>
  </si>
  <si>
    <t>Belgium,France,Netherlands,Switzerland</t>
  </si>
  <si>
    <t>REC-722425</t>
  </si>
  <si>
    <t>Carrefour,Carrefour Sensation</t>
  </si>
  <si>
    <t>France,Italy,Spain,Switzerland,ISRAEL</t>
  </si>
  <si>
    <t>REC-637715</t>
  </si>
  <si>
    <t>REC-183626</t>
  </si>
  <si>
    <t>REC-407949</t>
  </si>
  <si>
    <t>REC-466071</t>
  </si>
  <si>
    <t>Gom's</t>
  </si>
  <si>
    <t>Gom's, La pie qui chante</t>
  </si>
  <si>
    <t>REC-301004</t>
  </si>
  <si>
    <t>chocolat lait forte teneur cacao</t>
  </si>
  <si>
    <t>Madagascar</t>
  </si>
  <si>
    <t>REC-516482</t>
  </si>
  <si>
    <t>Michel et Augustin</t>
  </si>
  <si>
    <t>REC-613650</t>
  </si>
  <si>
    <t>Finest Selection Mandel Knusper Vielfalt</t>
  </si>
  <si>
    <t>merci,Storck</t>
  </si>
  <si>
    <t>REC-676237</t>
  </si>
  <si>
    <t>Green Plantain Chips Salted</t>
  </si>
  <si>
    <t>REC-312129</t>
  </si>
  <si>
    <t>Barres Extra Kellogg's Choco Amandes - 4x32g</t>
  </si>
  <si>
    <t>REC-716505</t>
  </si>
  <si>
    <t>Elephant Pretzels With Salt</t>
  </si>
  <si>
    <t>Elephant</t>
  </si>
  <si>
    <t>REC-817683</t>
  </si>
  <si>
    <t>REC-872039</t>
  </si>
  <si>
    <t>REC-683264</t>
  </si>
  <si>
    <t>REC-302299</t>
  </si>
  <si>
    <t>Ferrero rocher fines gaufrettes enrobees de chocolat au lait et noisettes avec noisette entiere pyramide de 28 pieces</t>
  </si>
  <si>
    <t>REC-372150</t>
  </si>
  <si>
    <t>Bonbons Tic Tac 100 pastilles menthe extra fraiche - 49g</t>
  </si>
  <si>
    <t>49 g</t>
  </si>
  <si>
    <t>REC-975801</t>
  </si>
  <si>
    <t>Mondelez International,Oreo,Mondelez</t>
  </si>
  <si>
    <t>10 x 44 g</t>
  </si>
  <si>
    <t>REC-928383</t>
  </si>
  <si>
    <t>PANDORINO Cacao</t>
  </si>
  <si>
    <t>Dulcesol</t>
  </si>
  <si>
    <t>REC-925825</t>
  </si>
  <si>
    <t>Sandwich Sabor Yogurt con avena y frutos rojos</t>
  </si>
  <si>
    <t>REC-717195</t>
  </si>
  <si>
    <t>Cacahuetes Chocolate Negro</t>
  </si>
  <si>
    <t>Casa Pons,Hacendado</t>
  </si>
  <si>
    <t>REC-538487</t>
  </si>
  <si>
    <t>kitkat</t>
  </si>
  <si>
    <t>REC-672633</t>
  </si>
  <si>
    <t>Hint Of Salt</t>
  </si>
  <si>
    <t>Nabisco-Triscuit, Triscuit</t>
  </si>
  <si>
    <t>REC-756239</t>
  </si>
  <si>
    <t>REC-507312</t>
  </si>
  <si>
    <t>Baked Squeezed Pretzels</t>
  </si>
  <si>
    <t>REC-201468</t>
  </si>
  <si>
    <t>Whole Grain Super Seeded Cracker</t>
  </si>
  <si>
    <t>REC-405699</t>
  </si>
  <si>
    <t>Chicles</t>
  </si>
  <si>
    <t>REC-188836</t>
  </si>
  <si>
    <t>REC-618463</t>
  </si>
  <si>
    <t>Tostada Petit</t>
  </si>
  <si>
    <t>REC-574499</t>
  </si>
  <si>
    <t>PRAWN CRACKERS</t>
  </si>
  <si>
    <t>ASIA GREEN GARDEN</t>
  </si>
  <si>
    <t>REC-446034</t>
  </si>
  <si>
    <t>3 x 45 g</t>
  </si>
  <si>
    <t>REC-511807</t>
  </si>
  <si>
    <t>Les P'tits CURIEUX barres cookies choco noisettes</t>
  </si>
  <si>
    <t>140g (8 barres)</t>
  </si>
  <si>
    <t>REC-455222</t>
  </si>
  <si>
    <t>93 g</t>
  </si>
  <si>
    <t>REC-533248</t>
  </si>
  <si>
    <t>La madeleine cÅ“ur framboise</t>
  </si>
  <si>
    <t>REC-796087</t>
  </si>
  <si>
    <t>Everyday Essentials</t>
  </si>
  <si>
    <t>REC-873749</t>
  </si>
  <si>
    <t>Galette moelleuse chocolat au lait</t>
  </si>
  <si>
    <t>REC-981704</t>
  </si>
  <si>
    <t>Barre moelleuse Cranberries &amp; Noisettes</t>
  </si>
  <si>
    <t>REC-191071</t>
  </si>
  <si>
    <t>Abbracci</t>
  </si>
  <si>
    <t>REC-327209</t>
  </si>
  <si>
    <t>REC-815047</t>
  </si>
  <si>
    <t>Savane Max Barr'</t>
  </si>
  <si>
    <t>210g (7x30g)</t>
  </si>
  <si>
    <t>REC-238702</t>
  </si>
  <si>
    <t>McCoy's Ridge Cut - Salt &amp; Malt Vinegar Flavour Potato Crisps</t>
  </si>
  <si>
    <t>McCoy's</t>
  </si>
  <si>
    <t>REC-155513</t>
  </si>
  <si>
    <t>Alpenmilch</t>
  </si>
  <si>
    <t>REC-411415</t>
  </si>
  <si>
    <t>REC-361998</t>
  </si>
  <si>
    <t>Parle-G gold 75g</t>
  </si>
  <si>
    <t>Parle</t>
  </si>
  <si>
    <t>REC-438617</t>
  </si>
  <si>
    <t>Barritas de chocolate blanco</t>
  </si>
  <si>
    <t>REC-996928</t>
  </si>
  <si>
    <t>Chocolate Negro 55%</t>
  </si>
  <si>
    <t>REC-721694</t>
  </si>
  <si>
    <t>41.7 g</t>
  </si>
  <si>
    <t>REC-743959</t>
  </si>
  <si>
    <t>Gaufres au miel</t>
  </si>
  <si>
    <t>REC-457749</t>
  </si>
  <si>
    <t>Les P'tites Madeleines Nature</t>
  </si>
  <si>
    <t>412 g</t>
  </si>
  <si>
    <t>REC-972201</t>
  </si>
  <si>
    <t>Co-op Shortbread Fingers 380g</t>
  </si>
  <si>
    <t>REC-496506</t>
  </si>
  <si>
    <t>Roasted And Salted Peanuts</t>
  </si>
  <si>
    <t>REC-475535</t>
  </si>
  <si>
    <t>Pop corn sucre de canne</t>
  </si>
  <si>
    <t>240 g (3x80 g)</t>
  </si>
  <si>
    <t>REC-493372</t>
  </si>
  <si>
    <t>REC-961684</t>
  </si>
  <si>
    <t>Orange Dark Chocolate</t>
  </si>
  <si>
    <t>REC-686191</t>
  </si>
  <si>
    <t>Mint Dark Chocolate</t>
  </si>
  <si>
    <t>REC-460306</t>
  </si>
  <si>
    <t>Fruit &amp; Fibre Bars Apple &amp; Cinnamon</t>
  </si>
  <si>
    <t>3 x 44g</t>
  </si>
  <si>
    <t>REC-822607</t>
  </si>
  <si>
    <t>Dark Chocolate Corn Thins 4 x (130g)</t>
  </si>
  <si>
    <t>France, Spain, United Kingdom</t>
  </si>
  <si>
    <t>REC-989368</t>
  </si>
  <si>
    <t>Chocolate Chip Shortbread</t>
  </si>
  <si>
    <t>REC-302228</t>
  </si>
  <si>
    <t>All Butter Flapjacks</t>
  </si>
  <si>
    <t>REC-564580</t>
  </si>
  <si>
    <t>fresh stacks the original</t>
  </si>
  <si>
    <t>11.8oz</t>
  </si>
  <si>
    <t>REC-937044</t>
  </si>
  <si>
    <t>Chocolate Chip</t>
  </si>
  <si>
    <t>2.40 oz (68 g)</t>
  </si>
  <si>
    <t>Australia,United States</t>
  </si>
  <si>
    <t>REC-193413</t>
  </si>
  <si>
    <t>Mini Marzipan Butterstollen Konfekt Classic</t>
  </si>
  <si>
    <t>REC-254903</t>
  </si>
  <si>
    <t>Tablette de chocolat noir</t>
  </si>
  <si>
    <t>REC-808321</t>
  </si>
  <si>
    <t>3x100g</t>
  </si>
  <si>
    <t>REC-247138</t>
  </si>
  <si>
    <t>Favorina,Aachener Zucker und Backwaren Paul Schaeffer,Lidl</t>
  </si>
  <si>
    <t>Czech Republic,France,Germany,Italy,Luxembourg,Poland,Serbia</t>
  </si>
  <si>
    <t>REC-250995</t>
  </si>
  <si>
    <t>Caramel et biscuit</t>
  </si>
  <si>
    <t>5x58g</t>
  </si>
  <si>
    <t>Denmark,Finland,France,Germany,Greece,Italy,Poland,Sweden</t>
  </si>
  <si>
    <t>REC-521773</t>
  </si>
  <si>
    <t>Cookies Haselnusscreme &amp; Schokolade</t>
  </si>
  <si>
    <t>Lidl,Sondey,Merba</t>
  </si>
  <si>
    <t>Bulgaria,France,Germany,Hungary</t>
  </si>
  <si>
    <t>REC-231322</t>
  </si>
  <si>
    <t>Avena digestive</t>
  </si>
  <si>
    <t>Aurada</t>
  </si>
  <si>
    <t>REC-674125</t>
  </si>
  <si>
    <t>Pitted Ripe Olives</t>
  </si>
  <si>
    <t>Crespo, Euroliva  S.A.  Ctra., à¸„à¸£à¸µà¸ªà¹‚à¸›</t>
  </si>
  <si>
    <t>à¸›à¸£à¸°à¹€à¸—à¸¨à¸à¸£à¸±à¹ˆà¸‡à¹€à¸¨à¸ª,à¸›à¸£à¸°à¹€à¸—à¸¨à¹€à¸¢à¸­à¸£à¸¡à¸™à¸µ,à¸›à¸£à¸°à¹€à¸—à¸¨à¸£à¸±à¸ªà¹€à¸‹à¸µà¸¢,à¸›à¸£à¸°à¹€à¸—à¸¨à¸ªà¸§à¸´à¸•à¹€à¸‹à¸­à¸£à¹Œà¹à¸¥à¸™à¸”à¹Œ,à¸›à¸£à¸°à¹€à¸—à¸¨à¹„à¸—à¸¢ (Thai),à¸ªà¸«à¸£à¸±à¸à¸­à¹€à¸¡à¸£à¸´à¸à¸²</t>
  </si>
  <si>
    <t>REC-987210</t>
  </si>
  <si>
    <t>Dragibus</t>
  </si>
  <si>
    <t>REC-879118</t>
  </si>
  <si>
    <t>0.2 kg</t>
  </si>
  <si>
    <t>REC-414781</t>
  </si>
  <si>
    <t>Chips saveur barbecue</t>
  </si>
  <si>
    <t>REC-541536</t>
  </si>
  <si>
    <t>Gerble - Gluten and Lactose Free Madeleines, 200g (7.1oz)</t>
  </si>
  <si>
    <t>REC-113940</t>
  </si>
  <si>
    <t>240g â„®</t>
  </si>
  <si>
    <t>REC-669510</t>
  </si>
  <si>
    <t>Bonne Maman - Coconut Croquants, 150g (5.3oz)</t>
  </si>
  <si>
    <t>REC-719430</t>
  </si>
  <si>
    <t>Lunettes myrtille</t>
  </si>
  <si>
    <t>REC-121626</t>
  </si>
  <si>
    <t>REC-643869</t>
  </si>
  <si>
    <t>REC-749970</t>
  </si>
  <si>
    <t>REC-667097</t>
  </si>
  <si>
    <t>Formule Zen</t>
  </si>
  <si>
    <t>REC-914857</t>
  </si>
  <si>
    <t>Daco Bello Formule detente</t>
  </si>
  <si>
    <t>REC-790494</t>
  </si>
  <si>
    <t>125 g, 4.41 oz, 16 biscuits</t>
  </si>
  <si>
    <t>REC-485273</t>
  </si>
  <si>
    <t>CMI (Carrefour Marchandises Internationales), Carrefour, Groupe Carrefour</t>
  </si>
  <si>
    <t>REC-156999</t>
  </si>
  <si>
    <t>Petit beurre ðŸ§ˆOriginal</t>
  </si>
  <si>
    <t>REC-168209</t>
  </si>
  <si>
    <t>REC-989599</t>
  </si>
  <si>
    <t>REC-157816</t>
  </si>
  <si>
    <t>REC-547082</t>
  </si>
  <si>
    <t>Biscuits tablette chocolat au lait</t>
  </si>
  <si>
    <t>REC-120009</t>
  </si>
  <si>
    <t>Tortillas nature</t>
  </si>
  <si>
    <t>Jardin Bio, Jardin biologique</t>
  </si>
  <si>
    <t>REC-167326</t>
  </si>
  <si>
    <t>mendiant de luxe</t>
  </si>
  <si>
    <t>REC-477500</t>
  </si>
  <si>
    <t>ÄŒesko</t>
  </si>
  <si>
    <t>REC-511376</t>
  </si>
  <si>
    <t>Werther's Original</t>
  </si>
  <si>
    <t>REC-172047</t>
  </si>
  <si>
    <t>REC-617539</t>
  </si>
  <si>
    <t>Rich Tea Biscuit</t>
  </si>
  <si>
    <t>REC-721665</t>
  </si>
  <si>
    <t>Furrows Sea Salt &amp; Vinegar</t>
  </si>
  <si>
    <t>REC-632783</t>
  </si>
  <si>
    <t>Sea salt</t>
  </si>
  <si>
    <t>REC-562355</t>
  </si>
  <si>
    <t>7Days Bake Rolls Pizza 80g</t>
  </si>
  <si>
    <t>7 Days</t>
  </si>
  <si>
    <t>Ð ÑƒÐ¼ÑŠÐ½Ð¸Ñ,Ð‘ÑŠÐ»Ð³Ð°Ñ€Ð¸Ñ</t>
  </si>
  <si>
    <t>REC-430013</t>
  </si>
  <si>
    <t>LOTUS BISCOFF Speculoos Original - 375g (3x125g)</t>
  </si>
  <si>
    <t>Biscoff,Lotus</t>
  </si>
  <si>
    <t>REC-447694</t>
  </si>
  <si>
    <t>REC-807074</t>
  </si>
  <si>
    <t>Netsle Chocolat noir 100% cacao</t>
  </si>
  <si>
    <t>REC-704083</t>
  </si>
  <si>
    <t>192 g</t>
  </si>
  <si>
    <t>REC-798949</t>
  </si>
  <si>
    <t>REC-553265</t>
  </si>
  <si>
    <t>REC-185851</t>
  </si>
  <si>
    <t>Lay's Potato Chips</t>
  </si>
  <si>
    <t>India,United States,Canada</t>
  </si>
  <si>
    <t>REC-752993</t>
  </si>
  <si>
    <t>hula hoops bbq</t>
  </si>
  <si>
    <t>6 x 24 g</t>
  </si>
  <si>
    <t>REC-986891</t>
  </si>
  <si>
    <t>REC-486665</t>
  </si>
  <si>
    <t>grenode salted peanut Protein Bar</t>
  </si>
  <si>
    <t>REC-970738</t>
  </si>
  <si>
    <t>REC-615411</t>
  </si>
  <si>
    <t>REC-507905</t>
  </si>
  <si>
    <t>REC-473307</t>
  </si>
  <si>
    <t>Milka mlecna Alpin</t>
  </si>
  <si>
    <t>REC-215755</t>
  </si>
  <si>
    <t>Speculoos</t>
  </si>
  <si>
    <t>Nederland</t>
  </si>
  <si>
    <t>REC-913871</t>
  </si>
  <si>
    <t>Dry Roasted Lightly Salted Peanuts</t>
  </si>
  <si>
    <t>PLANTERS</t>
  </si>
  <si>
    <t>REC-600785</t>
  </si>
  <si>
    <t>Rich Tea</t>
  </si>
  <si>
    <t>REC-244928</t>
  </si>
  <si>
    <t>lotto</t>
  </si>
  <si>
    <t>REC-188902</t>
  </si>
  <si>
    <t>Organic Sea Salt Multigrain Tortilla Chips</t>
  </si>
  <si>
    <t>REC-290106</t>
  </si>
  <si>
    <t>REC-713073</t>
  </si>
  <si>
    <t>REC-921661</t>
  </si>
  <si>
    <t>Mamia Strawberry and Apple Oaty Bars</t>
  </si>
  <si>
    <t>6x25g</t>
  </si>
  <si>
    <t>REC-952041</t>
  </si>
  <si>
    <t>Galaxy Minstrels Pouch Bag</t>
  </si>
  <si>
    <t>REC-880944</t>
  </si>
  <si>
    <t>REC-205848</t>
  </si>
  <si>
    <t>8 Meringue Nests</t>
  </si>
  <si>
    <t>REC-246073</t>
  </si>
  <si>
    <t>Donuts</t>
  </si>
  <si>
    <t>REC-641406</t>
  </si>
  <si>
    <t>Napolitain l'original</t>
  </si>
  <si>
    <t>12 x 30g</t>
  </si>
  <si>
    <t>REC-998524</t>
  </si>
  <si>
    <t>Olive &amp; rosemary ovali italian cracker crisps</t>
  </si>
  <si>
    <t>REC-908164</t>
  </si>
  <si>
    <t>Salted peanuts</t>
  </si>
  <si>
    <t>Sainsburys, Stamford Street Co</t>
  </si>
  <si>
    <t>REC-527294</t>
  </si>
  <si>
    <t>Pringles paprika 175 gr</t>
  </si>
  <si>
    <t>REC-448274</t>
  </si>
  <si>
    <t>Eucalyptus</t>
  </si>
  <si>
    <t>52,5 g</t>
  </si>
  <si>
    <t>REC-618421</t>
  </si>
  <si>
    <t>Brets saveur Pili Pili</t>
  </si>
  <si>
    <t>REC-915074</t>
  </si>
  <si>
    <t>REC-282857</t>
  </si>
  <si>
    <t>Krackwheat</t>
  </si>
  <si>
    <t>REC-874480</t>
  </si>
  <si>
    <t>VEGETABLES* Carottes, betteraves, patates douces, panais</t>
  </si>
  <si>
    <t>REC-931323</t>
  </si>
  <si>
    <t>Bbq PopChips</t>
  </si>
  <si>
    <t>17 g</t>
  </si>
  <si>
    <t>REC-794137</t>
  </si>
  <si>
    <t>Parle-G</t>
  </si>
  <si>
    <t>Parle, Britannia</t>
  </si>
  <si>
    <t>United States,India</t>
  </si>
  <si>
    <t>REC-468585</t>
  </si>
  <si>
    <t>370 g</t>
  </si>
  <si>
    <t>REC-710619</t>
  </si>
  <si>
    <t>Cookies Classique Noisette</t>
  </si>
  <si>
    <t>REC-245365</t>
  </si>
  <si>
    <t>Taste the Difference Brioche Burger Bun</t>
  </si>
  <si>
    <t>REC-904550</t>
  </si>
  <si>
    <t>Tartines craquantes noisette imp</t>
  </si>
  <si>
    <t>Le Pain des Fleurs</t>
  </si>
  <si>
    <t>REC-165913</t>
  </si>
  <si>
    <t>United Kingdom,Netherlands, France</t>
  </si>
  <si>
    <t>REC-461493</t>
  </si>
  <si>
    <t>Katjes</t>
  </si>
  <si>
    <t>REC-684418</t>
  </si>
  <si>
    <t>REC-770021</t>
  </si>
  <si>
    <t>187 g</t>
  </si>
  <si>
    <t>REC-733355</t>
  </si>
  <si>
    <t>Crushed Sea Salt &amp; Black Peppercorn Crisps</t>
  </si>
  <si>
    <t>Walkers, Sensations</t>
  </si>
  <si>
    <t>REC-833932</t>
  </si>
  <si>
    <t>fr</t>
  </si>
  <si>
    <t>REC-689052</t>
  </si>
  <si>
    <t>Hot Kickin' Sour Cream Flavour</t>
  </si>
  <si>
    <t>REC-979255</t>
  </si>
  <si>
    <t>95 g</t>
  </si>
  <si>
    <t>REC-737554</t>
  </si>
  <si>
    <t>Salted Lentil Chips</t>
  </si>
  <si>
    <t>REC-132519</t>
  </si>
  <si>
    <t>Eat Natural Dark Chocolate With Cranberries And Macadam</t>
  </si>
  <si>
    <t>40 gram</t>
  </si>
  <si>
    <t>REC-880562</t>
  </si>
  <si>
    <t>Percy pig</t>
  </si>
  <si>
    <t>REC-382215</t>
  </si>
  <si>
    <t>Raisins</t>
  </si>
  <si>
    <t>20 OZ (567g)</t>
  </si>
  <si>
    <t>REC-499672</t>
  </si>
  <si>
    <t>Pretzel Crisps Original Organic</t>
  </si>
  <si>
    <t>28 oz</t>
  </si>
  <si>
    <t>REC-235620</t>
  </si>
  <si>
    <t>No Added Sugar Smooth Dark Chocolate</t>
  </si>
  <si>
    <t>REC-753199</t>
  </si>
  <si>
    <t>Botersprits</t>
  </si>
  <si>
    <t>REC-477150</t>
  </si>
  <si>
    <t>Stollen with Marzipan</t>
  </si>
  <si>
    <t>Favorina, Lidl</t>
  </si>
  <si>
    <t>REC-121367</t>
  </si>
  <si>
    <t>Snack Gurken</t>
  </si>
  <si>
    <t>Max &amp; Lena, MyCubies</t>
  </si>
  <si>
    <t>REC-300247</t>
  </si>
  <si>
    <t>Saveur Sour Cream &amp; Onion</t>
  </si>
  <si>
    <t>REC-224179</t>
  </si>
  <si>
    <t>REC-407150</t>
  </si>
  <si>
    <t>BIO tortitas chips maiz</t>
  </si>
  <si>
    <t>REC-522316</t>
  </si>
  <si>
    <t>Grafschafter,Lidl,Maitre Jean Pierre,Tastino</t>
  </si>
  <si>
    <t>REC-523674</t>
  </si>
  <si>
    <t>madeleines coquilles</t>
  </si>
  <si>
    <t>Tante Odile</t>
  </si>
  <si>
    <t>REC-762440</t>
  </si>
  <si>
    <t>Granola, Kraft Foods, LU, Mondelez, Unilever</t>
  </si>
  <si>
    <t>184 g (8 biscuits)</t>
  </si>
  <si>
    <t>France,Martinique</t>
  </si>
  <si>
    <t>REC-327006</t>
  </si>
  <si>
    <t>200 g (4x 50 g )</t>
  </si>
  <si>
    <t>REC-175902</t>
  </si>
  <si>
    <t>REC-882686</t>
  </si>
  <si>
    <t>Sablissime chocolat au lait</t>
  </si>
  <si>
    <t>REC-597706</t>
  </si>
  <si>
    <t>REC-685903</t>
  </si>
  <si>
    <t>Petits boudoirs - Biscuit aux nourrissons</t>
  </si>
  <si>
    <t>Babybio, Vitagermine</t>
  </si>
  <si>
    <t>REC-769923</t>
  </si>
  <si>
    <t>Carrefour, Produits Blancs</t>
  </si>
  <si>
    <t>REC-902446</t>
  </si>
  <si>
    <t>Chocolate 52% especial postres</t>
  </si>
  <si>
    <t>REC-879088</t>
  </si>
  <si>
    <t>La galette bretonne pur beurre</t>
  </si>
  <si>
    <t>REC-334114</t>
  </si>
  <si>
    <t>REC-379510</t>
  </si>
  <si>
    <t>Madeleines aux oeufs frais</t>
  </si>
  <si>
    <t>REC-882102</t>
  </si>
  <si>
    <t>REC-445782</t>
  </si>
  <si>
    <t>REC-456394</t>
  </si>
  <si>
    <t>Ð‘Ð¸ÑÐºÐ²Ð¸Ñ‚Ð¸ ÐšÐ°Ñ„Ðµ</t>
  </si>
  <si>
    <t>Sweet plus</t>
  </si>
  <si>
    <t>160 Ð³</t>
  </si>
  <si>
    <t>REC-181359</t>
  </si>
  <si>
    <t>Lindt Lindor Melkesjokolade Stick</t>
  </si>
  <si>
    <t>REC-241264</t>
  </si>
  <si>
    <t>Chipsfrisch gesalzen</t>
  </si>
  <si>
    <t>funny frisch</t>
  </si>
  <si>
    <t>REC-642279</t>
  </si>
  <si>
    <t>Butterkeks 30% weniger Zucker</t>
  </si>
  <si>
    <t>Leibniz</t>
  </si>
  <si>
    <t>REC-100353</t>
  </si>
  <si>
    <t>Choco Leibniz</t>
  </si>
  <si>
    <t>Leibniz,Bahlsen</t>
  </si>
  <si>
    <t>REC-115315</t>
  </si>
  <si>
    <t>BEEF JERKY ORIGINAL</t>
  </si>
  <si>
    <t>JACK LINK'S</t>
  </si>
  <si>
    <t>Belgium,France,Switzerland,United Kingdom</t>
  </si>
  <si>
    <t>REC-928209</t>
  </si>
  <si>
    <t>Balisto yoberry</t>
  </si>
  <si>
    <t>166,5 g</t>
  </si>
  <si>
    <t>REC-997199</t>
  </si>
  <si>
    <t>Peanut Pouch</t>
  </si>
  <si>
    <t>REC-736145</t>
  </si>
  <si>
    <t>Pastilles menthol-eucalyptus</t>
  </si>
  <si>
    <t>Fisherman's Friend</t>
  </si>
  <si>
    <t>75 g (3 x 25 g)</t>
  </si>
  <si>
    <t>REC-909271</t>
  </si>
  <si>
    <t>Kettle Chips L / Salt 40g</t>
  </si>
  <si>
    <t>REC-737379</t>
  </si>
  <si>
    <t>Eat Real Hummus Chips Tomato &amp; Basil Flavour 45g</t>
  </si>
  <si>
    <t>REC-989411</t>
  </si>
  <si>
    <t>Limited Edition Black Truffle &amp; Sea Salt</t>
  </si>
  <si>
    <t>REC-384250</t>
  </si>
  <si>
    <t>Czech Republic,France,Netherlands,UK</t>
  </si>
  <si>
    <t>REC-161663</t>
  </si>
  <si>
    <t>Yoyos Mango Multipack 5 x</t>
  </si>
  <si>
    <t>REC-521919</t>
  </si>
  <si>
    <t>Sesame Snaps</t>
  </si>
  <si>
    <t>REC-734677</t>
  </si>
  <si>
    <t>LU, Mondelez, REM</t>
  </si>
  <si>
    <t>3*255g</t>
  </si>
  <si>
    <t>REC-957100</t>
  </si>
  <si>
    <t>M&amp;M's Peanut</t>
  </si>
  <si>
    <t>90 g,</t>
  </si>
  <si>
    <t>REC-638980</t>
  </si>
  <si>
    <t>Barni ciocolata</t>
  </si>
  <si>
    <t>Moldiez</t>
  </si>
  <si>
    <t>REC-968085</t>
  </si>
  <si>
    <t>Classic Collection Chocolate Bars</t>
  </si>
  <si>
    <t>REC-805594</t>
  </si>
  <si>
    <t>26g x2</t>
  </si>
  <si>
    <t>REC-668865</t>
  </si>
  <si>
    <t>Petit moelleux</t>
  </si>
  <si>
    <t>REC-744549</t>
  </si>
  <si>
    <t>cote d\'or</t>
  </si>
  <si>
    <t>REC-425220</t>
  </si>
  <si>
    <t>Confetteria raffaello, Ferrero</t>
  </si>
  <si>
    <t>REC-332734</t>
  </si>
  <si>
    <t>Mulino bianco abbracci biscuits au cacao et a la creme 350g</t>
  </si>
  <si>
    <t>REC-361159</t>
  </si>
  <si>
    <t>600 g (3 x 200 g)</t>
  </si>
  <si>
    <t>REC-412049</t>
  </si>
  <si>
    <t>Galletas mini caritas con crema de cacao</t>
  </si>
  <si>
    <t>329 g</t>
  </si>
  <si>
    <t>REC-709917</t>
  </si>
  <si>
    <t>Nutrend</t>
  </si>
  <si>
    <t>REC-860374</t>
  </si>
  <si>
    <t>Chocolate Chip Soft &amp; Chewy Granola Bar</t>
  </si>
  <si>
    <t>REC-400601</t>
  </si>
  <si>
    <t>United States,World</t>
  </si>
  <si>
    <t>REC-531828</t>
  </si>
  <si>
    <t>SOFT BAKES Strawberry Filled</t>
  </si>
  <si>
    <t>REC-456165</t>
  </si>
  <si>
    <t>Fruit &amp; nut bars protein packed</t>
  </si>
  <si>
    <t>REC-999038</t>
  </si>
  <si>
    <t>Choco noisette</t>
  </si>
  <si>
    <t>Noiseraie</t>
  </si>
  <si>
    <t>REC-555450</t>
  </si>
  <si>
    <t>Strawberry lunchbox loaves</t>
  </si>
  <si>
    <t>REC-746318</t>
  </si>
  <si>
    <t>Prawn Crackers</t>
  </si>
  <si>
    <t>REC-863617</t>
  </si>
  <si>
    <t>Bedo Imex B.V., microwave</t>
  </si>
  <si>
    <t>REC-480642</t>
  </si>
  <si>
    <t>Protein Arachidi &amp; Cioccolato</t>
  </si>
  <si>
    <t>REC-486275</t>
  </si>
  <si>
    <t>Galleta Choco Negro</t>
  </si>
  <si>
    <t>150 g (4 x 37,5 g)</t>
  </si>
  <si>
    <t>REC-281382</t>
  </si>
  <si>
    <t>REC-982558</t>
  </si>
  <si>
    <t>Simply salted</t>
  </si>
  <si>
    <t>REC-282934</t>
  </si>
  <si>
    <t>popcorn</t>
  </si>
  <si>
    <t>Ð‘ÑŠÐ»Ð³Ð°Ñ€Ð¸Ñ,Ð ÑƒÐ¼ÑŠÐ½Ð¸Ñ</t>
  </si>
  <si>
    <t>REC-845560</t>
  </si>
  <si>
    <t>hanuta Riegel</t>
  </si>
  <si>
    <t>Ferrero, Hanuta</t>
  </si>
  <si>
    <t>34.5g</t>
  </si>
  <si>
    <t>REC-670645</t>
  </si>
  <si>
    <t>Jengibre</t>
  </si>
  <si>
    <t>Grain Free Tortilla Chips</t>
  </si>
  <si>
    <t>Siete</t>
  </si>
  <si>
    <t>5 oz (142 g)</t>
  </si>
  <si>
    <t>REC-543669</t>
  </si>
  <si>
    <t>Hula Hoops Original</t>
  </si>
  <si>
    <t>Hula Hoops, KP Snacks</t>
  </si>
  <si>
    <t>12 x 24g</t>
  </si>
  <si>
    <t>REC-666258</t>
  </si>
  <si>
    <t>Galactic Brownies With Chocolate Candies, Chocolate Candies</t>
  </si>
  <si>
    <t>Mr. Brownie</t>
  </si>
  <si>
    <t>1 brownie</t>
  </si>
  <si>
    <t>Frankreich, Spanien, Welt, Germany</t>
  </si>
  <si>
    <t>REC-492857</t>
  </si>
  <si>
    <t>Ridge Cut Flame Grilled Steak</t>
  </si>
  <si>
    <t>REC-592930</t>
  </si>
  <si>
    <t>Lightly Salted Hand Cooked Crinkle Cut Crisis</t>
  </si>
  <si>
    <t>aldi</t>
  </si>
  <si>
    <t>REC-800842</t>
  </si>
  <si>
    <t>Sea Salted Crisps</t>
  </si>
  <si>
    <t>REC-321199</t>
  </si>
  <si>
    <t>Baked squeezed pretzels with tomatoes and herbs</t>
  </si>
  <si>
    <t>REC-126461</t>
  </si>
  <si>
    <t>Multigrain Bites</t>
  </si>
  <si>
    <t>REC-412141</t>
  </si>
  <si>
    <t>Wasa delicate crisp rosemary 190g we</t>
  </si>
  <si>
    <t>REC-143872</t>
  </si>
  <si>
    <t>Gifflar Vanilla</t>
  </si>
  <si>
    <t>260g</t>
  </si>
  <si>
    <t>REC-678709</t>
  </si>
  <si>
    <t>Taste the Difference Sea Salt &amp; Suffolk Cider Vinegar Potato Crisps</t>
  </si>
  <si>
    <t>REC-145995</t>
  </si>
  <si>
    <t>REC-991264</t>
  </si>
  <si>
    <t>Dark 85% cacao</t>
  </si>
  <si>
    <t>REC-436554</t>
  </si>
  <si>
    <t>REC-779042</t>
  </si>
  <si>
    <t>Pilos</t>
  </si>
  <si>
    <t>REC-996544</t>
  </si>
  <si>
    <t>2 x 285 g</t>
  </si>
  <si>
    <t>REC-783197</t>
  </si>
  <si>
    <t>Protein Flapjacks: Smooth Lemon</t>
  </si>
  <si>
    <t>Trek</t>
  </si>
  <si>
    <t>3 x 50 g</t>
  </si>
  <si>
    <t>REC-587460</t>
  </si>
  <si>
    <t>Peanut Snaps</t>
  </si>
  <si>
    <t>PEANUT SNAPS</t>
  </si>
  <si>
    <t>3 x 40 g</t>
  </si>
  <si>
    <t>REC-111609</t>
  </si>
  <si>
    <t>Snack Day,Lidl</t>
  </si>
  <si>
    <t>REC-847891</t>
  </si>
  <si>
    <t>175 g e</t>
  </si>
  <si>
    <t>REC-448171</t>
  </si>
  <si>
    <t>Delight Bar Cocoa Orange</t>
  </si>
  <si>
    <t>Austria,Bulgaria,Hungary,Romania</t>
  </si>
  <si>
    <t>REC-905940</t>
  </si>
  <si>
    <t>Ricola douceur de miel</t>
  </si>
  <si>
    <t>REC-470578</t>
  </si>
  <si>
    <t>Parmesan &amp; Garlic Twists</t>
  </si>
  <si>
    <t>REC-458197</t>
  </si>
  <si>
    <t>Doritos flamin hot</t>
  </si>
  <si>
    <t>REC-224984</t>
  </si>
  <si>
    <t>DmBio</t>
  </si>
  <si>
    <t>REC-784321</t>
  </si>
  <si>
    <t>REC-365158</t>
  </si>
  <si>
    <t>Maple Pecan Almond</t>
  </si>
  <si>
    <t>REC-214249</t>
  </si>
  <si>
    <t>Pico-Balla</t>
  </si>
  <si>
    <t>REC-989140</t>
  </si>
  <si>
    <t>Baked - 6 Pack</t>
  </si>
  <si>
    <t>REC-535776</t>
  </si>
  <si>
    <t>REC-805703</t>
  </si>
  <si>
    <t>Chipsfrisch Oriental</t>
  </si>
  <si>
    <t>Funny-Frisch</t>
  </si>
  <si>
    <t>REC-908216</t>
  </si>
  <si>
    <t>Tobigo crousty</t>
  </si>
  <si>
    <t>REC-634019</t>
  </si>
  <si>
    <t>Organic Garden Crisp Veggie cracker</t>
  </si>
  <si>
    <t>innofoods organic/biologique, Inno Foods</t>
  </si>
  <si>
    <t>454g</t>
  </si>
  <si>
    <t>REC-677507</t>
  </si>
  <si>
    <t>MiSURA Dolcesenza Biscotti integrali con cereali</t>
  </si>
  <si>
    <t>REC-217723</t>
  </si>
  <si>
    <t>Chocolate negro 55% cacao con almendras</t>
  </si>
  <si>
    <t>REC-277449</t>
  </si>
  <si>
    <t>REC-419791</t>
  </si>
  <si>
    <t>celebrations</t>
  </si>
  <si>
    <t>REC-171743</t>
  </si>
  <si>
    <t>Mini Cheese Crackers</t>
  </si>
  <si>
    <t>REC-819010</t>
  </si>
  <si>
    <t>intrecci</t>
  </si>
  <si>
    <t>MULINO BIANCO</t>
  </si>
  <si>
    <t>REC-666235</t>
  </si>
  <si>
    <t>Chips saveur cheddar jalapeno</t>
  </si>
  <si>
    <t>REC-570067</t>
  </si>
  <si>
    <t>Brunch Choc Chip</t>
  </si>
  <si>
    <t>5 x 28g (140g)</t>
  </si>
  <si>
    <t>REC-843900</t>
  </si>
  <si>
    <t>Tartines crac form</t>
  </si>
  <si>
    <t>REC-395126</t>
  </si>
  <si>
    <t>Walker's</t>
  </si>
  <si>
    <t>Germany,Italy,Switzerland,United States,New Zealand</t>
  </si>
  <si>
    <t>REC-662685</t>
  </si>
  <si>
    <t>Lightly Salted Crispy Baked Veggie Snacks</t>
  </si>
  <si>
    <t>Harvest Snaps</t>
  </si>
  <si>
    <t>3.3oz (94g)</t>
  </si>
  <si>
    <t>REC-284912</t>
  </si>
  <si>
    <t>Muesli Bar Cranberry</t>
  </si>
  <si>
    <t>200 g (8 Riegel x 25 g)</t>
  </si>
  <si>
    <t>REC-621713</t>
  </si>
  <si>
    <t>Fior di Integrale</t>
  </si>
  <si>
    <t>Realforno</t>
  </si>
  <si>
    <t>italia</t>
  </si>
  <si>
    <t>REC-746426</t>
  </si>
  <si>
    <t>Tastino</t>
  </si>
  <si>
    <t>REC-173059</t>
  </si>
  <si>
    <t>Weisse Kokos &amp; Flakes</t>
  </si>
  <si>
    <t>France,Germany,United States</t>
  </si>
  <si>
    <t>REC-396285</t>
  </si>
  <si>
    <t>Envitas Cacao</t>
  </si>
  <si>
    <t>253 g</t>
  </si>
  <si>
    <t>REC-285949</t>
  </si>
  <si>
    <t>Waffle Rolls with vanilla flavour filling</t>
  </si>
  <si>
    <t>Tastino,Lidl</t>
  </si>
  <si>
    <t>REC-298711</t>
  </si>
  <si>
    <t>Halloween popcorn sweet</t>
  </si>
  <si>
    <t>Lidl, McEnnedy</t>
  </si>
  <si>
    <t>REC-877903</t>
  </si>
  <si>
    <t>Bonbons menthe et saveur eucalyptus</t>
  </si>
  <si>
    <t>Feel Free</t>
  </si>
  <si>
    <t>REC-157093</t>
  </si>
  <si>
    <t>REC-988028</t>
  </si>
  <si>
    <t>Mikado chocolat noir</t>
  </si>
  <si>
    <t>REC-459068</t>
  </si>
  <si>
    <t>Clafoutis aux cerises</t>
  </si>
  <si>
    <t>340 g (4x85g)</t>
  </si>
  <si>
    <t>REC-501105</t>
  </si>
  <si>
    <t>Lulu l ourson</t>
  </si>
  <si>
    <t>REC-641000</t>
  </si>
  <si>
    <t>REC-387063</t>
  </si>
  <si>
    <t>Tronches de cake - Moelleux Chocolat</t>
  </si>
  <si>
    <t>REC-338073</t>
  </si>
  <si>
    <t>REC-210575</t>
  </si>
  <si>
    <t>REC-393812</t>
  </si>
  <si>
    <t>REC-314581</t>
  </si>
  <si>
    <t>U, U Saveurs</t>
  </si>
  <si>
    <t>REC-533494</t>
  </si>
  <si>
    <t>150 g, 2 sachets</t>
  </si>
  <si>
    <t>REC-145627</t>
  </si>
  <si>
    <t>SABLES NOIX DE COCO ET CITRON</t>
  </si>
  <si>
    <t>REC-138210</t>
  </si>
  <si>
    <t>Chips Brets la craquante</t>
  </si>
  <si>
    <t>REC-951202</t>
  </si>
  <si>
    <t>Cookie avell choc</t>
  </si>
  <si>
    <t>REC-184422</t>
  </si>
  <si>
    <t>France, Roumanie</t>
  </si>
  <si>
    <t>REC-219707</t>
  </si>
  <si>
    <t>6 petits chinois</t>
  </si>
  <si>
    <t>REC-430473</t>
  </si>
  <si>
    <t>REC-138738</t>
  </si>
  <si>
    <t>REC-477296</t>
  </si>
  <si>
    <t>REC-602146</t>
  </si>
  <si>
    <t>REC-738296</t>
  </si>
  <si>
    <t>REC-499799</t>
  </si>
  <si>
    <t>Duplo Riegel 10er-Pack</t>
  </si>
  <si>
    <t>182 g</t>
  </si>
  <si>
    <t>REC-652939</t>
  </si>
  <si>
    <t>23.5g</t>
  </si>
  <si>
    <t>REC-143506</t>
  </si>
  <si>
    <t>Custard Creams</t>
  </si>
  <si>
    <t>REC-240164</t>
  </si>
  <si>
    <t>Cheddar Twists</t>
  </si>
  <si>
    <t>REC-392815</t>
  </si>
  <si>
    <t>Twirl</t>
  </si>
  <si>
    <t>REC-276178</t>
  </si>
  <si>
    <t>Sensations Roasted Chicken &amp; Thyme Flavour Potato Crisps</t>
  </si>
  <si>
    <t>REC-824951</t>
  </si>
  <si>
    <t>Raspberry flavour jelly</t>
  </si>
  <si>
    <t>Hartley's</t>
  </si>
  <si>
    <t>135 g e</t>
  </si>
  <si>
    <t>REC-591998</t>
  </si>
  <si>
    <t>Pringles Potatoes chips Ketchup</t>
  </si>
  <si>
    <t>REC-247248</t>
  </si>
  <si>
    <t>Delicious Crunchy Corn</t>
  </si>
  <si>
    <t>REC-792275</t>
  </si>
  <si>
    <t>Tuc Paprika</t>
  </si>
  <si>
    <t>Mondelez International, Tuc</t>
  </si>
  <si>
    <t>Ð¤Ñ€Ð°Ð½Ñ†Ð¸Ñ,Ð£ÐºÑ€Ð°Ð¹Ð½Ð°,Ð‘ÑŠÐ»Ð³Ð°Ñ€Ð¸Ñ</t>
  </si>
  <si>
    <t>REC-660223</t>
  </si>
  <si>
    <t>Peppermint frisk</t>
  </si>
  <si>
    <t>Frisk</t>
  </si>
  <si>
    <t>5,7 g</t>
  </si>
  <si>
    <t>REC-220421</t>
  </si>
  <si>
    <t>Brino</t>
  </si>
  <si>
    <t>Bifa, fzf 30da</t>
  </si>
  <si>
    <t>REC-788592</t>
  </si>
  <si>
    <t>REC-517407</t>
  </si>
  <si>
    <t>FLUTES SESAME 125G - KAMBLY - 125g</t>
  </si>
  <si>
    <t>REC-994422</t>
  </si>
  <si>
    <t>REC-669593</t>
  </si>
  <si>
    <t>Mini Granola L'Original</t>
  </si>
  <si>
    <t>REC-460066</t>
  </si>
  <si>
    <t>Mondelez, Mondelez International</t>
  </si>
  <si>
    <t>REC-216006</t>
  </si>
  <si>
    <t>Assortiment Lindor</t>
  </si>
  <si>
    <t>337 g e</t>
  </si>
  <si>
    <t>REC-166251</t>
  </si>
  <si>
    <t>Ottimini Integrali</t>
  </si>
  <si>
    <t>Divella, Fantasie del Mattino, Ottimini</t>
  </si>
  <si>
    <t>400 g - 14.11 oz</t>
  </si>
  <si>
    <t>REC-818110</t>
  </si>
  <si>
    <t>Creme tropical</t>
  </si>
  <si>
    <t>REC-298053</t>
  </si>
  <si>
    <t>Breakfast 5 cereales chocolate</t>
  </si>
  <si>
    <t>REC-541805</t>
  </si>
  <si>
    <t>Pop Corn Doux</t>
  </si>
  <si>
    <t>3 X 100 g</t>
  </si>
  <si>
    <t>Belgien, Frankreich, Germany</t>
  </si>
  <si>
    <t>REC-465416</t>
  </si>
  <si>
    <t>Lays 20rs</t>
  </si>
  <si>
    <t>PepsiCo,Lay's</t>
  </si>
  <si>
    <t>REC-487835</t>
  </si>
  <si>
    <t>85% cacao noir tanzanie</t>
  </si>
  <si>
    <t>Carrefour, Carrefour Selection</t>
  </si>
  <si>
    <t>REC-867336</t>
  </si>
  <si>
    <t>Organic Roasted Seaweed Snack</t>
  </si>
  <si>
    <t>REC-449478</t>
  </si>
  <si>
    <t>Harvest Cheddar</t>
  </si>
  <si>
    <t>Sun Chips</t>
  </si>
  <si>
    <t>7 oz (198.4 g)</t>
  </si>
  <si>
    <t>REC-317372</t>
  </si>
  <si>
    <t>Extra barre kellogg's</t>
  </si>
  <si>
    <t>REC-708196</t>
  </si>
  <si>
    <t>Financiers aux amandes Bio</t>
  </si>
  <si>
    <t>REC-408045</t>
  </si>
  <si>
    <t>Palomitas saladas</t>
  </si>
  <si>
    <t>Spanien, Germany</t>
  </si>
  <si>
    <t>REC-702831</t>
  </si>
  <si>
    <t>salt chips</t>
  </si>
  <si>
    <t>European Union,Romania</t>
  </si>
  <si>
    <t>REC-554812</t>
  </si>
  <si>
    <t>Chocolate Salted Caramel Flavour Vitamin &amp; Protein Bar</t>
  </si>
  <si>
    <t>Fulfil</t>
  </si>
  <si>
    <t>REC-763961</t>
  </si>
  <si>
    <t>Intenso 80% noir</t>
  </si>
  <si>
    <t>REC-729724</t>
  </si>
  <si>
    <t>Salt &amp; Malt Vinegar Crisps</t>
  </si>
  <si>
    <t>REC-758474</t>
  </si>
  <si>
    <t>REC-695786</t>
  </si>
  <si>
    <t>750G TIRLIBIBI BOX HARIBO</t>
  </si>
  <si>
    <t>REC-477809</t>
  </si>
  <si>
    <t>Fibra 75% trigo</t>
  </si>
  <si>
    <t>REC-412522</t>
  </si>
  <si>
    <t>Schar</t>
  </si>
  <si>
    <t>REC-161920</t>
  </si>
  <si>
    <t>Kumato</t>
  </si>
  <si>
    <t>Trader Joe's</t>
  </si>
  <si>
    <t>255 g</t>
  </si>
  <si>
    <t>REC-779176</t>
  </si>
  <si>
    <t>Chocolat Noir 85%</t>
  </si>
  <si>
    <t>REC-454097</t>
  </si>
  <si>
    <t>Saltletts Pausen Cracker</t>
  </si>
  <si>
    <t>REC-731434</t>
  </si>
  <si>
    <t>Tuc au fromage</t>
  </si>
  <si>
    <t>REC-980366</t>
  </si>
  <si>
    <t>200 g ( 20 x 10 g)</t>
  </si>
  <si>
    <t>REC-269782</t>
  </si>
  <si>
    <t>Finn Crisp Snacks</t>
  </si>
  <si>
    <t>Germany,Italy,United Kingdom</t>
  </si>
  <si>
    <t>REC-964890</t>
  </si>
  <si>
    <t>Schoko Reiswaffeln Zartbitter</t>
  </si>
  <si>
    <t>Alnatura, Alnatura GmbH, Alnatura Bio</t>
  </si>
  <si>
    <t>Frankreich,Deutschland,Schweiz,Welt</t>
  </si>
  <si>
    <t>REC-223639</t>
  </si>
  <si>
    <t>Edel Bitter 100%   cacao nibs</t>
  </si>
  <si>
    <t>VIVANI</t>
  </si>
  <si>
    <t>REC-400054</t>
  </si>
  <si>
    <t>Mature cheddar &amp; red onion hand cooked crisps</t>
  </si>
  <si>
    <t>Dettol</t>
  </si>
  <si>
    <t>REC-163281</t>
  </si>
  <si>
    <t>REC-891050</t>
  </si>
  <si>
    <t>Barquillos Avellana</t>
  </si>
  <si>
    <t>REC-303621</t>
  </si>
  <si>
    <t>Schiaccianoci</t>
  </si>
  <si>
    <t>Mulino Bianco, barilla, mulino bianco</t>
  </si>
  <si>
    <t>REC-880363</t>
  </si>
  <si>
    <t>1000g</t>
  </si>
  <si>
    <t>Ð¤Ñ€Ð°Ð½Ñ†Ð¸Ñ,Ð“ÐµÑ€Ð¼Ð°Ð½Ð¸Ñ,Ð¨Ð²ÐµÑ†Ð¸Ñ,ÐžÐ±ÐµÐ´Ð¸Ð½ÐµÐ½Ð¾ ÐºÑ€Ð°Ð»ÑÑ‚Ð²Ð¾ Ð’ÐµÐ»Ð¸ÐºÐ¾Ð±Ñ€Ð¸Ñ‚Ð°Ð½Ð¸Ñ Ð¸ Ð¡ÐµÐ²ÐµÑ€Ð½Ð° Ð˜Ñ€Ð»Ð°Ð½Ð´Ð¸Ñ,Ð‘ÑŠÐ»Ð³Ð°Ñ€Ð¸Ñ</t>
  </si>
  <si>
    <t>REC-208751</t>
  </si>
  <si>
    <t>Ruffles,PepsiCo</t>
  </si>
  <si>
    <t>REC-458123</t>
  </si>
  <si>
    <t>14x30g - 420g</t>
  </si>
  <si>
    <t>REC-540614</t>
  </si>
  <si>
    <t>Chocolate Negro</t>
  </si>
  <si>
    <t>REC-659085</t>
  </si>
  <si>
    <t>Chocolat noir 70% Cacao Sel rose de l'Himalaya</t>
  </si>
  <si>
    <t>REC-885652</t>
  </si>
  <si>
    <t>La Madeleine coeur myrtille</t>
  </si>
  <si>
    <t>REC-179889</t>
  </si>
  <si>
    <t>REC-970041</t>
  </si>
  <si>
    <t>Linsenwaffeln</t>
  </si>
  <si>
    <t>Alnatura</t>
  </si>
  <si>
    <t>REC-577925</t>
  </si>
  <si>
    <t>Pain lait bio* far complet x8 280g</t>
  </si>
  <si>
    <t>REC-229696</t>
  </si>
  <si>
    <t>Mini Breadsticks</t>
  </si>
  <si>
    <t>REC-411404</t>
  </si>
  <si>
    <t>Barre protein graines &amp; fruits rouges</t>
  </si>
  <si>
    <t>Carrefour, CarrefourCarrefour Sensation</t>
  </si>
  <si>
    <t>128 g (4 x 32 g)</t>
  </si>
  <si>
    <t>REC-744427</t>
  </si>
  <si>
    <t>Settembrini mb 300g</t>
  </si>
  <si>
    <t>REC-132478</t>
  </si>
  <si>
    <t>REC-685006</t>
  </si>
  <si>
    <t>Noir</t>
  </si>
  <si>
    <t>REC-635067</t>
  </si>
  <si>
    <t>Filipinos Chocolate Blanco</t>
  </si>
  <si>
    <t>Artiach,Filipinos</t>
  </si>
  <si>
    <t>REC-385425</t>
  </si>
  <si>
    <t>High Protein Cookie</t>
  </si>
  <si>
    <t>REC-141497</t>
  </si>
  <si>
    <t>Madeleines Vanille Sorties du Four</t>
  </si>
  <si>
    <t>REC-754925</t>
  </si>
  <si>
    <t>Savane max de sensations</t>
  </si>
  <si>
    <t>7 x 30 g</t>
  </si>
  <si>
    <t>REC-633137</t>
  </si>
  <si>
    <t>Ritz Crackers</t>
  </si>
  <si>
    <t>REC-175400</t>
  </si>
  <si>
    <t>Leibniz Butterkeks - Kakao</t>
  </si>
  <si>
    <t>Bahlsen, Leibniz</t>
  </si>
  <si>
    <t>REC-136094</t>
  </si>
  <si>
    <t>Asia Specialities</t>
  </si>
  <si>
    <t>REC-705087</t>
  </si>
  <si>
    <t>Fornula</t>
  </si>
  <si>
    <t>REC-133355</t>
  </si>
  <si>
    <t>Hazelnut, Pecan &amp; Maple Oat Bar</t>
  </si>
  <si>
    <t>REC-546449</t>
  </si>
  <si>
    <t>Salt and peppers cashews</t>
  </si>
  <si>
    <t>REC-754462</t>
  </si>
  <si>
    <t>REC-723263</t>
  </si>
  <si>
    <t>M&amp;M's,Mars inc</t>
  </si>
  <si>
    <t>REC-709572</t>
  </si>
  <si>
    <t>3X100G MAITRE CHOCOLATIER LAIT</t>
  </si>
  <si>
    <t>REC-331239</t>
  </si>
  <si>
    <t>Choco Moment</t>
  </si>
  <si>
    <t>REC-151913</t>
  </si>
  <si>
    <t>Lidl, Mister Choc</t>
  </si>
  <si>
    <t>REC-961804</t>
  </si>
  <si>
    <t>REC-686523</t>
  </si>
  <si>
    <t>Roasted Almond Trail Mix Bar</t>
  </si>
  <si>
    <t>REC-866328</t>
  </si>
  <si>
    <t>Choco sensations</t>
  </si>
  <si>
    <t>208g et 8 biscuits</t>
  </si>
  <si>
    <t>REC-639206</t>
  </si>
  <si>
    <t>MCENNEDY American Way</t>
  </si>
  <si>
    <t>Ð ÑƒÐ¼ÑŠÐ½Ð¸Ñ,ÐžÐ±ÐµÐ´Ð¸Ð½ÐµÐ½Ð¾ ÐºÑ€Ð°Ð»ÑÑ‚Ð²Ð¾ Ð’ÐµÐ»Ð¸ÐºÐ¾Ð±Ñ€Ð¸Ñ‚Ð°Ð½Ð¸Ñ Ð¸ Ð¡ÐµÐ²ÐµÑ€Ð½Ð° Ð˜Ñ€Ð»Ð°Ð½Ð´Ð¸Ñ,Ð‘ÑŠÐ»Ð³Ð°Ñ€Ð¸Ñ</t>
  </si>
  <si>
    <t>REC-435783</t>
  </si>
  <si>
    <t>Wafer</t>
  </si>
  <si>
    <t>REC-577736</t>
  </si>
  <si>
    <t>Jaffa Cakes The Original Twin Pack</t>
  </si>
  <si>
    <t>20 cakes</t>
  </si>
  <si>
    <t>REC-705069</t>
  </si>
  <si>
    <t>Sergio</t>
  </si>
  <si>
    <t>REC-605683</t>
  </si>
  <si>
    <t>lays</t>
  </si>
  <si>
    <t>97g</t>
  </si>
  <si>
    <t>REC-866201</t>
  </si>
  <si>
    <t>Chocolat noir 99%</t>
  </si>
  <si>
    <t>REC-569045</t>
  </si>
  <si>
    <t>Extra dark chocolate created for bakers</t>
  </si>
  <si>
    <t>REC-677003</t>
  </si>
  <si>
    <t>REC-409437</t>
  </si>
  <si>
    <t>Fruit &amp; Fibre Bars, Strawberry &amp; Raspberry</t>
  </si>
  <si>
    <t>44g x 3</t>
  </si>
  <si>
    <t>REC-106290</t>
  </si>
  <si>
    <t>Almond &amp; Apricot Fruit &amp; Nut Bars</t>
  </si>
  <si>
    <t>REC-133783</t>
  </si>
  <si>
    <t>Nooco</t>
  </si>
  <si>
    <t>nooco</t>
  </si>
  <si>
    <t>REC-698092</t>
  </si>
  <si>
    <t>Simply M&amp;S</t>
  </si>
  <si>
    <t>REC-218515</t>
  </si>
  <si>
    <t>Harina preparada completamente para hacer Hot Cakes</t>
  </si>
  <si>
    <t>Krusteaz</t>
  </si>
  <si>
    <t>4.53 kg</t>
  </si>
  <si>
    <t>REC-173592</t>
  </si>
  <si>
    <t>CRUNCHY PEANUT BUTTER</t>
  </si>
  <si>
    <t>CLIF BAR</t>
  </si>
  <si>
    <t>2.40 oz</t>
  </si>
  <si>
    <t>REC-289718</t>
  </si>
  <si>
    <t>Knackebrod Rag</t>
  </si>
  <si>
    <t>REC-638305</t>
  </si>
  <si>
    <t>Ginger Nuts</t>
  </si>
  <si>
    <t>REC-632474</t>
  </si>
  <si>
    <t>Muesli Bars Chocolate &amp; Banana</t>
  </si>
  <si>
    <t>Bulgaria,Denmark,France,Germany,Poland,United Kingdom</t>
  </si>
  <si>
    <t>REC-757695</t>
  </si>
  <si>
    <t>Petit Beurre Tablette Chocolat au lait</t>
  </si>
  <si>
    <t>REC-940086</t>
  </si>
  <si>
    <t>lightly sea salted hand cooked potato crisps</t>
  </si>
  <si>
    <t>REC-203989</t>
  </si>
  <si>
    <t>Fior Di Panna</t>
  </si>
  <si>
    <t>400 g â„®</t>
  </si>
  <si>
    <t>REC-846401</t>
  </si>
  <si>
    <t>Tastino Biscuiti Petit beurre</t>
  </si>
  <si>
    <t>Hungary,Romania</t>
  </si>
  <si>
    <t>REC-412119</t>
  </si>
  <si>
    <t>250 g (10 sachets de 25 g)</t>
  </si>
  <si>
    <t>REC-788245</t>
  </si>
  <si>
    <t>Brioche Zopf</t>
  </si>
  <si>
    <t>REC-780143</t>
  </si>
  <si>
    <t>Bio Hafer Cookies</t>
  </si>
  <si>
    <t>REC-488677</t>
  </si>
  <si>
    <t>Scottish black pepper oatcakes</t>
  </si>
  <si>
    <t>REC-658763</t>
  </si>
  <si>
    <t>Barres Amandes et Noix de coco</t>
  </si>
  <si>
    <t>REC-832545</t>
  </si>
  <si>
    <t>Lulu La Barquette Framboise</t>
  </si>
  <si>
    <t>Lu,Mondelez</t>
  </si>
  <si>
    <t>REC-500367</t>
  </si>
  <si>
    <t>REC-399226</t>
  </si>
  <si>
    <t>SAVAROISES CHOCOLAT</t>
  </si>
  <si>
    <t>REC-727554</t>
  </si>
  <si>
    <t>GALAK Chocolat Blanc</t>
  </si>
  <si>
    <t>REC-860064</t>
  </si>
  <si>
    <t>REC-742910</t>
  </si>
  <si>
    <t>REC-376267</t>
  </si>
  <si>
    <t>Creation lait caramel</t>
  </si>
  <si>
    <t>REC-230919</t>
  </si>
  <si>
    <t>REC-392310</t>
  </si>
  <si>
    <t>REC-489978</t>
  </si>
  <si>
    <t>Dragibus haribo</t>
  </si>
  <si>
    <t>REC-571445</t>
  </si>
  <si>
    <t>Kellogg's Barres Frosties 6x25g</t>
  </si>
  <si>
    <t>REC-788490</t>
  </si>
  <si>
    <t>REC-421827</t>
  </si>
  <si>
    <t>REC-217328</t>
  </si>
  <si>
    <t>REC-264954</t>
  </si>
  <si>
    <t>palmier</t>
  </si>
  <si>
    <t>st michel</t>
  </si>
  <si>
    <t>REC-547711</t>
  </si>
  <si>
    <t>Gayelord Hauser</t>
  </si>
  <si>
    <t>REC-278338</t>
  </si>
  <si>
    <t>REC-134472</t>
  </si>
  <si>
    <t>REC-972898</t>
  </si>
  <si>
    <t>Palets Bretons Pur Beurre 125g</t>
  </si>
  <si>
    <t>REC-737641</t>
  </si>
  <si>
    <t>France,Belgium</t>
  </si>
  <si>
    <t>REC-549552</t>
  </si>
  <si>
    <t>REC-628590</t>
  </si>
  <si>
    <t>Tablette petit beurre au chocolat noir bio paquet de 150g</t>
  </si>
  <si>
    <t>REC-159086</t>
  </si>
  <si>
    <t>Belgium,France,Italy,Morocco,Poland,Romania,Spain</t>
  </si>
  <si>
    <t>REC-465050</t>
  </si>
  <si>
    <t>Sable enrobe</t>
  </si>
  <si>
    <t>REC-864263</t>
  </si>
  <si>
    <t>Ekibio, Le Pain des fleurs</t>
  </si>
  <si>
    <t>300 g (2*25) (6 g / tartine)</t>
  </si>
  <si>
    <t>REC-517078</t>
  </si>
  <si>
    <t>REC-939275</t>
  </si>
  <si>
    <t>REC-811239</t>
  </si>
  <si>
    <t>Fleur de sel noir</t>
  </si>
  <si>
    <t>France,French Polynesia,Italy,Kenya,Spain</t>
  </si>
  <si>
    <t>REC-161146</t>
  </si>
  <si>
    <t>Lait noisettes entieres</t>
  </si>
  <si>
    <t>REC-849517</t>
  </si>
  <si>
    <t>Cookie nougatine choco</t>
  </si>
  <si>
    <t>REC-841623</t>
  </si>
  <si>
    <t>REC-111595</t>
  </si>
  <si>
    <t>Galette pur beurre</t>
  </si>
  <si>
    <t>REC-158217</t>
  </si>
  <si>
    <t>650 g e</t>
  </si>
  <si>
    <t>REC-432711</t>
  </si>
  <si>
    <t>REC-621806</t>
  </si>
  <si>
    <t>Tipiak</t>
  </si>
  <si>
    <t>REC-339348</t>
  </si>
  <si>
    <t>REC-257882</t>
  </si>
  <si>
    <t>Huober</t>
  </si>
  <si>
    <t>REC-457077</t>
  </si>
  <si>
    <t>REC-903795</t>
  </si>
  <si>
    <t>Chupa chups flavored lollipops</t>
  </si>
  <si>
    <t>Chupa Chups</t>
  </si>
  <si>
    <t>REC-822199</t>
  </si>
  <si>
    <t>M&amp;M's Peanut 900g</t>
  </si>
  <si>
    <t>Mars, Mars Incorporated</t>
  </si>
  <si>
    <t>900 g</t>
  </si>
  <si>
    <t>REC-222553</t>
  </si>
  <si>
    <t>McVitie's Hobnobs Milk Choc Jumbo Pack</t>
  </si>
  <si>
    <t>431g</t>
  </si>
  <si>
    <t>REC-575213</t>
  </si>
  <si>
    <t>caramel almond and sea salt</t>
  </si>
  <si>
    <t>REC-692953</t>
  </si>
  <si>
    <t>y Castell Welshcakes</t>
  </si>
  <si>
    <t>Tan y Castell</t>
  </si>
  <si>
    <t>REC-151265</t>
  </si>
  <si>
    <t>Real Fruit Yoyos Strawberry Family Pack</t>
  </si>
  <si>
    <t>REC-273534</t>
  </si>
  <si>
    <t>Bake Rolls Salt</t>
  </si>
  <si>
    <t>Rumania</t>
  </si>
  <si>
    <t>REC-950478</t>
  </si>
  <si>
    <t>chocolata amaruie 80%cacao</t>
  </si>
  <si>
    <t>France,Roumanie</t>
  </si>
  <si>
    <t>REC-810342</t>
  </si>
  <si>
    <t>17.7g</t>
  </si>
  <si>
    <t>REC-662909</t>
  </si>
  <si>
    <t>REC-259895</t>
  </si>
  <si>
    <t>Butterfly</t>
  </si>
  <si>
    <t>REC-851657</t>
  </si>
  <si>
    <t>Original family format</t>
  </si>
  <si>
    <t>308 g â„®, 2 pacchetti da 14 biscotti 11 g l'uno</t>
  </si>
  <si>
    <t>belVita, belVita Breakfast</t>
  </si>
  <si>
    <t>REC-766518</t>
  </si>
  <si>
    <t>Noir 86% extra intense</t>
  </si>
  <si>
    <t>REC-545218</t>
  </si>
  <si>
    <t>Napolitaner</t>
  </si>
  <si>
    <t>REC-500371</t>
  </si>
  <si>
    <t>Kinder Chocolat x12 barres - 150g</t>
  </si>
  <si>
    <t>REC-957834</t>
  </si>
  <si>
    <t>Bonbons Kinder SchokoBons Chocolat au lait - 350G</t>
  </si>
  <si>
    <t>REC-200012</t>
  </si>
  <si>
    <t>Turco</t>
  </si>
  <si>
    <t>REC-591558</t>
  </si>
  <si>
    <t>REC-285060</t>
  </si>
  <si>
    <t>Popcorn</t>
  </si>
  <si>
    <t>REC-935576</t>
  </si>
  <si>
    <t>REC-361975</t>
  </si>
  <si>
    <t>VitaWeat 9 Grains</t>
  </si>
  <si>
    <t>Arnott's</t>
  </si>
  <si>
    <t>REC-128603</t>
  </si>
  <si>
    <t>REC-953365</t>
  </si>
  <si>
    <t>crackers cheddar</t>
  </si>
  <si>
    <t>REC-920575</t>
  </si>
  <si>
    <t>Barres chocolat noir et pointe de sel</t>
  </si>
  <si>
    <t>CROWNFIELD,Lidl</t>
  </si>
  <si>
    <t>REC-358259</t>
  </si>
  <si>
    <t>4 x 200 g</t>
  </si>
  <si>
    <t>REC-912575</t>
  </si>
  <si>
    <t>Salzstangen mit Meersalz</t>
  </si>
  <si>
    <t>Sun Snacks</t>
  </si>
  <si>
    <t>REC-709647</t>
  </si>
  <si>
    <t>REC-120318</t>
  </si>
  <si>
    <t>Party Rings Mini</t>
  </si>
  <si>
    <t>Fox's</t>
  </si>
  <si>
    <t>REC-241707</t>
  </si>
  <si>
    <t>Choco fundir negro</t>
  </si>
  <si>
    <t>REC-198558</t>
  </si>
  <si>
    <t>gullon Hearts of Cereal Oats Chocolate</t>
  </si>
  <si>
    <t>REC-151434</t>
  </si>
  <si>
    <t>REC-575519</t>
  </si>
  <si>
    <t>Black Pepper &amp; Sea Salt Crackers</t>
  </si>
  <si>
    <t>REC-371454</t>
  </si>
  <si>
    <t>Jet Gum Sugar Free</t>
  </si>
  <si>
    <t>Jet Gum, Jetgum</t>
  </si>
  <si>
    <t>REC-856768</t>
  </si>
  <si>
    <t>Dark 75% madagascar ginger &amp; turmeric</t>
  </si>
  <si>
    <t>REC-751682</t>
  </si>
  <si>
    <t>Hot mix spicy</t>
  </si>
  <si>
    <t>REC-381834</t>
  </si>
  <si>
    <t>Cocoa &amp; Vanilla Gruffalo Biscuits+ Months 5 x (100g)</t>
  </si>
  <si>
    <t>REC-264757</t>
  </si>
  <si>
    <t>Hoops</t>
  </si>
  <si>
    <t>8 x 25 g</t>
  </si>
  <si>
    <t>REC-150567</t>
  </si>
  <si>
    <t>Gerlinea moelleux</t>
  </si>
  <si>
    <t>138 g e</t>
  </si>
  <si>
    <t>REC-237615</t>
  </si>
  <si>
    <t>Tic tac Festival</t>
  </si>
  <si>
    <t>TIC TAC</t>
  </si>
  <si>
    <t>REC-597122</t>
  </si>
  <si>
    <t>Dark compound choclate</t>
  </si>
  <si>
    <t>REC-908290</t>
  </si>
  <si>
    <t>2 Peanut Butter Cups</t>
  </si>
  <si>
    <t>Reese's</t>
  </si>
  <si>
    <t>Bulgaria,North Macedonia,Romania,Sweden,Switzerland</t>
  </si>
  <si>
    <t>REC-985464</t>
  </si>
  <si>
    <t>REC-659587</t>
  </si>
  <si>
    <t>Half-Coated Milk Chocolate Cookies</t>
  </si>
  <si>
    <t>REC-562425</t>
  </si>
  <si>
    <t>Sweet and salty butterfly popcorn</t>
  </si>
  <si>
    <t>REC-685868</t>
  </si>
  <si>
    <t>Patatas Lay's Sal</t>
  </si>
  <si>
    <t>160 g.</t>
  </si>
  <si>
    <t>REC-748476</t>
  </si>
  <si>
    <t>REC-356081</t>
  </si>
  <si>
    <t>Mes cookies Bio tout chocolat</t>
  </si>
  <si>
    <t>Aline &amp; Olivier</t>
  </si>
  <si>
    <t>REC-473461</t>
  </si>
  <si>
    <t>Seriously Salt and Vinegar Crisps</t>
  </si>
  <si>
    <t>REC-365856</t>
  </si>
  <si>
    <t>La madeleine pur beurre</t>
  </si>
  <si>
    <t>REC-270796</t>
  </si>
  <si>
    <t>Pistachio nut mix salted</t>
  </si>
  <si>
    <t>REC-339650</t>
  </si>
  <si>
    <t>Petit biscuit avoine &amp; framboise</t>
  </si>
  <si>
    <t>REC-275361</t>
  </si>
  <si>
    <t>Aldi,Snackrite</t>
  </si>
  <si>
    <t>REC-552400</t>
  </si>
  <si>
    <t>REC-279683</t>
  </si>
  <si>
    <t>Oswego</t>
  </si>
  <si>
    <t>REC-730439</t>
  </si>
  <si>
    <t>DeBeukelar</t>
  </si>
  <si>
    <t>REC-774116</t>
  </si>
  <si>
    <t>Dairy Milk Marvellous Creations Jelly Popping Candy</t>
  </si>
  <si>
    <t>Cadbury, Mondelez</t>
  </si>
  <si>
    <t>REC-135641</t>
  </si>
  <si>
    <t>Very Cherry Gourmet Sweets</t>
  </si>
  <si>
    <t>REC-857253</t>
  </si>
  <si>
    <t>REC-831487</t>
  </si>
  <si>
    <t>Tony's chocolonely milk creamy</t>
  </si>
  <si>
    <t>REC-996610</t>
  </si>
  <si>
    <t>Toffee</t>
  </si>
  <si>
    <t>REC-418197</t>
  </si>
  <si>
    <t>Nerds</t>
  </si>
  <si>
    <t>141.7g</t>
  </si>
  <si>
    <t>REC-615993</t>
  </si>
  <si>
    <t>272 g</t>
  </si>
  <si>
    <t>REC-382367</t>
  </si>
  <si>
    <t>Salted dark chocolate almonds</t>
  </si>
  <si>
    <t>Forest Feast</t>
  </si>
  <si>
    <t>REC-361047</t>
  </si>
  <si>
    <t>Hazelnut Dark Chocolate</t>
  </si>
  <si>
    <t>REC-324298</t>
  </si>
  <si>
    <t>Digestives The Original Twin Pack</t>
  </si>
  <si>
    <t>2 x 360 g</t>
  </si>
  <si>
    <t>REC-400504</t>
  </si>
  <si>
    <t>Hafercookies</t>
  </si>
  <si>
    <t>REWE Bio</t>
  </si>
  <si>
    <t>REC-567302</t>
  </si>
  <si>
    <t>Cocoa Vanilla Oat Boost</t>
  </si>
  <si>
    <t>REC-796546</t>
  </si>
  <si>
    <t>Vegan bar choco amandes</t>
  </si>
  <si>
    <t>Nu3</t>
  </si>
  <si>
    <t>50gr</t>
  </si>
  <si>
    <t>REC-816217</t>
  </si>
  <si>
    <t>REC-618062</t>
  </si>
  <si>
    <t>REC-332898</t>
  </si>
  <si>
    <t>organix soft oaty bar</t>
  </si>
  <si>
    <t>23g</t>
  </si>
  <si>
    <t>REC-175533</t>
  </si>
  <si>
    <t>Creamy milk chocolate</t>
  </si>
  <si>
    <t>NOOCO</t>
  </si>
  <si>
    <t>REC-968572</t>
  </si>
  <si>
    <t>Fruit Splits Bear</t>
  </si>
  <si>
    <t>REC-332437</t>
  </si>
  <si>
    <t>Chips  barbecue</t>
  </si>
  <si>
    <t>REC-699959</t>
  </si>
  <si>
    <t>Biscoff Bar</t>
  </si>
  <si>
    <t>Trekk Power</t>
  </si>
  <si>
    <t>REC-952548</t>
  </si>
  <si>
    <t>Toffee Apple Oat Bars</t>
  </si>
  <si>
    <t>Bio &amp; Me</t>
  </si>
  <si>
    <t>REC-831778</t>
  </si>
  <si>
    <t>Sour Cream &amp; Onion Flavored Potato Crisps</t>
  </si>
  <si>
    <t>5.5 oz, 158 g</t>
  </si>
  <si>
    <t>Bolivia,Israel,Philippines,United States</t>
  </si>
  <si>
    <t>REC-362584</t>
  </si>
  <si>
    <t>HAND COOKED sea salt &amp; Balsamic vinegar crisps</t>
  </si>
  <si>
    <t>M&amp;S FOOD</t>
  </si>
  <si>
    <t>REC-572750</t>
  </si>
  <si>
    <t>Ready Salted Potato Sticks</t>
  </si>
  <si>
    <t>REC-979324</t>
  </si>
  <si>
    <t>Super Extra-Large Peanuts</t>
  </si>
  <si>
    <t>1.13 kg</t>
  </si>
  <si>
    <t>REC-171642</t>
  </si>
  <si>
    <t>4.25 oz</t>
  </si>
  <si>
    <t>REC-765596</t>
  </si>
  <si>
    <t>Puff pastry twist</t>
  </si>
  <si>
    <t>REC-592399</t>
  </si>
  <si>
    <t>Marzipan log</t>
  </si>
  <si>
    <t>REC-998079</t>
  </si>
  <si>
    <t>Crackers emmental</t>
  </si>
  <si>
    <t>REC-790191</t>
  </si>
  <si>
    <t>REC-132927</t>
  </si>
  <si>
    <t>Bio Biscuits tablette chocolat noir</t>
  </si>
  <si>
    <t>REC-679729</t>
  </si>
  <si>
    <t>125 g, 2 sachets de 8 biscuits</t>
  </si>
  <si>
    <t>REC-906118</t>
  </si>
  <si>
    <t>110 g X 2</t>
  </si>
  <si>
    <t>REC-825430</t>
  </si>
  <si>
    <t>Galak Chocolat Blanc</t>
  </si>
  <si>
    <t>200 g (2 * 100 g)</t>
  </si>
  <si>
    <t>REC-992394</t>
  </si>
  <si>
    <t>REC-110141</t>
  </si>
  <si>
    <t>FraiseðŸ“Tagada</t>
  </si>
  <si>
    <t>REC-844095</t>
  </si>
  <si>
    <t>REC-814143</t>
  </si>
  <si>
    <t>123.5 g, 12 galettes</t>
  </si>
  <si>
    <t>REC-623397</t>
  </si>
  <si>
    <t>Mini Brownie Chocolat</t>
  </si>
  <si>
    <t>REC-456149</t>
  </si>
  <si>
    <t>REC-406976</t>
  </si>
  <si>
    <t>Nature</t>
  </si>
  <si>
    <t>Carrefour classic</t>
  </si>
  <si>
    <t>REC-531089</t>
  </si>
  <si>
    <t>Petit beurre - 200g BIO</t>
  </si>
  <si>
    <t>REC-345731</t>
  </si>
  <si>
    <t>Biscuits petit beurre bio paquet de 150g</t>
  </si>
  <si>
    <t>REC-440609</t>
  </si>
  <si>
    <t>Pains au lait x15 - 525g</t>
  </si>
  <si>
    <t>525 g</t>
  </si>
  <si>
    <t>REC-246026</t>
  </si>
  <si>
    <t>REC-286562</t>
  </si>
  <si>
    <t>REC-214862</t>
  </si>
  <si>
    <t>Mon Cake Nature</t>
  </si>
  <si>
    <t>REC-910241</t>
  </si>
  <si>
    <t>La Classique Nature</t>
  </si>
  <si>
    <t>6 * 27.5 g</t>
  </si>
  <si>
    <t>REC-139807</t>
  </si>
  <si>
    <t>REC-312449</t>
  </si>
  <si>
    <t>Grany, LU</t>
  </si>
  <si>
    <t>REC-112582</t>
  </si>
  <si>
    <t>Langues de chat</t>
  </si>
  <si>
    <t>REC-963598</t>
  </si>
  <si>
    <t>Coleslaw Chou blanc et carottes</t>
  </si>
  <si>
    <t>REC-793180</t>
  </si>
  <si>
    <t>Dessert noir</t>
  </si>
  <si>
    <t>REC-568240</t>
  </si>
  <si>
    <t>Barres GOURMANDES</t>
  </si>
  <si>
    <t>REC-201535</t>
  </si>
  <si>
    <t>REC-826203</t>
  </si>
  <si>
    <t>REC-829592</t>
  </si>
  <si>
    <t>REC-356833</t>
  </si>
  <si>
    <t>Biscuits tablette chocolat noir</t>
  </si>
  <si>
    <t>REC-729250</t>
  </si>
  <si>
    <t>Leclerc, Nos regions ont du talent</t>
  </si>
  <si>
    <t>REC-134837</t>
  </si>
  <si>
    <t>REC-742537</t>
  </si>
  <si>
    <t>REC-921153</t>
  </si>
  <si>
    <t>Maxi King 3er-Pack</t>
  </si>
  <si>
    <t>REC-708333</t>
  </si>
  <si>
    <t>180G CHUPA CHUPS MINI ASSOSRTI</t>
  </si>
  <si>
    <t>REC-626060</t>
  </si>
  <si>
    <t>REC-492308</t>
  </si>
  <si>
    <t>6 Cherry Bakewells</t>
  </si>
  <si>
    <t>Mr Kipling</t>
  </si>
  <si>
    <t>282 g (6 x 47 g)</t>
  </si>
  <si>
    <t>REC-564450</t>
  </si>
  <si>
    <t>NO ARTIFICIAL COLO NO ARTIFICIAL FLAVOURS NO MSG H</t>
  </si>
  <si>
    <t>REC-127756</t>
  </si>
  <si>
    <t>Walkers Quavers</t>
  </si>
  <si>
    <t>34 g</t>
  </si>
  <si>
    <t>REC-556769</t>
  </si>
  <si>
    <t>Pringels</t>
  </si>
  <si>
    <t>REC-302532</t>
  </si>
  <si>
    <t>Blue Maize Tortilla Chips</t>
  </si>
  <si>
    <t>REC-496120</t>
  </si>
  <si>
    <t>Mini Croissants</t>
  </si>
  <si>
    <t>REC-170615</t>
  </si>
  <si>
    <t>Barres Lion</t>
  </si>
  <si>
    <t>10 x 42 g</t>
  </si>
  <si>
    <t>REC-793062</t>
  </si>
  <si>
    <t>NESTLE L'ATELIER - Noir 70% - 100g</t>
  </si>
  <si>
    <t>France,Guyane</t>
  </si>
  <si>
    <t>REC-139176</t>
  </si>
  <si>
    <t>FLORENTIN 125G - KAMBLY - 125g</t>
  </si>
  <si>
    <t>REC-354401</t>
  </si>
  <si>
    <t>2fruity Parfum Fraise-Citron vert</t>
  </si>
  <si>
    <t>REC-260135</t>
  </si>
  <si>
    <t>Breakfast Biscuits Soft Bakes Filled Choco Hazelnut</t>
  </si>
  <si>
    <t>REC-610584</t>
  </si>
  <si>
    <t>MondelÄ“z, belVita</t>
  </si>
  <si>
    <t>REC-432333</t>
  </si>
  <si>
    <t>Fino 85% negro</t>
  </si>
  <si>
    <t>Suchard,Mondelez</t>
  </si>
  <si>
    <t>REC-476452</t>
  </si>
  <si>
    <t>SEMPLICISSIMI cereali riso nero 1 porzione 31g.</t>
  </si>
  <si>
    <t>Bauli, Doria</t>
  </si>
  <si>
    <t>REC-486296</t>
  </si>
  <si>
    <t>Mini rolls chocolate</t>
  </si>
  <si>
    <t>REC-700693</t>
  </si>
  <si>
    <t>Panettone</t>
  </si>
  <si>
    <t>Grand Frais, Pasticceria dei Fiori, Valentino</t>
  </si>
  <si>
    <t>REC-311220</t>
  </si>
  <si>
    <t>Grissini Nature Vita Vigor</t>
  </si>
  <si>
    <t>VITAVIGOR, Vita Vigor</t>
  </si>
  <si>
    <t>REC-878452</t>
  </si>
  <si>
    <t>Frollini con gocce di cioccolato</t>
  </si>
  <si>
    <t>Dolciando, Eurospin</t>
  </si>
  <si>
    <t>REC-928604</t>
  </si>
  <si>
    <t>Campagnole con farina di riso</t>
  </si>
  <si>
    <t>REC-839333</t>
  </si>
  <si>
    <t>Kinder Joy Boy</t>
  </si>
  <si>
    <t>Kinder, à¸„à¸´à¸™à¹€à¸”à¸­à¸£à¹Œ</t>
  </si>
  <si>
    <t>China, Frankreich, Marokko, Spanien, Thailand, Germany</t>
  </si>
  <si>
    <t>REC-582152</t>
  </si>
  <si>
    <t>Petit</t>
  </si>
  <si>
    <t>Rio</t>
  </si>
  <si>
    <t>3 x 133 g</t>
  </si>
  <si>
    <t>REC-268424</t>
  </si>
  <si>
    <t>REC-621822</t>
  </si>
  <si>
    <t>Gullon Maria Doroda</t>
  </si>
  <si>
    <t>REC-712579</t>
  </si>
  <si>
    <t>Tortilla Chips Nachos</t>
  </si>
  <si>
    <t>Zanuy,Liven</t>
  </si>
  <si>
    <t>REC-262443</t>
  </si>
  <si>
    <t>Cocktail rodeo</t>
  </si>
  <si>
    <t>REC-300455</t>
  </si>
  <si>
    <t>Nesquik Cereal Riegel, Schoko</t>
  </si>
  <si>
    <t>France,Romania</t>
  </si>
  <si>
    <t>REC-559187</t>
  </si>
  <si>
    <t>TASTINO - LIDL</t>
  </si>
  <si>
    <t>REC-551880</t>
  </si>
  <si>
    <t>REC-875951</t>
  </si>
  <si>
    <t>Biscuit Novellino lait et miel</t>
  </si>
  <si>
    <t>REC-961341</t>
  </si>
  <si>
    <t>REC-779865</t>
  </si>
  <si>
    <t>Salted Giant Pretzel</t>
  </si>
  <si>
    <t>Marks &amp; Spencer,McVities</t>
  </si>
  <si>
    <t>REC-450014</t>
  </si>
  <si>
    <t>Chocolate negro 72% cacao con almendras enteras</t>
  </si>
  <si>
    <t>REC-257723</t>
  </si>
  <si>
    <t>Squares Salt &amp; Vinegar</t>
  </si>
  <si>
    <t>REC-320657</t>
  </si>
  <si>
    <t>Proper Chips Sea Salt Lentil Chips</t>
  </si>
  <si>
    <t>REC-331889</t>
  </si>
  <si>
    <t>Rollino cacao</t>
  </si>
  <si>
    <t>REC-442842</t>
  </si>
  <si>
    <t>6 x 100 g</t>
  </si>
  <si>
    <t>REC-836131</t>
  </si>
  <si>
    <t>Roshen MlkChoc Aerated</t>
  </si>
  <si>
    <t>80gm</t>
  </si>
  <si>
    <t>REC-552094</t>
  </si>
  <si>
    <t>Dark Peru 80%</t>
  </si>
  <si>
    <t>REC-314355</t>
  </si>
  <si>
    <t>Cremali mini wafers</t>
  </si>
  <si>
    <t>REC-209994</t>
  </si>
  <si>
    <t>Cool Tortillas</t>
  </si>
  <si>
    <t>REC-302852</t>
  </si>
  <si>
    <t>Oreo white</t>
  </si>
  <si>
    <t>REC-252289</t>
  </si>
  <si>
    <t>Alsa</t>
  </si>
  <si>
    <t>REC-624477</t>
  </si>
  <si>
    <t>REC-226234</t>
  </si>
  <si>
    <t>Doriano Sea Salt Crackers</t>
  </si>
  <si>
    <t>Bauli</t>
  </si>
  <si>
    <t>Italy,United Kingdom</t>
  </si>
  <si>
    <t>REC-694905</t>
  </si>
  <si>
    <t>Chips Snack</t>
  </si>
  <si>
    <t>REC-529318</t>
  </si>
  <si>
    <t>Happy Hippo</t>
  </si>
  <si>
    <t>103.5 g</t>
  </si>
  <si>
    <t>REC-425069</t>
  </si>
  <si>
    <t>MILKA  Alune intregi ceo lesnik</t>
  </si>
  <si>
    <t>REC-573124</t>
  </si>
  <si>
    <t>Mylk &amp; Vanilla</t>
  </si>
  <si>
    <t>2 x 35 g</t>
  </si>
  <si>
    <t>REC-746462</t>
  </si>
  <si>
    <t>Caramel Choc Bar</t>
  </si>
  <si>
    <t>Nomo</t>
  </si>
  <si>
    <t>REC-603751</t>
  </si>
  <si>
    <t>Chicles fresa</t>
  </si>
  <si>
    <t>REC-442131</t>
  </si>
  <si>
    <t>Cool Sweet Potato Tortilla Chips</t>
  </si>
  <si>
    <t>REC-262111</t>
  </si>
  <si>
    <t>REC-453635</t>
  </si>
  <si>
    <t>Crunchy Oats &amp; Honey Granola Bars</t>
  </si>
  <si>
    <t>Harvest Morn</t>
  </si>
  <si>
    <t>210 g, 5 x 42 g</t>
  </si>
  <si>
    <t>REC-704386</t>
  </si>
  <si>
    <t>Gerble - Organic Oatmeal Coconut Cocoa Cookie, 132g (4.7oz)</t>
  </si>
  <si>
    <t>REC-983684</t>
  </si>
  <si>
    <t>Pringles Flame Spicy BBQ</t>
  </si>
  <si>
    <t>REC-626207</t>
  </si>
  <si>
    <t>Wheat Thins Original</t>
  </si>
  <si>
    <t>Nabisco</t>
  </si>
  <si>
    <t>REC-633149</t>
  </si>
  <si>
    <t>REC-980566</t>
  </si>
  <si>
    <t>Roasted Garlic &amp; Extra Virgin Olive Oil Flatbread</t>
  </si>
  <si>
    <t>taste-the-difference, sainsbury-s</t>
  </si>
  <si>
    <t>195g</t>
  </si>
  <si>
    <t>REC-385551</t>
  </si>
  <si>
    <t>Galettes Bretonnes</t>
  </si>
  <si>
    <t>REC-168224</t>
  </si>
  <si>
    <t>Gaufres aux oeufs frais au sucre glace</t>
  </si>
  <si>
    <t>371 g</t>
  </si>
  <si>
    <t>REC-991801</t>
  </si>
  <si>
    <t>REC-404815</t>
  </si>
  <si>
    <t>Sea Salt &amp; Cider Vinegar - Activated Chips</t>
  </si>
  <si>
    <t>REC-254809</t>
  </si>
  <si>
    <t>Neo giant</t>
  </si>
  <si>
    <t>REC-976325</t>
  </si>
  <si>
    <t>REC-381295</t>
  </si>
  <si>
    <t>Lay's Recette paysanne nature maxi format</t>
  </si>
  <si>
    <t>REC-851782</t>
  </si>
  <si>
    <t>Lays Salted Chips</t>
  </si>
  <si>
    <t>REC-602163</t>
  </si>
  <si>
    <t>Mango Pure Fruit Wind Ups</t>
  </si>
  <si>
    <t>REC-201270</t>
  </si>
  <si>
    <t>REC-134626</t>
  </si>
  <si>
    <t>Haferkraft Haselnuss zero</t>
  </si>
  <si>
    <t>REC-908235</t>
  </si>
  <si>
    <t>Haribo Happy Cola</t>
  </si>
  <si>
    <t>REC-420495</t>
  </si>
  <si>
    <t>Raspberry Porridge Oat Bar</t>
  </si>
  <si>
    <t>1 x 42g</t>
  </si>
  <si>
    <t>REC-409462</t>
  </si>
  <si>
    <t>Baked Salt and Vinegar Crisps</t>
  </si>
  <si>
    <t>REC-453588</t>
  </si>
  <si>
    <t>REC-885621</t>
  </si>
  <si>
    <t>REC-121365</t>
  </si>
  <si>
    <t>REC-674098</t>
  </si>
  <si>
    <t>Apple &amp; cinnamon porridge oat bar</t>
  </si>
  <si>
    <t>REC-576134</t>
  </si>
  <si>
    <t>Bahlsen, Pick Up!</t>
  </si>
  <si>
    <t>REC-421148</t>
  </si>
  <si>
    <t>Pick-up</t>
  </si>
  <si>
    <t>BAHLSEN</t>
  </si>
  <si>
    <t>REC-556821</t>
  </si>
  <si>
    <t>Biscuits chocolat gingembre</t>
  </si>
  <si>
    <t>REC-785071</t>
  </si>
  <si>
    <t>Biscotti Misura Protein</t>
  </si>
  <si>
    <t>REC-197068</t>
  </si>
  <si>
    <t>Feastables - Milk Chocolate</t>
  </si>
  <si>
    <t>Feastables, MrBeast</t>
  </si>
  <si>
    <t>Germany,United Kingdom,Lithuania</t>
  </si>
  <si>
    <t>REC-246376</t>
  </si>
  <si>
    <t>REC-797045</t>
  </si>
  <si>
    <t>Tony Chocolate Dark Hazelnut</t>
  </si>
  <si>
    <t>REC-770896</t>
  </si>
  <si>
    <t>Extra fresh professional</t>
  </si>
  <si>
    <t>Wrigleyâ€˜s,extraFresh</t>
  </si>
  <si>
    <t>REC-943432</t>
  </si>
  <si>
    <t>Italian Crackers Made with Sourdough</t>
  </si>
  <si>
    <t>Arden &amp; Amici</t>
  </si>
  <si>
    <t>REC-331159</t>
  </si>
  <si>
    <t>Kyoto Style Mix</t>
  </si>
  <si>
    <t>Snacks of the World</t>
  </si>
  <si>
    <t>REC-212441</t>
  </si>
  <si>
    <t>Batatas Fritas Sabor Serrano</t>
  </si>
  <si>
    <t>Romania,Spain</t>
  </si>
  <si>
    <t>REC-512760</t>
  </si>
  <si>
    <t>REC-641607</t>
  </si>
  <si>
    <t>Lindt Classic Recipe</t>
  </si>
  <si>
    <t>REC-550518</t>
  </si>
  <si>
    <t>REC-389931</t>
  </si>
  <si>
    <t>Lemon &amp; Poppy Seed Oat Bars</t>
  </si>
  <si>
    <t>REC-675515</t>
  </si>
  <si>
    <t>Original Sourdough Crispbread</t>
  </si>
  <si>
    <t>REC-295799</t>
  </si>
  <si>
    <t>REC-754512</t>
  </si>
  <si>
    <t>Carlotti - Chocolate au lait</t>
  </si>
  <si>
    <t>REC-364878</t>
  </si>
  <si>
    <t>Biscuits Delacre Sprits Chocolat au lait - 200g</t>
  </si>
  <si>
    <t>REC-140930</t>
  </si>
  <si>
    <t>Cinnamon Almond Butter Biscuits</t>
  </si>
  <si>
    <t>REC-176563</t>
  </si>
  <si>
    <t>Extra fine dark chocolate</t>
  </si>
  <si>
    <t>Marks And Spencer</t>
  </si>
  <si>
    <t>REC-392289</t>
  </si>
  <si>
    <t>Tortilla Strips</t>
  </si>
  <si>
    <t>Kirkland</t>
  </si>
  <si>
    <t>48 oz</t>
  </si>
  <si>
    <t>Estados Unidos, Spain</t>
  </si>
  <si>
    <t>REC-417999</t>
  </si>
  <si>
    <t>Be-kind Caramel Almond &amp; sea salt</t>
  </si>
  <si>
    <t>Be-Kind</t>
  </si>
  <si>
    <t>France,Spain,Switzerland</t>
  </si>
  <si>
    <t>REC-349903</t>
  </si>
  <si>
    <t>Amaretti</t>
  </si>
  <si>
    <t>France,Hungary</t>
  </si>
  <si>
    <t>REC-701402</t>
  </si>
  <si>
    <t>Lait Raisins secs &amp; Noisettes</t>
  </si>
  <si>
    <t>Bellarom</t>
  </si>
  <si>
    <t>REC-861300</t>
  </si>
  <si>
    <t>Studentenfutter Exotic</t>
  </si>
  <si>
    <t>Frankreich, Deutschland</t>
  </si>
  <si>
    <t>REC-521956</t>
  </si>
  <si>
    <t>Lebkuchen Hearts, Pretzels &amp; Stars Zartbitter</t>
  </si>
  <si>
    <t>REC-706330</t>
  </si>
  <si>
    <t>Grissini Rosmarino - Breadsticks with Rosemary</t>
  </si>
  <si>
    <t>REC-821942</t>
  </si>
  <si>
    <t>Alesto Cashew Erdnuss Mix, Hot Chili</t>
  </si>
  <si>
    <t>REC-979001</t>
  </si>
  <si>
    <t>Duc de Coeur, Sondey</t>
  </si>
  <si>
    <t>Ð¤Ñ€Ð°Ð½Ñ†Ð¸Ñ,Ð‘ÑŠÐ»Ð³Ð°Ñ€Ð¸Ñ</t>
  </si>
  <si>
    <t>REC-583796</t>
  </si>
  <si>
    <t>REC-243999</t>
  </si>
  <si>
    <t>Goldbears 300g</t>
  </si>
  <si>
    <t>REC-705522</t>
  </si>
  <si>
    <t>Benenuts</t>
  </si>
  <si>
    <t>REC-775118</t>
  </si>
  <si>
    <t>REC-487779</t>
  </si>
  <si>
    <t>REC-451410</t>
  </si>
  <si>
    <t>REC-934428</t>
  </si>
  <si>
    <t>REC-871555</t>
  </si>
  <si>
    <t>Madeleines coquille individuelles</t>
  </si>
  <si>
    <t>REC-117898</t>
  </si>
  <si>
    <t>sables</t>
  </si>
  <si>
    <t>REC-131985</t>
  </si>
  <si>
    <t>REC-971763</t>
  </si>
  <si>
    <t>REC-220290</t>
  </si>
  <si>
    <t>REC-599958</t>
  </si>
  <si>
    <t>REC-263282</t>
  </si>
  <si>
    <t>Palmiers</t>
  </si>
  <si>
    <t>REC-349262</t>
  </si>
  <si>
    <t>Pom'lisse Chips Craqu'antes</t>
  </si>
  <si>
    <t>REC-611327</t>
  </si>
  <si>
    <t>REC-265760</t>
  </si>
  <si>
    <t>REC-381337</t>
  </si>
  <si>
    <t>France,canada</t>
  </si>
  <si>
    <t>REC-800212</t>
  </si>
  <si>
    <t>Mon biscuit BIO vanille</t>
  </si>
  <si>
    <t>4 sachets de 4 biscuits (150 g)</t>
  </si>
  <si>
    <t>REC-202870</t>
  </si>
  <si>
    <t>Trolli</t>
  </si>
  <si>
    <t>REC-217549</t>
  </si>
  <si>
    <t>Schwartauer Corny</t>
  </si>
  <si>
    <t>4 x 35 g = 140 g</t>
  </si>
  <si>
    <t>REC-801549</t>
  </si>
  <si>
    <t>Snickers x5</t>
  </si>
  <si>
    <t>Mars, Snickers</t>
  </si>
  <si>
    <t>REC-157464</t>
  </si>
  <si>
    <t>REC-782597</t>
  </si>
  <si>
    <t>6 x 30 g, 180 g</t>
  </si>
  <si>
    <t>REC-969890</t>
  </si>
  <si>
    <t>Nutri-Grain Strawberry Cereal Bars imp</t>
  </si>
  <si>
    <t>REC-318931</t>
  </si>
  <si>
    <t>Gently Baked Mango</t>
  </si>
  <si>
    <t>Urban Fruit</t>
  </si>
  <si>
    <t>REC-516184</t>
  </si>
  <si>
    <t>REC-874761</t>
  </si>
  <si>
    <t>REC-330782</t>
  </si>
  <si>
    <t>Twix Xtra</t>
  </si>
  <si>
    <t>REC-853470</t>
  </si>
  <si>
    <t>Elephant Squeezed Pretzels Honey Mustard &amp; Onion</t>
  </si>
  <si>
    <t>Alka</t>
  </si>
  <si>
    <t>REC-781736</t>
  </si>
  <si>
    <t>Lay's Edible Salt</t>
  </si>
  <si>
    <t>Morocco,Tunisia</t>
  </si>
  <si>
    <t>REC-463353</t>
  </si>
  <si>
    <t>Lay's with cheese and onion flavor</t>
  </si>
  <si>
    <t>REC-549112</t>
  </si>
  <si>
    <t>Lindt  MILCH â€¢ AU LAITâ€¢ MILK</t>
  </si>
  <si>
    <t>REC-655311</t>
  </si>
  <si>
    <t>Les grandes, 34% noisettes, Noir</t>
  </si>
  <si>
    <t>REC-833811</t>
  </si>
  <si>
    <t>REC-906092</t>
  </si>
  <si>
    <t>Oreo Golden</t>
  </si>
  <si>
    <t>500 gram</t>
  </si>
  <si>
    <t>REC-903444</t>
  </si>
  <si>
    <t>Granola Brownie Chocolat Intense</t>
  </si>
  <si>
    <t>Granola, LU</t>
  </si>
  <si>
    <t>180 g (6 * 30 g)</t>
  </si>
  <si>
    <t>REC-301534</t>
  </si>
  <si>
    <t>REC-269293</t>
  </si>
  <si>
    <t>Milka Alpenmilch Schokolade</t>
  </si>
  <si>
    <t>Austria,Czech Republic,Denmark,Finland,France,Germany,Hungary,Norway,Slovakia,Sweden,Switzerland</t>
  </si>
  <si>
    <t>REC-217839</t>
  </si>
  <si>
    <t>France,Germany,Italy,</t>
  </si>
  <si>
    <t>REC-497381</t>
  </si>
  <si>
    <t>Prince Maxi Gourmand</t>
  </si>
  <si>
    <t>250 g â„® (11 biscuits)</t>
  </si>
  <si>
    <t>REC-571992</t>
  </si>
  <si>
    <t>Canada,France,Poland,Romania</t>
  </si>
  <si>
    <t>REC-918760</t>
  </si>
  <si>
    <t>Granola Cookies Chocolat &amp; Noisettes</t>
  </si>
  <si>
    <t>Granola,Lu</t>
  </si>
  <si>
    <t>REC-557321</t>
  </si>
  <si>
    <t>Cracker TUC classico</t>
  </si>
  <si>
    <t>REC-834515</t>
  </si>
  <si>
    <t>Ferrero Collection</t>
  </si>
  <si>
    <t>269g</t>
  </si>
  <si>
    <t>REC-844427</t>
  </si>
  <si>
    <t>1936 Antica Ricetta</t>
  </si>
  <si>
    <t>San Carlo</t>
  </si>
  <si>
    <t>REC-236378</t>
  </si>
  <si>
    <t>Nero nero 99%</t>
  </si>
  <si>
    <t>REC-584619</t>
  </si>
  <si>
    <t>Choco Keks</t>
  </si>
  <si>
    <t>REC-658055</t>
  </si>
  <si>
    <t>840 g</t>
  </si>
  <si>
    <t>REC-931340</t>
  </si>
  <si>
    <t>Santiveri</t>
  </si>
  <si>
    <t>REC-168071</t>
  </si>
  <si>
    <t>REC-868200</t>
  </si>
  <si>
    <t>sweet popcorn</t>
  </si>
  <si>
    <t>REC-958945</t>
  </si>
  <si>
    <t>Digestives Milk Chocolate</t>
  </si>
  <si>
    <t>433g</t>
  </si>
  <si>
    <t>REC-568921</t>
  </si>
  <si>
    <t>Galletas Saladitas</t>
  </si>
  <si>
    <t>REC-738399</t>
  </si>
  <si>
    <t>Milka Oreo Brownie</t>
  </si>
  <si>
    <t>REC-796830</t>
  </si>
  <si>
    <t>REC-291419</t>
  </si>
  <si>
    <t>Brown rice crisps with chia seeds &amp; quinoa</t>
  </si>
  <si>
    <t>REC-867989</t>
  </si>
  <si>
    <t>REC-774268</t>
  </si>
  <si>
    <t>Chocolate For Change Dark Chocolate With Orange</t>
  </si>
  <si>
    <t>REC-432494</t>
  </si>
  <si>
    <t>Lait dessert</t>
  </si>
  <si>
    <t>REC-117507</t>
  </si>
  <si>
    <t>Rusticotti</t>
  </si>
  <si>
    <t>REC-692469</t>
  </si>
  <si>
    <t>Cheddar &amp; Onion Chutney Rolls</t>
  </si>
  <si>
    <t>Higgidy</t>
  </si>
  <si>
    <t>Unknown</t>
  </si>
  <si>
    <t>NILAI MEDIAN</t>
  </si>
  <si>
    <t>Weight_Value</t>
  </si>
  <si>
    <t>Weight_Unit</t>
  </si>
  <si>
    <t>Weight_Unit_Clean</t>
  </si>
  <si>
    <t>g</t>
  </si>
  <si>
    <t>kg</t>
  </si>
  <si>
    <t>ml</t>
  </si>
  <si>
    <t>l</t>
  </si>
  <si>
    <t>unknown</t>
  </si>
  <si>
    <t>countblank e2</t>
  </si>
  <si>
    <t>Brand_Clean</t>
  </si>
  <si>
    <t>Sésame</t>
  </si>
  <si>
    <t>Gerblé</t>
  </si>
  <si>
    <t>Fourrés Chocolat Noir</t>
  </si>
  <si>
    <t>Nestlé Dessert</t>
  </si>
  <si>
    <t>Nestlé</t>
  </si>
  <si>
    <t>Bé</t>
  </si>
  <si>
    <t>Brioche Tranchée Bio 400g</t>
  </si>
  <si>
    <t>Cuétara, Krit</t>
  </si>
  <si>
    <t>Gerblé,Gerblé Vitalité,Nutrition &amp; Santé</t>
  </si>
  <si>
    <t>CookieðŸª cacao pépites Sans Sucre</t>
  </si>
  <si>
    <t>petit déjeuner miel et pépites de chocolat</t>
  </si>
  <si>
    <t>Sablés Anglais L'Original</t>
  </si>
  <si>
    <t>Excellence Noir Corsé 78% Cacao</t>
  </si>
  <si>
    <t>Fourrés Chocolat au Lait</t>
  </si>
  <si>
    <t>Thé - Biscuits</t>
  </si>
  <si>
    <t>Belvita Original Petit-Déjeuner miel et pépites de chocolat</t>
  </si>
  <si>
    <t>Belvita Petit Déjeuner Chocolat</t>
  </si>
  <si>
    <t>Véritable Petit Beurre Pocket</t>
  </si>
  <si>
    <t>Biscuit complet au germe de blé</t>
  </si>
  <si>
    <t>Céréal Bio</t>
  </si>
  <si>
    <t>100 g (10 carrés)</t>
  </si>
  <si>
    <t>Brioche Tranchée Recette Classique</t>
  </si>
  <si>
    <t>Véritable Petit Beurre</t>
  </si>
  <si>
    <t>Sweet &amp; Salty Nut chocolat noir et mélange de noix, 5 barres de 30 g</t>
  </si>
  <si>
    <t>Fin Carré</t>
  </si>
  <si>
    <t>Granola L'original Gros éclats de chocolat</t>
  </si>
  <si>
    <t>Tartines céréales 450g</t>
  </si>
  <si>
    <t>Sablé saveur COCO</t>
  </si>
  <si>
    <t>Excellence Noir Délicat Doux 85% Cacao</t>
  </si>
  <si>
    <t>Noir equitable 85% Pérou</t>
  </si>
  <si>
    <t>Petites Madeleines pépites chocolat</t>
  </si>
  <si>
    <t>Petit Cookies Pépites de chocolat</t>
  </si>
  <si>
    <t>Petit écolier chocolat noir pur beurre de cacao</t>
  </si>
  <si>
    <t>Biscuits 3 graines Kasha, Sésame, Pavot</t>
  </si>
  <si>
    <t>Véritable petit beurre</t>
  </si>
  <si>
    <t>Sablés chocolat</t>
  </si>
  <si>
    <t>Biscuits Germe de Blé et Pépites de Chocolat</t>
  </si>
  <si>
    <t>Barre céréales Protéines peanut&amp; chocolatðŸ«</t>
  </si>
  <si>
    <t>Le petit Gerblé nature</t>
  </si>
  <si>
    <t>gerblé</t>
  </si>
  <si>
    <t>sablé sésame saveur vanille  - Gerblé sans sucres</t>
  </si>
  <si>
    <t>Gerblé - Sablés sans sucres saveur citron et Yuzu, 132g (4.7oz)</t>
  </si>
  <si>
    <t>Crousti'Son Miel ðŸ¯ðŸSésame</t>
  </si>
  <si>
    <t>Kinder Délice 10-pack</t>
  </si>
  <si>
    <t>Fourrés chocolat lait noisettes</t>
  </si>
  <si>
    <t>Sablé Nature sans sucres</t>
  </si>
  <si>
    <t>Jardin bio, Léa Nature</t>
  </si>
  <si>
    <t>fin Carré, Lidl fin Carré</t>
  </si>
  <si>
    <t>Biscuits fourrés aux framboises</t>
  </si>
  <si>
    <t>Biscuit fondant choco ðŸ«noir (sans sucres ajoutés)</t>
  </si>
  <si>
    <t>Véritable Petit écolier Pocket Chocolat au Lait</t>
  </si>
  <si>
    <t>Belvita original  - Biscuits petit déjeuner miel &amp; pépites de chocolat</t>
  </si>
  <si>
    <t>1 kg (57 unités)</t>
  </si>
  <si>
    <t>Snack poppé T&amp;H</t>
  </si>
  <si>
    <t>Chips de lentilles saveur oignons caramélisés</t>
  </si>
  <si>
    <t>Gerblé cacao céréales</t>
  </si>
  <si>
    <t>Petit déjeuner fruits rouges</t>
  </si>
  <si>
    <t>Brioche tranchée nature ss additif</t>
  </si>
  <si>
    <t>Nestlé,Nestlé Dessert,Tablettes</t>
  </si>
  <si>
    <t>Cuétara</t>
  </si>
  <si>
    <t>Tartines Craquantes Multi-Céréales</t>
  </si>
  <si>
    <t>Céréal bio</t>
  </si>
  <si>
    <t>Chocolat au lait feuilleté caramel</t>
  </si>
  <si>
    <t>Création Rocher Noir</t>
  </si>
  <si>
    <t>10 Pains au lait frais sans sucres ajoutés 350g</t>
  </si>
  <si>
    <t>Nestlé, Nestlé Dessert, Tablettes</t>
  </si>
  <si>
    <t>Brioche tranchée</t>
  </si>
  <si>
    <t>Le Sablé pur beurre</t>
  </si>
  <si>
    <t>BelVita Original Petit Déjeuner pépites de chocolat</t>
  </si>
  <si>
    <t>Biscuits nappés de chocolat noir</t>
  </si>
  <si>
    <t>Fourré Cacao sans sucres</t>
  </si>
  <si>
    <t>Chips saveur Poulet Braisé</t>
  </si>
  <si>
    <t>Petit Déjeuner Chocolat</t>
  </si>
  <si>
    <t>Biscuits Nutella B-ready x15 gaufrettes fourrées</t>
  </si>
  <si>
    <t>Biscuit Chocolat Céréales</t>
  </si>
  <si>
    <t>Pérou grand cru Amazonas 70% note de fruits rouges</t>
  </si>
  <si>
    <t>Cracker épeautre et 3 graines</t>
  </si>
  <si>
    <t>Ker Cadélac</t>
  </si>
  <si>
    <t>Grany Noisettes 5 céréales</t>
  </si>
  <si>
    <t>Madeleines aux Å“ufs de poules élevées en plein air</t>
  </si>
  <si>
    <t>Barres protéinées aux chocolat et cranberries sans gluten</t>
  </si>
  <si>
    <t>Fourrés ChocolatðŸ«</t>
  </si>
  <si>
    <t>Jardin bio, jardin bio étic Léa Nature</t>
  </si>
  <si>
    <t>Doo Wap pépites choco</t>
  </si>
  <si>
    <t>Cake fourré saveur fraise</t>
  </si>
  <si>
    <t>moelleux pépites de chocolat</t>
  </si>
  <si>
    <t>Rice Crackers Finement Salé promotion</t>
  </si>
  <si>
    <t>Toast brioché</t>
  </si>
  <si>
    <t>Chocolat noir dégustation 85% cacao bio</t>
  </si>
  <si>
    <t>Fourrés vanille bio</t>
  </si>
  <si>
    <t>chocolat noir aux pépites</t>
  </si>
  <si>
    <t>Monster Munch Salé</t>
  </si>
  <si>
    <t>Biscuits Nutella x3 biscuits fourrés - 41,4g</t>
  </si>
  <si>
    <t>Délichoc Noir</t>
  </si>
  <si>
    <t>Amandes grillées salées</t>
  </si>
  <si>
    <t>Excellence Noir Sésame Grillé</t>
  </si>
  <si>
    <t>Fin Carré, lidl, Lidl Fin Carré</t>
  </si>
  <si>
    <t>Madeleines Longues Marbrées chocolat</t>
  </si>
  <si>
    <t>Tube caramel beurre salé</t>
  </si>
  <si>
    <t>Régilait</t>
  </si>
  <si>
    <t>Fin carré, Lidl</t>
  </si>
  <si>
    <t>Cake aux Fruits - Tranché</t>
  </si>
  <si>
    <t>Les craquantes blé complet</t>
  </si>
  <si>
    <t>BelVita - Petit déjeuner Tartiné</t>
  </si>
  <si>
    <t>Gerlinéa, Ma Pause Gerlinéa</t>
  </si>
  <si>
    <t>Tablette BIO dégustation Chocolat noir - 100g</t>
  </si>
  <si>
    <t>Délices au Caramel</t>
  </si>
  <si>
    <t>Pepito lu pépite choco</t>
  </si>
  <si>
    <t>Armor Délices</t>
  </si>
  <si>
    <t>La Fournée Dorée</t>
  </si>
  <si>
    <t>Sablés sarrasin miel saveur citron</t>
  </si>
  <si>
    <t>céréal bio</t>
  </si>
  <si>
    <t>Fourré FIGUES</t>
  </si>
  <si>
    <t>Tablette dégustation chocolat noir 85% - 100g</t>
  </si>
  <si>
    <t>Véritable petit beurreðŸ§ˆ</t>
  </si>
  <si>
    <t>Sablés Pavot Coco</t>
  </si>
  <si>
    <t>Fin Carré,Lidl</t>
  </si>
  <si>
    <t>Brioche tressée pépites de chocolat</t>
  </si>
  <si>
    <t>Mon Chéri</t>
  </si>
  <si>
    <t>KIDDYLICIOUS Veggie Straws - saveur Légumes - 48g (4x12g)</t>
  </si>
  <si>
    <t>Barres de céréales fraises et framboises x 6</t>
  </si>
  <si>
    <t>Mélange de noix et pistaches</t>
  </si>
  <si>
    <t>Petit écolier tendre coeur au lait</t>
  </si>
  <si>
    <t>Tartines de Pain multi-céréales</t>
  </si>
  <si>
    <t>Sablés beurré nantais</t>
  </si>
  <si>
    <t>Gerblé - Choco Hazelnut Filled Cake, 200g (7.1oz)</t>
  </si>
  <si>
    <t>Gerblé, Gerblé Bio</t>
  </si>
  <si>
    <t>Gerblé - Organic Muesli Fig Apricot Spelt Cookie, 132g (4.7oz)</t>
  </si>
  <si>
    <t>Gerblé Bio</t>
  </si>
  <si>
    <t>Tartines craquantes Multicéréales</t>
  </si>
  <si>
    <t>Sablés bio chocolat noir intense</t>
  </si>
  <si>
    <t>Biscuits Farine de Blé et Graines de Sésame</t>
  </si>
  <si>
    <t>La Fournée dorée</t>
  </si>
  <si>
    <t>Dolca,Nestlé</t>
  </si>
  <si>
    <t>Biscuits caramel épeautre</t>
  </si>
  <si>
    <t>Nestlé, Bio+, Nestle dessert</t>
  </si>
  <si>
    <t>Chips saveur beurre salé</t>
  </si>
  <si>
    <t>Cémoi</t>
  </si>
  <si>
    <t>Nestlé, Menier</t>
  </si>
  <si>
    <t>Gerblé - Sesame Chocolate Cookie, 200g (7.1oz)</t>
  </si>
  <si>
    <t>Pain d'épices miel</t>
  </si>
  <si>
    <t>Chocolat noir aux écorces d'orange</t>
  </si>
  <si>
    <t>Nestlé dessert, Tablettes</t>
  </si>
  <si>
    <t>la fournée dorée</t>
  </si>
  <si>
    <t>Sablé des FLANDRES</t>
  </si>
  <si>
    <t>Belvita petit déjeuner</t>
  </si>
  <si>
    <t>Sablés sésame &amp; pavot</t>
  </si>
  <si>
    <t>Sablés Myrtilles Germes de riz</t>
  </si>
  <si>
    <t>Mélange japonais</t>
  </si>
  <si>
    <t>Barres céréales FRAISE</t>
  </si>
  <si>
    <t>70% équateur</t>
  </si>
  <si>
    <t>Dégustation - Chocolat Noir 72% Cacao</t>
  </si>
  <si>
    <t>Ker Cadélac - Marble Cake, 500g (17.6oz)</t>
  </si>
  <si>
    <t>Karelea, Léa nature</t>
  </si>
  <si>
    <t>Santé</t>
  </si>
  <si>
    <t>CereAlé</t>
  </si>
  <si>
    <t>Karéléa épautre noisette</t>
  </si>
  <si>
    <t>Karéléa, Léa Nature</t>
  </si>
  <si>
    <t>Barres Céréales Graines et Amandes</t>
  </si>
  <si>
    <t>Chocolat noir sans sucres ajoutés</t>
  </si>
  <si>
    <t>Terres et céréales Bio</t>
  </si>
  <si>
    <t>Ambassadeur noir précieux 70% cacao</t>
  </si>
  <si>
    <t>Tuc original - Biscuits salé</t>
  </si>
  <si>
    <t>Sablé de Retz Le Véritable</t>
  </si>
  <si>
    <t>Fourrés choc'</t>
  </si>
  <si>
    <t>Fin Carré way to go</t>
  </si>
  <si>
    <t>P'tit nature 5 céréales</t>
  </si>
  <si>
    <t>La galette fourrée</t>
  </si>
  <si>
    <t>Brioche tressée nature allegée en sucres sans additifs 450g</t>
  </si>
  <si>
    <t>Biscuit muesli avoine Gerblé</t>
  </si>
  <si>
    <t>Fourrés Myrtilles</t>
  </si>
  <si>
    <t>NESTLE LION Céréales caramel chocolat BIO 400g</t>
  </si>
  <si>
    <t>Nestlé, Lion, Lion bio</t>
  </si>
  <si>
    <t>Macédoine 1/2</t>
  </si>
  <si>
    <t>Chips A L'ancienne Sel de Guérande Brets</t>
  </si>
  <si>
    <t>Calvé</t>
  </si>
  <si>
    <t>Barre Céréales CHOCOLAT</t>
  </si>
  <si>
    <t>Nature Wrap De Blé</t>
  </si>
  <si>
    <t>Saveurs de nos Régions</t>
  </si>
  <si>
    <t>Envitas miel &amp; pépites de chocolat</t>
  </si>
  <si>
    <t>Nestlé, Kit kat ball, Kitkat</t>
  </si>
  <si>
    <t>Tartines bio craquantes multi-céréales sans gluten</t>
  </si>
  <si>
    <t>Mix énergie</t>
  </si>
  <si>
    <t>Barre protéinée</t>
  </si>
  <si>
    <t>Intermarché, Ivoria</t>
  </si>
  <si>
    <t>Brioche Tranchée</t>
  </si>
  <si>
    <t>LU,Mondelez,Pépito</t>
  </si>
  <si>
    <t>gaufres au sucre perlé</t>
  </si>
  <si>
    <t>Tablette dégustation chocolat noir 70% - 100g</t>
  </si>
  <si>
    <t>P'tit déj bio céréales et chocolat</t>
  </si>
  <si>
    <t>Chocolat noir aux éclats d'amandes</t>
  </si>
  <si>
    <t>Lu thé pocket</t>
  </si>
  <si>
    <t>Spéculoos</t>
  </si>
  <si>
    <t>Triangolini Sésame</t>
  </si>
  <si>
    <t>Chips de légumes</t>
  </si>
  <si>
    <t>Déli Matin allégé de 30% en sucres aux pépites de chocolat</t>
  </si>
  <si>
    <t>Déli Matin Multi-Céréales</t>
  </si>
  <si>
    <t>Biscuits petit déjeuner</t>
  </si>
  <si>
    <t>Tablette Lait noisettes et amandes pilées</t>
  </si>
  <si>
    <t>Lindt Chocoletti Lait praliné noisettes</t>
  </si>
  <si>
    <t>Chocolat Kinder Chocofresh fourré lait noisette x5</t>
  </si>
  <si>
    <t>Gerblé - No Sugar Added Apple Blackcurrant Cake Filling, 180g (6.4oz)</t>
  </si>
  <si>
    <t>Tablette de chocolat 100% cacao variétés native Pérou</t>
  </si>
  <si>
    <t>Génoise chocolat orange Gerblé sans sucres</t>
  </si>
  <si>
    <t>Chabrior, Intermarché</t>
  </si>
  <si>
    <t>Tomates séchées</t>
  </si>
  <si>
    <t>270 g e / 140 g e égoutté</t>
  </si>
  <si>
    <t>Petits sablés Beaufort</t>
  </si>
  <si>
    <t>Bosnie-Herzégovine,Bulgarie,Croatie,France,Hongrie,Italie,Moldavie,Monténégro,Macédoine du Nord,Roumanie,Serbie</t>
  </si>
  <si>
    <t>Noir praliné</t>
  </si>
  <si>
    <t>Bouchées Mon Chéri Liqueur cerise x16 - 168g</t>
  </si>
  <si>
    <t>Avoine Sésame</t>
  </si>
  <si>
    <t>Tortilla Pops Finement Salé</t>
  </si>
  <si>
    <t>Tablette Noir noisettes et amandes pilées</t>
  </si>
  <si>
    <t>Snack poppé saveur paprika</t>
  </si>
  <si>
    <t>Tablette BIO dégustation - Chocolat noir Pérou 85% - 100g</t>
  </si>
  <si>
    <t>250 g (20 unités de 12.5 g)</t>
  </si>
  <si>
    <t>Chocolat noir dégustation 85% de cacao Tablette de 100g</t>
  </si>
  <si>
    <t>Lait Praliné Double Lait</t>
  </si>
  <si>
    <t>Sablés Normands</t>
  </si>
  <si>
    <t>Milka oréo</t>
  </si>
  <si>
    <t>Tartines craquantes au blé complet 250g</t>
  </si>
  <si>
    <t>Fin Carré, Lidl</t>
  </si>
  <si>
    <t>200 g (48 unités)</t>
  </si>
  <si>
    <t>Chips paysanne au sel de Guérande</t>
  </si>
  <si>
    <t>Biscuit petit beurre blé cplt (15) 140g</t>
  </si>
  <si>
    <t>Moelleux Multi Céréales</t>
  </si>
  <si>
    <t>DooWap pépites chocolait ss additif</t>
  </si>
  <si>
    <t>Barre aux 4 céréales et figue</t>
  </si>
  <si>
    <t>Biscuits Complets Avoine et blé Bio</t>
  </si>
  <si>
    <t>Bénenuts, PepsiCo</t>
  </si>
  <si>
    <t>République Dominicaine 80%</t>
  </si>
  <si>
    <t>Barres de Céréales Extra Kellogg's Miel - 4x32g</t>
  </si>
  <si>
    <t>Barre Chocolatée Kinder Bueno Chocolat au Lait</t>
  </si>
  <si>
    <t>Nappés lait</t>
  </si>
  <si>
    <t>Chocolat Dégustation 70% cacao</t>
  </si>
  <si>
    <t>Gerlinéa</t>
  </si>
  <si>
    <t>Sablés framboise sésame</t>
  </si>
  <si>
    <t>Crackers Aux graines de courge, lin et sésame</t>
  </si>
  <si>
    <t>Tartines grillées craquantes au froment 250g</t>
  </si>
  <si>
    <t>Nestlé, Nestle fitness no added sugar protein cocoa, Nestle</t>
  </si>
  <si>
    <t>Lait amandes caramélisées</t>
  </si>
  <si>
    <t>Belvita Petit-Déjeuner Original</t>
  </si>
  <si>
    <t>Biscuit Cacaoté Fourré Saveur Vanille</t>
  </si>
  <si>
    <t>Noir quinoa soufflé</t>
  </si>
  <si>
    <t>Petit Lu beurre &amp; sel de Guérande</t>
  </si>
  <si>
    <t>Saveurs de nos régions</t>
  </si>
  <si>
    <t>Barres Granola au sirop d'érable</t>
  </si>
  <si>
    <t>Lay's Paysanne saveur oignons de Roscoff caramélisé</t>
  </si>
  <si>
    <t>Tablette de Chocolat Noir Excellence Pailleté Dentelle</t>
  </si>
  <si>
    <t>Cookies bio quinoa pépites chocolat paquet de 175g</t>
  </si>
  <si>
    <t>Brioche tressée pur beurre 800g</t>
  </si>
  <si>
    <t>Brioche Pépites de Chocolat</t>
  </si>
  <si>
    <t>Biscuits bio épeautre et sésames paquet de 150g</t>
  </si>
  <si>
    <t>Pain d'épices</t>
  </si>
  <si>
    <t>Nestlé, Crunch</t>
  </si>
  <si>
    <t>Noix de cajou salées</t>
  </si>
  <si>
    <t>CereAlé Noisette</t>
  </si>
  <si>
    <t>Grany Chocolat 5 céréales</t>
  </si>
  <si>
    <t>Special K - Céréales chocolat noir</t>
  </si>
  <si>
    <t>Galettes Bretonnes Spécialité de Pont-Aven au beurre</t>
  </si>
  <si>
    <t>Chocolat noir dégustation 72% de cacao Tablette de 100g</t>
  </si>
  <si>
    <t>Brioche Tressée Tranchée Nature</t>
  </si>
  <si>
    <t>Jardin Bio étic,Jardin bio,Léa Nature</t>
  </si>
  <si>
    <t>Sablés au beurre, amandes et citron</t>
  </si>
  <si>
    <t>CréXy</t>
  </si>
  <si>
    <t>Chocolat 100% République Dominicaine</t>
  </si>
  <si>
    <t>Pains d'épices chocolat noir</t>
  </si>
  <si>
    <t>Délices de Kerloch, Sondey</t>
  </si>
  <si>
    <t>Lu,Mondelez,Pépito</t>
  </si>
  <si>
    <t>Création Praliné feuilleté</t>
  </si>
  <si>
    <t>Bénénuts</t>
  </si>
  <si>
    <t>Gerblé - Sugar Free Orange Chocolate Chip Shortbread, 132g (4.7oz)</t>
  </si>
  <si>
    <t>Biscuits aux pépites de chocolatðŸ«noir et au lin</t>
  </si>
  <si>
    <t>Le Veggie Snack poppé aux légumes</t>
  </si>
  <si>
    <t>Mars glacé</t>
  </si>
  <si>
    <t>briochettes aux pépites de chocolat au lait</t>
  </si>
  <si>
    <t>Cocktail sans sel ajouté</t>
  </si>
  <si>
    <t>Crackers Apéritif Blé Complet</t>
  </si>
  <si>
    <t>LOTUS Gaufres Fourrées cÅ“ur fondant Vergeoise 310g (5x2p)</t>
  </si>
  <si>
    <t>Palets Bretons Spécialité de Pont-Aven au beurre</t>
  </si>
  <si>
    <t>Vitality* Sésame</t>
  </si>
  <si>
    <t>Biscuit sésame BIO</t>
  </si>
  <si>
    <t>Biscuits Sablés bio amandes citron paquet de 200g</t>
  </si>
  <si>
    <t>Brioche Tressée Tranchée Pépites</t>
  </si>
  <si>
    <t>Chocolat noir intense dégustation</t>
  </si>
  <si>
    <t>Chocolat au lait riz soufflé</t>
  </si>
  <si>
    <t>P'tit Déj - Biscuits nappés de chocolat au lait</t>
  </si>
  <si>
    <t>Luflée Alpenmilch</t>
  </si>
  <si>
    <t>Barres de céréales chocolat noir</t>
  </si>
  <si>
    <t>Grandino Pépites de Chocolat &amp; Nougatine</t>
  </si>
  <si>
    <t>NESTLE LES RECETTES DE L'ATELIER - Carrés dégustation Chocolat noir 70% - 210g</t>
  </si>
  <si>
    <t>Carrés Noir Noisette</t>
  </si>
  <si>
    <t>croquant miel sésame</t>
  </si>
  <si>
    <t>Bouton d'or, Intermarché</t>
  </si>
  <si>
    <t>Jardin Bio, Jardin biologique, Léa Nature</t>
  </si>
  <si>
    <t>Nestlé, Kitkat</t>
  </si>
  <si>
    <t>Chocolat Villars Noir 70% Sans sucre ajouté 100g</t>
  </si>
  <si>
    <t>Nestlé, Nestlé dessert, Tablettes</t>
  </si>
  <si>
    <t>Brioche Tressée aux perles de sucre</t>
  </si>
  <si>
    <t>Citron Mélisse</t>
  </si>
  <si>
    <t>Barre de céréales pomme verte</t>
  </si>
  <si>
    <t>Extra velouté blanc</t>
  </si>
  <si>
    <t>Gerblé sans sucres génoise chocolat saveur framboise</t>
  </si>
  <si>
    <t>Chocolat lait commerce équitable</t>
  </si>
  <si>
    <t>Inés Rosales</t>
  </si>
  <si>
    <t>Nestlé,Les recettes de l'atelier,Nestlé Les Recettes de l'Atelier</t>
  </si>
  <si>
    <t>sablé canelle</t>
  </si>
  <si>
    <t>Céliane</t>
  </si>
  <si>
    <t>cookies aux pépites de chocolat</t>
  </si>
  <si>
    <t>Bénénuts Twinuts original</t>
  </si>
  <si>
    <t>Mini brioches tressées</t>
  </si>
  <si>
    <t>Sablés au deux céréales Chocolat lait</t>
  </si>
  <si>
    <t>Déli matin</t>
  </si>
  <si>
    <t>Crunchy Toasts Seigle complet &amp; sésame</t>
  </si>
  <si>
    <t>Spécial matin sarrasin fibre</t>
  </si>
  <si>
    <t>Snacks poppés lentilles pois cassés et quinoa, sachet 70g</t>
  </si>
  <si>
    <t>Lidl, Qualité Supérieure</t>
  </si>
  <si>
    <t>Pépito pépites</t>
  </si>
  <si>
    <t>15 Fourrés ronds chocolat 300G CROK - P'tits Prods</t>
  </si>
  <si>
    <t>Ker Cadélac - Madeleines Maxi Chocolate chips, 600g (21.2oz)</t>
  </si>
  <si>
    <t>Pétales</t>
  </si>
  <si>
    <t>Brioche tranchée nature</t>
  </si>
  <si>
    <t>Petits beurre Comté et poivre noir de Madagascar</t>
  </si>
  <si>
    <t>Encas équilibré</t>
  </si>
  <si>
    <t>Noir 70% noisettes et amandes caramélisées</t>
  </si>
  <si>
    <t>Coeurs pain d'épices chocolat noir</t>
  </si>
  <si>
    <t>Fourrés duo cacao</t>
  </si>
  <si>
    <t>Sablé amande saveur citron 200g BIO</t>
  </si>
  <si>
    <t>Tablette dégustation chocolat noir 90% - 100g</t>
  </si>
  <si>
    <t>Ivoria, Les Créations Ivoria, Les creations</t>
  </si>
  <si>
    <t>Les Sablés</t>
  </si>
  <si>
    <t>Déli Matin Pépites de chocolat</t>
  </si>
  <si>
    <t>Pépito chocolat au lait</t>
  </si>
  <si>
    <t>Lu, Mondelez, Pépito</t>
  </si>
  <si>
    <t>Noir Pistaches Caramélisées</t>
  </si>
  <si>
    <t>Pain d'épices au miel</t>
  </si>
  <si>
    <t>Jardin bio, Léa Nature Jardin Bio</t>
  </si>
  <si>
    <t>NAKD PROTEIN - Caramel - | Barres protéinées | 7g de protéines végétales | 100% d'ingrédients naturels | Sans sucres ajoutés | 3 x 45g | 135g</t>
  </si>
  <si>
    <t>Granola Gros éclats de Chocolat</t>
  </si>
  <si>
    <t>Petit Déj, Céréales et chocolat</t>
  </si>
  <si>
    <t>Sablés Framboise Rooibos</t>
  </si>
  <si>
    <t>Barres céréales Fraise</t>
  </si>
  <si>
    <t>Pain épice au miel</t>
  </si>
  <si>
    <t>Déjeuner REM</t>
  </si>
  <si>
    <t>Cote d'or noir truffé</t>
  </si>
  <si>
    <t>Raffaello gaufrettes enrobées de noix de coco fourrées cube x30- 300g</t>
  </si>
  <si>
    <t>Barres de céréales Fruits Rouges</t>
  </si>
  <si>
    <t>Grainéa</t>
  </si>
  <si>
    <t>Les Pyrénéens</t>
  </si>
  <si>
    <t>Nestlé Kitkat Cereal</t>
  </si>
  <si>
    <t>Bellarom, Fin Carré, Lidl</t>
  </si>
  <si>
    <t>Pépito Mini Roulés Chocolat</t>
  </si>
  <si>
    <t>LU, Pépito</t>
  </si>
  <si>
    <t>Apéricube</t>
  </si>
  <si>
    <t>Grissini Sésame et Huile d'olive 7%</t>
  </si>
  <si>
    <t>Noir Pérou éclats de menthe</t>
  </si>
  <si>
    <t>Biscuits petit épeautre sésame</t>
  </si>
  <si>
    <t>Sablés apéritif cantal aop et pointe de noix de muscade</t>
  </si>
  <si>
    <t>Noir aux Pépites de Café</t>
  </si>
  <si>
    <t>NESTLE DESSERT Praliné</t>
  </si>
  <si>
    <t>Sablés céréales graines chia et lin</t>
  </si>
  <si>
    <t>Mini fourrés cÅ“ur chocolat</t>
  </si>
  <si>
    <t>Barre lait et céréales</t>
  </si>
  <si>
    <t>Fourrés cacao</t>
  </si>
  <si>
    <t>Flips Géant peanut</t>
  </si>
  <si>
    <t>Nestlé, Dessert</t>
  </si>
  <si>
    <t>Estados Unidos,México</t>
  </si>
  <si>
    <t>Carré Lait-Noisette</t>
  </si>
  <si>
    <t>Miniroulés l'Original aux Fraises</t>
  </si>
  <si>
    <t>Nestlé, Galak</t>
  </si>
  <si>
    <t>Lindt Chocolat au lait praliné noisettes</t>
  </si>
  <si>
    <t>Apéricube, Bel</t>
  </si>
  <si>
    <t>Macédoine 4/4</t>
  </si>
  <si>
    <t>Bénénuts, Pepsico France</t>
  </si>
  <si>
    <t>Noix de pécan sirop d'érable</t>
  </si>
  <si>
    <t>Barre figue Gerblé</t>
  </si>
  <si>
    <t>Le Sablé</t>
  </si>
  <si>
    <t>Brioche vendéenne Igp</t>
  </si>
  <si>
    <t>Cookies aux pépites de chocolat &amp; noisettes</t>
  </si>
  <si>
    <t>Biscuits gourmands Sésame Vanille</t>
  </si>
  <si>
    <t>Carrefour,Sélection</t>
  </si>
  <si>
    <t>Salade carottes rapées</t>
  </si>
  <si>
    <t>Brioche vendéenne IGP</t>
  </si>
  <si>
    <t>Nos Régions Ont du Talent</t>
  </si>
  <si>
    <t>Préparation Taboulé menthe citron</t>
  </si>
  <si>
    <t>Chips au sel de l'Ile de Ré</t>
  </si>
  <si>
    <t>Ricola réglisse</t>
  </si>
  <si>
    <t>La brioche tressée tranchée</t>
  </si>
  <si>
    <t>Carrés Dégustation</t>
  </si>
  <si>
    <t>Vegane snack balls - Date café, banane</t>
  </si>
  <si>
    <t>Célébrations</t>
  </si>
  <si>
    <t>Les P'tites Madeleines Pépites de Chocolat</t>
  </si>
  <si>
    <t>Feuilleté doré Collection LU</t>
  </si>
  <si>
    <t>Résille d'or</t>
  </si>
  <si>
    <t>Biscuit sésame Gerblé</t>
  </si>
  <si>
    <t>Sablés aux pommes</t>
  </si>
  <si>
    <t>Chabrior, Filet Bleu, Intermarché</t>
  </si>
  <si>
    <t>Barres de céréales saveur pomme verte 6x125g</t>
  </si>
  <si>
    <t>Grany RizðŸš soufflé &amp; Chocolat ðŸ«</t>
  </si>
  <si>
    <t>Karéléa</t>
  </si>
  <si>
    <t>Macédoine de légumes</t>
  </si>
  <si>
    <t>Biscuits sésame</t>
  </si>
  <si>
    <t>Cookies Pépites de chocolat noir &amp; cacao</t>
  </si>
  <si>
    <t>Nestlé, Quality Street</t>
  </si>
  <si>
    <t>Nestlé, Lion</t>
  </si>
  <si>
    <t>Petit Déjeuner Moelleux Coeur Gourmand Fraise</t>
  </si>
  <si>
    <t>Crackers Protéiné</t>
  </si>
  <si>
    <t>Mini fourrés chocolat noir</t>
  </si>
  <si>
    <t>Biscuits au cacao fourrés vanille</t>
  </si>
  <si>
    <t>Biscuit sablé nappé 6 céréales (12)</t>
  </si>
  <si>
    <t>Pick up! Fourré au lait</t>
  </si>
  <si>
    <t>Sablé nature aux graines de chia</t>
  </si>
  <si>
    <t>Gerblé, Nutrition et Santé S.A.S.</t>
  </si>
  <si>
    <t>Tartines de pain Brioché</t>
  </si>
  <si>
    <t>Chocolat noir dégustation 95%</t>
  </si>
  <si>
    <t>Barres de céréales figue x6 - 126g</t>
  </si>
  <si>
    <t>Barre de Céréales riz et blé complet chocolat x6 - 126g</t>
  </si>
  <si>
    <t>Déli Matin Miel &amp; Pépites de Chocolat</t>
  </si>
  <si>
    <t>A&amp;O, A&amp;O L'épicerie Locale, Aline &amp; Olivier</t>
  </si>
  <si>
    <t>Barre de céréales frusli fruit rougesðŸ“</t>
  </si>
  <si>
    <t>Prince Pocket - Biscuits fourrés parfum chocolat</t>
  </si>
  <si>
    <t>Toblerone,Mondélez</t>
  </si>
  <si>
    <t>Sablés noisette chocolat</t>
  </si>
  <si>
    <t>Cracotte Céréales Complètes</t>
  </si>
  <si>
    <t>NAKD Cacahuètes - 140g (4x1p)</t>
  </si>
  <si>
    <t>Belvita Brut &amp; 5 céréales complètes</t>
  </si>
  <si>
    <t>La Boulangère</t>
  </si>
  <si>
    <t>Protein Caramel salé Cacahuètes</t>
  </si>
  <si>
    <t>B-ready 6 pièces</t>
  </si>
  <si>
    <t>la boulangère</t>
  </si>
  <si>
    <t>Curly cacahuète l'original</t>
  </si>
  <si>
    <t>Noir amandes entières</t>
  </si>
  <si>
    <t>Chèvre piment d'Espelette</t>
  </si>
  <si>
    <t>M&amp;M's Cacahuètes - Pack familial</t>
  </si>
  <si>
    <t>Gaufre de Liège - Perles de sucre</t>
  </si>
  <si>
    <t>LOTUS BISCOFF Speculoos Fourré - Crème Speculoos - 150g</t>
  </si>
  <si>
    <t>Bio Village,Marque Repère</t>
  </si>
  <si>
    <t>LOTUS BISCOFF Speculoos Fourré - Crème saveur Chocolat - 150g</t>
  </si>
  <si>
    <t>La Mère Poulard</t>
  </si>
  <si>
    <t>Nappés intenses Eclats de fèves de cacao</t>
  </si>
  <si>
    <t>Marque Repère, Equador</t>
  </si>
  <si>
    <t>LOTUS Gaufre de Liège Chocolat 363g (7x1p)</t>
  </si>
  <si>
    <t>Cacahuètes grillées sans sel ajouté.</t>
  </si>
  <si>
    <t>Gaufres de Liège perles de sucre</t>
  </si>
  <si>
    <t>Toast crock' céréales complètes</t>
  </si>
  <si>
    <t>France,Suède</t>
  </si>
  <si>
    <t>Cacahuètes non salées</t>
  </si>
  <si>
    <t>Marque Repère, Tokapi</t>
  </si>
  <si>
    <t>Envitas Céréales complètes et pépites de chocolat</t>
  </si>
  <si>
    <t>Curly Cacahuète L'Original</t>
  </si>
  <si>
    <t>Marque Repère, P'tit Déli</t>
  </si>
  <si>
    <t>Marque Repère,P'tit Déli</t>
  </si>
  <si>
    <t>Chocolat noir Fèves de cacao</t>
  </si>
  <si>
    <t>Marque Repère,Tablette d'Or</t>
  </si>
  <si>
    <t>Marque Repère, Tables du Monde</t>
  </si>
  <si>
    <t>Prince Choco'ðŸ«Barre - Barre céréalière au chocolatðŸ«</t>
  </si>
  <si>
    <t>gaufrette fourrée chocolat &amp; cacahuètes</t>
  </si>
  <si>
    <t>4 Baguettes viennoises complètes sans sucres ajoutés 340g</t>
  </si>
  <si>
    <t>LOTUS Gaufre de Liège Chocolat au lait 363g (7x1p)</t>
  </si>
  <si>
    <t>Les Fourrées  -  Beurre de Cacahuète &amp; Cacao</t>
  </si>
  <si>
    <t>Marque Repère, Grainéa</t>
  </si>
  <si>
    <t>Chocolat Lait Noisettes entières</t>
  </si>
  <si>
    <t>Nestlé,La Laitière</t>
  </si>
  <si>
    <t>Marque Repère, Pom'Lisse</t>
  </si>
  <si>
    <t>Tuiles saveur crème oignon</t>
  </si>
  <si>
    <t>La boulangère</t>
  </si>
  <si>
    <t>Bio Village, Marque Repère</t>
  </si>
  <si>
    <t>LOTUS Gaufre de Liège Perles de sucre Format Familial 450g (10x1p)</t>
  </si>
  <si>
    <t>Croustilles aux cacahuètes</t>
  </si>
  <si>
    <t>Cocoa sandwich biscuits with vanilla flavoured crème filling</t>
  </si>
  <si>
    <t>Cacahuètes Grillées et Salées</t>
  </si>
  <si>
    <t>Marque Repère, Pom' Lisse, Pom'Lisse</t>
  </si>
  <si>
    <t>Bénénuts cacahuètes grillées &amp; salées</t>
  </si>
  <si>
    <t>LOTUS BISCOFF Speculoos Fourré - Crème saveur Vanille - 150g</t>
  </si>
  <si>
    <t>Crème Caramel</t>
  </si>
  <si>
    <t>Marque Repère, NAT&amp;vie</t>
  </si>
  <si>
    <t>Marque Repère, Epi d'Or</t>
  </si>
  <si>
    <t>Milka - MMMAX - Noisettes Entières</t>
  </si>
  <si>
    <t>Prosport - barre cacahuètes ðŸ¥œet caramel salé</t>
  </si>
  <si>
    <t>Barre Cacahuètes Caramel Chocolat</t>
  </si>
  <si>
    <t>Cacahuètes - Grillées &amp; Salées</t>
  </si>
  <si>
    <t>République tchèque,Pologne</t>
  </si>
  <si>
    <t>NAKD Cacahuète Chocolish - 120g (4x1p)</t>
  </si>
  <si>
    <t>La Laitière, Nestlé</t>
  </si>
  <si>
    <t>Curly Cacahuète l'Original - Format Party 230 g</t>
  </si>
  <si>
    <t>Bénénuts Cacahuètes grillées &amp; salées</t>
  </si>
  <si>
    <t>Flips Cacahuète</t>
  </si>
  <si>
    <t>Carrés lait noisettes entières</t>
  </si>
  <si>
    <t>Galettes mais oignon crème ciboulette</t>
  </si>
  <si>
    <t>Marque Repère, Notre Jardin</t>
  </si>
  <si>
    <t>TokapiMarque Repère</t>
  </si>
  <si>
    <t>Bénénuts Cacahuètes grillées &amp; non salées</t>
  </si>
  <si>
    <t>P'tit Déj 6 céréales complètes</t>
  </si>
  <si>
    <t>fin CARRÉ</t>
  </si>
  <si>
    <t>Véritable Petit Écolier Chocolat au Lait</t>
  </si>
  <si>
    <t>Chocolat noir 80% Équateur intense et floral</t>
  </si>
  <si>
    <t>NESTLÉ DESSERT Noir 205g</t>
  </si>
  <si>
    <t>NESTLÉ DESSERT 70% Absolu 170g</t>
  </si>
  <si>
    <t>NESTLÉ DESSERT Corsé 200g</t>
  </si>
  <si>
    <t>France,Émirats arabes unis</t>
  </si>
  <si>
    <t>Marque Repère, Épi d'Or</t>
  </si>
  <si>
    <t>Éthiquable</t>
  </si>
  <si>
    <t>SNACK POPPÉ</t>
  </si>
  <si>
    <t>SAVEURS DE NOS RÉGIONS</t>
  </si>
  <si>
    <t>Chocolat Noir Amande et Écorces d'Orange</t>
  </si>
  <si>
    <t>Galette Épeautre Son d'Avoine</t>
  </si>
  <si>
    <t>Pain d'Épices au Miel</t>
  </si>
  <si>
    <t>Sablés authentiques Épeautre</t>
  </si>
  <si>
    <t>Chocolat noir, Éclats d'amandes grillées &amp; pointe de sel</t>
  </si>
  <si>
    <t>Sablés Équilibre noisette</t>
  </si>
  <si>
    <t>Repas Équilibré barre saveur Pomme Framboise</t>
  </si>
  <si>
    <t>Éclats de fèves de cacao noir</t>
  </si>
  <si>
    <t>Chocolat noir 80% - Équateur</t>
  </si>
  <si>
    <t>GRAINÉA</t>
  </si>
  <si>
    <t>Biscuits Épeautre et Sésame</t>
  </si>
  <si>
    <t>Gianduja Noir Éclats de Noisettes</t>
  </si>
  <si>
    <t>France,États-Unis</t>
  </si>
  <si>
    <t>Pain d'Épices aux Fruits</t>
  </si>
  <si>
    <t>KARÉLÉA, Léa Nature</t>
  </si>
  <si>
    <t>Crackers Épeautres 3 Graines</t>
  </si>
  <si>
    <t>fin CARRÉ,Lidl</t>
  </si>
  <si>
    <t>NESTLÉ DESSERT 80% Puissant 170g</t>
  </si>
  <si>
    <t>Gerblé, Nutrition et Santé S.A.S., Sport &amp; Énergie</t>
  </si>
  <si>
    <t>Véritable Petit Écolier Pocket</t>
  </si>
  <si>
    <t>België,Frankrijk,Luxemburg,Nederland,Zwitserland</t>
  </si>
  <si>
    <t>België,Frankrijk,Duitsland</t>
  </si>
  <si>
    <t>België,Frankrijk,Nederland,Verenigd Koninkrijk</t>
  </si>
  <si>
    <t>Bulgarije,Duitsland,Italië,Roemenië,Verenigd Koninkrijk</t>
  </si>
  <si>
    <t>België,Frankrijk</t>
  </si>
  <si>
    <t>Frankrijk,Italië,Spanje</t>
  </si>
  <si>
    <t>Finland,Frankrijk,Duitsland,Italië,Nederland,Verenigd Koninkrijk</t>
  </si>
  <si>
    <t>Frankrijk,Italië,Polen,Roemenië,Spanje</t>
  </si>
  <si>
    <t>België,Tsjechië,Frankrijk,Senegal,Spanje</t>
  </si>
  <si>
    <t>België,Frankrijk,Servië,Duitsland</t>
  </si>
  <si>
    <t>Frankrijk,Duitsland,Hongarije,België</t>
  </si>
  <si>
    <t>Prince Goà»t Chocolat</t>
  </si>
  <si>
    <t>Belgium,Cà´te d'Ivoire,France,Germany,Luxembourg,Mali,Martinique,Russia,Switzerland,United Kingdom</t>
  </si>
  <si>
    <t>Lindt &amp; Sprà¼ngli,Lindt</t>
  </si>
  <si>
    <t>Lindt,Lindt&amp;Sprà¼ngli</t>
  </si>
  <si>
    <t>La gà¢che tranchée</t>
  </si>
  <si>
    <t>Goà»t chocolat</t>
  </si>
  <si>
    <t>Israel,Marruecos,Espaà±a,Portugal</t>
  </si>
  <si>
    <t>Sà¼àŸigkeiten</t>
  </si>
  <si>
    <t>Portugal,Espaà±a</t>
  </si>
  <si>
    <t>Goà»ter 4S Saveur pommes</t>
  </si>
  <si>
    <t>Goà»ter pépites de chocolat</t>
  </si>
  <si>
    <t>Prà­ncipe crema de chocolate</t>
  </si>
  <si>
    <t>Galletas fibra zero azàºcares</t>
  </si>
  <si>
    <t>Gullà³n</t>
  </si>
  <si>
    <t>Excellence Noir à  la Pointe de Fleur de Sel</t>
  </si>
  <si>
    <t>Goà»ter aux raisins</t>
  </si>
  <si>
    <t>Goà»ter aux écorces confites</t>
  </si>
  <si>
    <t>Chip Choco Zero Sin Azàºcares</t>
  </si>
  <si>
    <t>Belgien,Bulgarien,Finnland,Frankreich,Deutschland,Ungarn,Italien,Luxemburg,Marokko,Rumà¤nien,Spanien,Schweden,Schweiz</t>
  </si>
  <si>
    <t>132 g (4 à— 3 biscuits)</t>
  </si>
  <si>
    <t>Cà´te d'Or</t>
  </si>
  <si>
    <t>Barilla, Mulino Bianco - Barilla - Barilla G. e R. Fratelli - Società  per Azioni - Via Mantova, 166, 43122 Parma - Italy</t>
  </si>
  <si>
    <t>Armenien,Irland,Neuseeland,Spanien,Vereinigtes Kà¶nigreich</t>
  </si>
  <si>
    <t>Dà¤nemark,Frankreich,Deutschland,Marokko,Schweiz</t>
  </si>
  <si>
    <t>Pà¥gen,Gifflar</t>
  </si>
  <si>
    <t>Maà®tre Jean Pierre</t>
  </si>
  <si>
    <t>Tartined Craquantes Chà¢taigne</t>
  </si>
  <si>
    <t>Prince Multicéréales Goà»t Chocolat Au Blé Complet</t>
  </si>
  <si>
    <t>Galleta ligera sin sal y sin azàºcar</t>
  </si>
  <si>
    <t>Paahdettu maapà¤hkinà¤</t>
  </si>
  <si>
    <t>Espaà±a</t>
  </si>
  <si>
    <t>Dunkle Schokolade mit ganzen Haselnà¼ssen</t>
  </si>
  <si>
    <t>Excellence à€ la Pointe de Fleur de Sel Noir</t>
  </si>
  <si>
    <t>Florbàº</t>
  </si>
  <si>
    <t>Marruecos,Espaà±a</t>
  </si>
  <si>
    <t>Mà¼sli oat biscuits</t>
  </si>
  <si>
    <t>Cà´te d'or,Kraft Foods,Mondelez International</t>
  </si>
  <si>
    <t>Cà´te d'Or,Mondelez International</t>
  </si>
  <si>
    <t>Excellence Noir Caramel à  la pointe de sel</t>
  </si>
  <si>
    <t>Cà´te d'or,Mondelez</t>
  </si>
  <si>
    <t>à–sterreich, Bulgarien, Kroatien, Tschechien, Ungarn, Litauen, Polen, Rumà¤nien, Serbien, Slowakei, Slowenien, Germany</t>
  </si>
  <si>
    <t>Chocolate negro 0% azàºcares aà±adidos 85% cacao</t>
  </si>
  <si>
    <t>Bonbon à  la Sève de Pin</t>
  </si>
  <si>
    <t>Digestive zero sin azàºcares</t>
  </si>
  <si>
    <t>Australien,à–sterreich,Brasilien,Frankreich,Neuseeland,Vereinigtes Kà¶nigreich</t>
  </si>
  <si>
    <t>Marà­a dorada 0%</t>
  </si>
  <si>
    <t>Chocolate Extrafino 80% NOIR 0% azàºcares aà±adidos</t>
  </si>
  <si>
    <t>Prince goà»t tout Choco au blé complet</t>
  </si>
  <si>
    <t>Gà¢teau marbré au chocolat</t>
  </si>
  <si>
    <t>MAàŽTRE JEAN PIERRE</t>
  </si>
  <si>
    <t>Duo Fourré Goà»t Chocolat ðŸ« Noisette ðŸ¥œ</t>
  </si>
  <si>
    <t>5x2 biscuits / 5à—50,6 g = 253g</t>
  </si>
  <si>
    <t>Galletas Desayuno Zero Sin Azàºcares</t>
  </si>
  <si>
    <t>Chocolat noir pà¢tissier</t>
  </si>
  <si>
    <t>Italia,Espaà±a</t>
  </si>
  <si>
    <t>Doradas al horno zero sin azàºcares</t>
  </si>
  <si>
    <t>gullà³n</t>
  </si>
  <si>
    <t>Doritos goà»t nature</t>
  </si>
  <si>
    <t>Prince -  Goà»t Lait -  Choco Au Blé Compet</t>
  </si>
  <si>
    <t>à–sterreich,Frankreich,Deutschland,Italien,Spanien</t>
  </si>
  <si>
    <t>Cràªpes dentelle - L'authentique</t>
  </si>
  <si>
    <t>Cà´té d'Or, Mondelez</t>
  </si>
  <si>
    <t>Arà´me vanille</t>
  </si>
  <si>
    <t>Tschechien, Frankreich, Vereinigtes Kà¶nigreich, Germany</t>
  </si>
  <si>
    <t>Haà¯ti Grand cru Cap haà¯tien 72% cacaoté et fruité</t>
  </si>
  <si>
    <t>Brossard le cake à  l'anglaise</t>
  </si>
  <si>
    <t>brioche tressée à  la main</t>
  </si>
  <si>
    <t>Belvita petit déjeuner goà»t noisette et chocolat</t>
  </si>
  <si>
    <t>Lindt &amp; Sprà¼ngli</t>
  </si>
  <si>
    <t>Prince Goà»t Vanille</t>
  </si>
  <si>
    <t>Snickers (5 Stà¼ck à  50 g)</t>
  </si>
  <si>
    <t>WeiàŸe Schokolade</t>
  </si>
  <si>
    <t>Mini Bites Quinoa &amp; Chà­a</t>
  </si>
  <si>
    <t>An Fhraing,An Rà¬oghachd Aonaichte</t>
  </si>
  <si>
    <t>Franà§a,Ità¡lia,Portugal</t>
  </si>
  <si>
    <t>à–sterreich,Bulgarien,Frankreich,Deutschland,Italien,Marokko,Niederlande,Polen,Rumà¤nien,Thailand,Tunesien,Vereinigtes Kà¶nigreich</t>
  </si>
  <si>
    <t>Pépito Croc sablé goà»t choco</t>
  </si>
  <si>
    <t>Galletas Marà­a Dorada</t>
  </si>
  <si>
    <t>à–sterreich,Finnland,Frankreich,Deutschland,Italien,Spanien,Schweiz</t>
  </si>
  <si>
    <t>8 Navettes au beurre frais et à  la crème fraà®che</t>
  </si>
  <si>
    <t>Argélia,Franà§a,Alemanha,Portugal,Sérvia,Estados Unidos</t>
  </si>
  <si>
    <t>Gà¢che tranchée</t>
  </si>
  <si>
    <t>Frankreich,Vereinigtes Kà¶nigreich</t>
  </si>
  <si>
    <t>Dà¤nemark,Frankreich,Deutschland,Marokko,Polen,Schweiz,Vereinigtes Kà¶nigreich</t>
  </si>
  <si>
    <t>Fourrés goà»t citron</t>
  </si>
  <si>
    <t>tentation croque lait aux noisettes supràªmes</t>
  </si>
  <si>
    <t>REGAà‘A</t>
  </si>
  <si>
    <t>Rumania,Espaà±a</t>
  </si>
  <si>
    <t>Choco Tablet Zero sin Azàºcares</t>
  </si>
  <si>
    <t>maà®tre Jean pierre</t>
  </si>
  <si>
    <t>Digestive sin azàºcares</t>
  </si>
  <si>
    <t>Barquillos Chocolate Zero sin azàºcares</t>
  </si>
  <si>
    <t>Italia,Portugal,Espaà±a</t>
  </si>
  <si>
    <t>8 Cràªpes Chocolat</t>
  </si>
  <si>
    <t>8 cràªpesðŸ¥ž</t>
  </si>
  <si>
    <t>SAàDA</t>
  </si>
  <si>
    <t>Erdnà¼sse gerà¶stet &amp; gesalzen</t>
  </si>
  <si>
    <t>àœltje</t>
  </si>
  <si>
    <t>à–sterreich,Deutschland</t>
  </si>
  <si>
    <t>3D's Bugles goà»t nature</t>
  </si>
  <si>
    <t>Chocolate 85% Cacao 0% Azàºcares Aà±adidos</t>
  </si>
  <si>
    <t>Bolivia,Chile,Colombia,Ecuador,Marruecos,Rumania,Espaà±a</t>
  </si>
  <si>
    <t>Biscuits à  l'orange Orange et au graines de Chia</t>
  </si>
  <si>
    <t>Barre granola goà»t chocolat et enrobage crème de cacao</t>
  </si>
  <si>
    <t>La Gà¢che Tranchée</t>
  </si>
  <si>
    <t>Bonne Maman - Le petit Quatre-Quarts pur beurre, 300g (10 sachets fraà®cheur)</t>
  </si>
  <si>
    <t>Monster Munch - Produit soufflé à  base de pomme de terre goà»t salé</t>
  </si>
  <si>
    <t>La Buena Marà­a Original</t>
  </si>
  <si>
    <t>Menier Pà¢tissier Tablette</t>
  </si>
  <si>
    <t>Pià¹ integrali</t>
  </si>
  <si>
    <t>Flan pà¢tissier</t>
  </si>
  <si>
    <t>Maà®tre Prunille</t>
  </si>
  <si>
    <t>Maestro,Saà¯da</t>
  </si>
  <si>
    <t>Prince goà»t chocolat</t>
  </si>
  <si>
    <t>Avena con chocolate negro - sin azàºcares aà±adidos</t>
  </si>
  <si>
    <t>Finlà¢ndia,Franà§a,Alemanha,Repàºblica da Irlanda,Estados Unidos</t>
  </si>
  <si>
    <t>Tortitas de Maà­z</t>
  </si>
  <si>
    <t>Gerble - Miel Chà¢taigne graines de lin</t>
  </si>
  <si>
    <t>France,Polynésie franà§aise,États-Unis</t>
  </si>
  <si>
    <t>Croustilles goà»t Emmental</t>
  </si>
  <si>
    <t>Cà´te d'Or,Mondelez</t>
  </si>
  <si>
    <t>Buonicosà¬</t>
  </si>
  <si>
    <t>Biscuits fourrés à  l'amande</t>
  </si>
  <si>
    <t>150 g, 2 sachets fraà®cheur de 75 g</t>
  </si>
  <si>
    <t>Chips nature à  l'Ancienne au sel de Guérande</t>
  </si>
  <si>
    <t>Pià¹ integrali Ricchi di Fibre Segale</t>
  </si>
  <si>
    <t>Chocolat noir et caramel Cà´te d'ivoire 78%</t>
  </si>
  <si>
    <t>Schà¤r</t>
  </si>
  <si>
    <t>Galletas 0% azàºcares aà±adidos</t>
  </si>
  <si>
    <t>Cracotte goà»t choco-noisette</t>
  </si>
  <si>
    <t>Création Crème Brà»lée</t>
  </si>
  <si>
    <t>Carottes rà¢pées Au jus de citron*</t>
  </si>
  <si>
    <t>Pà¢te de cacahuète pindakaas</t>
  </si>
  <si>
    <t>Belgien, Frankreich, Luxemburg, Rumà¤nien, Germany</t>
  </si>
  <si>
    <t>Franà§a,Alemanha,Hungria,Portugal,Espanha</t>
  </si>
  <si>
    <t>Excellence Noir Supràªme Corsé 70% Cacao</t>
  </si>
  <si>
    <t>Tortillas à  base de farine de blé</t>
  </si>
  <si>
    <t>tartines craquantes riz chà¢taigne</t>
  </si>
  <si>
    <t>Galleta Marà­a</t>
  </si>
  <si>
    <t>Kallà¸</t>
  </si>
  <si>
    <t>Tartines craquantes bio à  la chà¢taigne sans gluten</t>
  </si>
  <si>
    <t>Cà´te d'Or,Fraft Foods</t>
  </si>
  <si>
    <t>8 Pains au lait frais Bio à  la farine complète 280g</t>
  </si>
  <si>
    <t>Recette à  l'ancienne</t>
  </si>
  <si>
    <t>195 g (16à— 12.2 g) e</t>
  </si>
  <si>
    <t>Taboulé au poulet à  la ciboulette</t>
  </si>
  <si>
    <t>Chinois crème pà¢tissière</t>
  </si>
  <si>
    <t>Barritas de galleta rellenas de arà¡ndanos</t>
  </si>
  <si>
    <t>Chips à  l'Ancienne nature</t>
  </si>
  <si>
    <t>Les Créations, Producteur &amp; Commerà§ant</t>
  </si>
  <si>
    <t>3 à— 45 g</t>
  </si>
  <si>
    <t>Schà¤r,ARVID NORDQUIST NORGE AS</t>
  </si>
  <si>
    <t>300G DRAGà–LO HARIBO</t>
  </si>
  <si>
    <t>Bénénuts 3D's Bugles Goà»t bacon</t>
  </si>
  <si>
    <t>Cà´te d'Or, Mondelez International</t>
  </si>
  <si>
    <t>Marà­a choco</t>
  </si>
  <si>
    <t>Flà»tes feuilletées fromage</t>
  </si>
  <si>
    <t>Chocolat dessert pà¢tissier</t>
  </si>
  <si>
    <t>à–sterreich,Frankreich,Deutschland,Italien</t>
  </si>
  <si>
    <t>Marà­a sin gluten</t>
  </si>
  <si>
    <t>Chocolat Pà¢tissier Noir CORSE 70% CACAO</t>
  </si>
  <si>
    <t>Potato Wedges sà¼lt krumpli</t>
  </si>
  <si>
    <t>Ma Salade de Lentilles à  la Lyonnaise</t>
  </si>
  <si>
    <t>BuoniCosà¬ senza zuccheri aggiunti frollini classico</t>
  </si>
  <si>
    <t>Coppenrath Feingebà¤ck GmbH,Favorina</t>
  </si>
  <si>
    <t>Franà§a,Espanha</t>
  </si>
  <si>
    <t>Goà»ters REM Parfum chocolat</t>
  </si>
  <si>
    <t>Le Ster, le pà¢tissier</t>
  </si>
  <si>
    <t>Arvid Nordquist Norge AS, Schà¤r</t>
  </si>
  <si>
    <t>Sà¼àŸkartoffel Pommes</t>
  </si>
  <si>
    <t>Doritos Goà»t nature maxi format</t>
  </si>
  <si>
    <t>Bonbons à  l'eucalyptus</t>
  </si>
  <si>
    <t>à–sterreich,Deutschland,Schweiz</t>
  </si>
  <si>
    <t>Prince - Biscuits fourrés goà»t chocolat</t>
  </si>
  <si>
    <t>FranÈ›a,Romà¢nia</t>
  </si>
  <si>
    <t>Major (goà»t vanille )</t>
  </si>
  <si>
    <t>Biscuits à  l'avoine complète nature bio 130g</t>
  </si>
  <si>
    <t>Toffifee weiàŸ</t>
  </si>
  <si>
    <t>Lidl,Sondey,Flà¤mische Keksfabrik</t>
  </si>
  <si>
    <t>Cacahuètes grillées à  sec</t>
  </si>
  <si>
    <t>Tuiles goà»t salé</t>
  </si>
  <si>
    <t>Chips saveur Aà¯oli</t>
  </si>
  <si>
    <t>à–sterreich, Belgien, Finnland, Frankreich, Marokko, Schweiz, Vereinigtes Kà¶nigreich, Germany</t>
  </si>
  <si>
    <t>à–sterreich,Frankreich,Deutschland,Neuseeland,Schweiz</t>
  </si>
  <si>
    <t>Schweizer Krà¤uterbonbon</t>
  </si>
  <si>
    <t>Frankreich, Marokko, Spanien, Vereinigtes Kà¶nigreich, Germany</t>
  </si>
  <si>
    <t>Gà¢teau de riz au caramel</t>
  </si>
  <si>
    <t>Sà¼àŸes, Schokolade Edelbitter 85%</t>
  </si>
  <si>
    <t>Grainéa Abricot barres aux 5 céréales Maà®s,Blé, Seigle, Riz  x 6 barres</t>
  </si>
  <si>
    <t>Gewà¼rz-Spekulatius</t>
  </si>
  <si>
    <t>Les Pà¢tissadesAldi</t>
  </si>
  <si>
    <t>Cheetos goà»t fromage</t>
  </si>
  <si>
    <t>karamelovà¡ pomazà¡nka v lednici</t>
  </si>
  <si>
    <t>Chips à  la crevette</t>
  </si>
  <si>
    <t>Monster Munch Crazy Goà»t Crème Oignon</t>
  </si>
  <si>
    <t>Shà¤r Gluten-Free</t>
  </si>
  <si>
    <t>Barre pà¢tissière aux Å“ufs frais</t>
  </si>
  <si>
    <t>à–sterreich,Deutschland,Ungarn,Rumà¤nien,Schweiz</t>
  </si>
  <si>
    <t>saà¯da</t>
  </si>
  <si>
    <t>Conikos Goà»t Chili</t>
  </si>
  <si>
    <t>Tvarohovà¡ tyÄinka Protein</t>
  </si>
  <si>
    <t>Horvà¡torszà¡g,Németorszà¡g,Litvà¡nia,Magyarorszà¡g</t>
  </si>
  <si>
    <t>Zartes Blà¤tterteiggebà¤ck</t>
  </si>
  <si>
    <t>Gà¢che tranchée pur beurre 400g</t>
  </si>
  <si>
    <t>Lindt&amp;Sprà¼ngli</t>
  </si>
  <si>
    <t>240 g 8 à— 30 g =</t>
  </si>
  <si>
    <t>Franà§a,Alemanha,Portugal,Espanha</t>
  </si>
  <si>
    <t>Lindt, Lindt &amp; Sprà¼ngli</t>
  </si>
  <si>
    <t>Chocolat noir à  pà¢tisser Tablette de 200g</t>
  </si>
  <si>
    <t>Mon taboulé au poulet à  la ciboulette</t>
  </si>
  <si>
    <t>Cràªpe Dentelle Chocolat au lait</t>
  </si>
  <si>
    <t>Biscuit Fourré à  la crème goà»t chocolat</t>
  </si>
  <si>
    <t>Lindt, Lindt &amp; Sprà¼ngli, Lindor</t>
  </si>
  <si>
    <t>Bio biscuits à  l'avoine</t>
  </si>
  <si>
    <t>Chocolat noir à  la pointe de sel</t>
  </si>
  <si>
    <t>Repàºblica Checa,Franà§a,Espanha,Portugal</t>
  </si>
  <si>
    <t>Lay's 3D's Bugles goà»t cacahuète</t>
  </si>
  <si>
    <t>Monster Munch goà»t Jambon Fromage</t>
  </si>
  <si>
    <t>250.8 g (6 à— 41.8 g) e</t>
  </si>
  <si>
    <t>Saà¯da</t>
  </si>
  <si>
    <t>maà®tre Jean Pierre</t>
  </si>
  <si>
    <t>Marokko, Vereinigtes Kà¶nigreich, Germany</t>
  </si>
  <si>
    <t>Vereinigtes Kà¶nigreich, Germany</t>
  </si>
  <si>
    <t>France,Polynésie franà§aise</t>
  </si>
  <si>
    <t>Galette maà¯s chocolat au lait</t>
  </si>
  <si>
    <t>Cookies sin glàºten sin azàºcares aà±adidos</t>
  </si>
  <si>
    <t>Galleta marà­a integral</t>
  </si>
  <si>
    <t>Digestive zero azàºcares</t>
  </si>
  <si>
    <t>Goldbà¤ren</t>
  </si>
  <si>
    <t>Cà´te d'Or, Mondelez, Mondelez International</t>
  </si>
  <si>
    <t>Tuiles goà»t crème et oignon boà®te de 170g</t>
  </si>
  <si>
    <t>Céleri rémoulade à  la moutarde à  l'ancienne</t>
  </si>
  <si>
    <t>Prince Mini Gà¢teau</t>
  </si>
  <si>
    <t>Chocolat noir pour préparation pà¢tissière</t>
  </si>
  <si>
    <t>Barritas con proteà­nas sabor coco y chocolate</t>
  </si>
  <si>
    <t>Pà¥gen</t>
  </si>
  <si>
    <t>Biscuits à  l'avoine complète et aux pépites chocolat bio 130g</t>
  </si>
  <si>
    <t>Sà¼àŸes, Schokolade Edelbitter 90%</t>
  </si>
  <si>
    <t>Unià£o Europeia,Franà§a,Alemanha,Suà­à§a</t>
  </si>
  <si>
    <t>Taboulé au poulet, à  la ciboulette</t>
  </si>
  <si>
    <t>Bio Knà¤ckebrot</t>
  </si>
  <si>
    <t>Grafschafter,Maà®tre Jean Pierre,Bio Organic,Lidl</t>
  </si>
  <si>
    <t>Biscuits Goà»t Chocolat</t>
  </si>
  <si>
    <t>Lay's 3D's Bugles goà»t nature format familial</t>
  </si>
  <si>
    <t>Les Palets Recette à  la Madeleine</t>
  </si>
  <si>
    <t>Cuillers à  pà¢tisserie aux Å“ufs frais</t>
  </si>
  <si>
    <t>à–sterreich,Frankreich,Deutschland,Italien,Schweiz,Thailand</t>
  </si>
  <si>
    <t>Sà¼àŸes, GiOTTO Haselnuss</t>
  </si>
  <si>
    <t>Bulgarie,République tchèque,France,Pologne,Roumanie,Russie,Slovaquie,Thaà¯lande</t>
  </si>
  <si>
    <t>Sà¼sse</t>
  </si>
  <si>
    <t>Biscuits fourrés goà»t chocolat au lait</t>
  </si>
  <si>
    <t>BN goà»t Framboise</t>
  </si>
  <si>
    <t>Biscuits fourrés à  la noisettes et cacao sans sucre</t>
  </si>
  <si>
    <t>Marbàº Dorada 0% Azàºcares Aà±adidos</t>
  </si>
  <si>
    <t>La Gà¢che Tranchée au sucre x 14 tranches</t>
  </si>
  <si>
    <t>Fine et gourmande lait franà§ais</t>
  </si>
  <si>
    <t>Corny Schoko-Banane 4011800523213 Mà¼sliriegel</t>
  </si>
  <si>
    <t>Sà¼àŸes, Kekse Hobbits kernig</t>
  </si>
  <si>
    <t>Bonbons Tic Tac x110 pastilles MENTHE EXTRA FRAàŽCHE - 54g</t>
  </si>
  <si>
    <t>CACAHUàˆTES GRILLEES SALEES</t>
  </si>
  <si>
    <t>Pà¢tes de fruits</t>
  </si>
  <si>
    <t>à–sterreich,Belgien,Bulgarien,Deutschland,Marokko,Rumà¤nien,Schweden,Schweiz</t>
  </si>
  <si>
    <t>Wafers chocolate 0% azàºcares</t>
  </si>
  <si>
    <t>cà´te d'or</t>
  </si>
  <si>
    <t>Biscuit pavot goà»t passion</t>
  </si>
  <si>
    <t>Popcorn sà¼ss</t>
  </si>
  <si>
    <t>Krà¼ger,Ludwig Schokolade,Mister Choc</t>
  </si>
  <si>
    <t>Surfizz Goà»ts Fruits</t>
  </si>
  <si>
    <t>Brownie à  la Franà§aise Chocolat ðŸ«</t>
  </si>
  <si>
    <t>TUILES goà»t paprika</t>
  </si>
  <si>
    <t>carottes rà¢pées</t>
  </si>
  <si>
    <t>Marque Repère, Menu Fraà®cheur</t>
  </si>
  <si>
    <t>Frankreich,Vereinigtes Kà¶nigreich,Deutschland</t>
  </si>
  <si>
    <t>Colazione pià¹ con 5 cereali</t>
  </si>
  <si>
    <t>Belgien, Frankreich, Vereinigtes Kà¶nigreich, Germany</t>
  </si>
  <si>
    <t>Grà¼n-Ohr Hase vegan</t>
  </si>
  <si>
    <t>Mini Gà¢ches</t>
  </si>
  <si>
    <t>Barres céréales Goà»t Chocolat au lait - Banane</t>
  </si>
  <si>
    <t>Australien,à–sterreich,Frankreich,Marokko,Neuseeland,Schweiz,Vereinigtes Kà¶nigreich</t>
  </si>
  <si>
    <t>à–sterreich,Belgien,Frankreich,Deutschland</t>
  </si>
  <si>
    <t>nà¡kd</t>
  </si>
  <si>
    <t>Galleta Marà­a Ligera Sin Sal y Sin Azàºcares Aà±adidos</t>
  </si>
  <si>
    <t>Belgicko,Francàºzsko,Nemecko,Slovensko</t>
  </si>
  <si>
    <t>Pà¥gen AB</t>
  </si>
  <si>
    <t>Goà»ters BN au chocolat</t>
  </si>
  <si>
    <t>3à—30g</t>
  </si>
  <si>
    <t>Repàºblica Checa</t>
  </si>
  <si>
    <t>Barres de céréales à  la figue x6</t>
  </si>
  <si>
    <t>Monster Munch goà»t ketchup</t>
  </si>
  <si>
    <t>Gà¢che tranchée pur beurre 450g</t>
  </si>
  <si>
    <t>Tartines craquantes bio au maà¯s</t>
  </si>
  <si>
    <t>à–sterreich,Frankreich,Deutschland,Rumà¤nien,Schweiz</t>
  </si>
  <si>
    <t>Frankreich, Vereinigtes Kà¶nigreich, Germany</t>
  </si>
  <si>
    <t>Spanien, Vereinigtes Kà¶nigreich, Germany</t>
  </si>
  <si>
    <t>Schà¤r Curvies BBQ</t>
  </si>
  <si>
    <t>Finn Crisp,Landmà¤nnen</t>
  </si>
  <si>
    <t>Gà¢che tranchrée bio</t>
  </si>
  <si>
    <t>XXL Erdnà¼sse</t>
  </si>
  <si>
    <t>Bulgaria,Croacia,Portugal,Eslovaquia,Espaà±a</t>
  </si>
  <si>
    <t>Vollmilchschokolade Erdnà¼sse</t>
  </si>
  <si>
    <t>Maà®tre Jean Pierre, Maà®tre Jean-Pierre</t>
  </si>
  <si>
    <t>Goà»ter fourré cacao rond BIO</t>
  </si>
  <si>
    <t>Pistache grillée à  sec sachet de 150g</t>
  </si>
  <si>
    <t>Chips saveur cà´te de boeuf grillée</t>
  </si>
  <si>
    <t>Marque Repère, Menu Fraà®cheur, Pause Fraà®cheur</t>
  </si>
  <si>
    <t>La Gà¢che</t>
  </si>
  <si>
    <t>Pom-Bà¤r Original</t>
  </si>
  <si>
    <t>Intersnack Deutschland SE, Pombà¤r</t>
  </si>
  <si>
    <t>Cà´te d'or</t>
  </si>
  <si>
    <t>Galletas desayuno integral 0% azàºcares</t>
  </si>
  <si>
    <t>Tà¶rtchen Kakao-Haselnusscreme</t>
  </si>
  <si>
    <t>Galletas marà­a</t>
  </si>
  <si>
    <t>Risi Clà¡sicas</t>
  </si>
  <si>
    <t>Alemanha,Eslovà¡quia</t>
  </si>
  <si>
    <t>Tuiles goà»t salé paquet de 170g</t>
  </si>
  <si>
    <t>Gà¢teau au fromage blanc</t>
  </si>
  <si>
    <t>8 mini gà¢ches pur beurre à  la cràªme fraà®che</t>
  </si>
  <si>
    <t>à–sterreich,Belgien,Frankreich,Deutschland,Schweiz</t>
  </si>
  <si>
    <t>Chocolate puro con almendras enteras 0% azàºcares aà±adidos</t>
  </si>
  <si>
    <t>Gà¢che tranchée Bio</t>
  </si>
  <si>
    <t>Frankreich,Deutschland,Vereinigtes Kà¶nigreich</t>
  </si>
  <si>
    <t>Doritos Goà»t Nacho Cheese</t>
  </si>
  <si>
    <t>Tuiles goà»t nature</t>
  </si>
  <si>
    <t>Haferkraft Cranberry Kà¼rbiskern</t>
  </si>
  <si>
    <t>Milka MMMAX Ganze Haselnà¼sse</t>
  </si>
  <si>
    <t>Active Integral Gullà³n</t>
  </si>
  <si>
    <t>Galletas Integrales Arà¡ndano 0% Azàºcares Aà±adidos</t>
  </si>
  <si>
    <t>Maà­z crujiente y tierno</t>
  </si>
  <si>
    <t>Cà´te D'Or, Mondelez</t>
  </si>
  <si>
    <t>Tunnock's</t>
  </si>
  <si>
    <t>Chips Nature l'Originale Nutriscore B</t>
  </si>
  <si>
    <t>Galettes aux flocons d'avoine fourrées chocolat noir</t>
  </si>
  <si>
    <t>Lapin d'or chocolat au lait</t>
  </si>
  <si>
    <t>P'tit fondant coeur chocolat</t>
  </si>
  <si>
    <t>Crousti'pause choco noisette</t>
  </si>
  <si>
    <t>Pringles Hot Smokin' BBQ Ribs Flavour</t>
  </si>
  <si>
    <t>Bretzels d'alsace</t>
  </si>
  <si>
    <t>Petit dej' pepites de chocolat &amp; miel</t>
  </si>
  <si>
    <t>M&amp;M's Crispy</t>
  </si>
  <si>
    <t>Biscuits à  l'avoine</t>
  </si>
  <si>
    <t>Recette à  l'Ancienne</t>
  </si>
  <si>
    <t>Biscuits croquants au coeur onctueux de Nutella</t>
  </si>
  <si>
    <t>Mignonnette Noir - Orange</t>
  </si>
  <si>
    <t>Sesame Snaps 4 x</t>
  </si>
  <si>
    <t>Saint Amour</t>
  </si>
  <si>
    <t>ProductName_Clean</t>
  </si>
  <si>
    <t>Belgium, Bulgaria, France, switzerland</t>
  </si>
  <si>
    <t>France, Italy, Spain, Switzerland, reunion</t>
  </si>
  <si>
    <t>Belgium, France, United Kingdom, ireland</t>
  </si>
  <si>
    <t>Spain, Marruecos, morocco</t>
  </si>
  <si>
    <t>Austria, France, Germany, Italy, Switzerland, United Kingdom, United States, ireland</t>
  </si>
  <si>
    <t>united-kingdom</t>
  </si>
  <si>
    <t>Belgium, France, Germany, Italy, Spain, United Kingdom, austria</t>
  </si>
  <si>
    <t>France, Germany, Switzerland, United Kingdom, netherlands</t>
  </si>
  <si>
    <t>France, morocco</t>
  </si>
  <si>
    <t>United Kingdom, ireland</t>
  </si>
  <si>
    <t>Belgium, France, United Kingdom, netherlands</t>
  </si>
  <si>
    <t>France, Germany, Morocco, Spain, belgium</t>
  </si>
  <si>
    <t>France, United Kingdom, ireland</t>
  </si>
  <si>
    <t>France, Germany, Spain, Switzerland, United Kingdom, austria</t>
  </si>
  <si>
    <t>Algeria, Austria, Czech Republic, France, Germany, Morocco, Switzerland, slovakia</t>
  </si>
  <si>
    <t>France, united-kingdom</t>
  </si>
  <si>
    <t>France, Spain, United Kingdom, ireland</t>
  </si>
  <si>
    <t>Belgium, France, Luxembourg, Switzerland, united-kingdom</t>
  </si>
  <si>
    <t>France, United Kingdom, switzerland</t>
  </si>
  <si>
    <t>France,United Kingdom,United States,united-kingdom</t>
  </si>
  <si>
    <t>Belgium, France, French Polynesia, Italy, Spain, morocco</t>
  </si>
  <si>
    <t>France, New Zealand, United Kingdom, ireland</t>
  </si>
  <si>
    <t>Algeria, France, Luxembourg, morocco</t>
  </si>
  <si>
    <t>Belgium, France, morocco</t>
  </si>
  <si>
    <t>France, United Kingdom, belgium</t>
  </si>
  <si>
    <t>France, Ireland, united-kingdom</t>
  </si>
  <si>
    <t>France,belgium,reunion, new-caledonia, french-polynesia</t>
  </si>
  <si>
    <t>Belgium, Bulgaria, France, Germany, Hungary, Italy, Morocco, Romania, United Kingdom, saudi-arabia</t>
  </si>
  <si>
    <t>Belgium, France, Ireland, Spain, United Kingdom, morocco</t>
  </si>
  <si>
    <t>Ireland, united-kingdom</t>
  </si>
  <si>
    <t>Bulgaria, France, Italy, Morocco, romania</t>
  </si>
  <si>
    <t>United Kingdom,united-kingdom</t>
  </si>
  <si>
    <t>Lebanon, morocco</t>
  </si>
  <si>
    <t>France, Italy, Morocco, United Kingdom, germany</t>
  </si>
  <si>
    <t>France, Germany, United Kingdom, Frankreich, belgium</t>
  </si>
  <si>
    <t>New Zealand, United States, united-kingdom</t>
  </si>
  <si>
    <t>Italy, romania</t>
  </si>
  <si>
    <t>Spain, united-kingdom</t>
  </si>
  <si>
    <t>morocco</t>
  </si>
  <si>
    <t>France, reunion</t>
  </si>
  <si>
    <t>Isle of Man, united-kingdom</t>
  </si>
  <si>
    <t>Austria, Belgium, Bulgaria, France, Germany, Hungary, Poland, Romania, Switzerland, United Kingdom, latvia</t>
  </si>
  <si>
    <t>andorra, france, morocco, portugal, senegal, spain</t>
  </si>
  <si>
    <t>France, belgium</t>
  </si>
  <si>
    <t>Czech Republic, Italy, United Kingdom, bulgaria</t>
  </si>
  <si>
    <t>ma,</t>
  </si>
  <si>
    <t>Austria, Germany, Switzerland, france</t>
  </si>
  <si>
    <t>france</t>
  </si>
  <si>
    <t>Qatar, Saudi Arabia, morocco</t>
  </si>
  <si>
    <t>Spain, morocco</t>
  </si>
  <si>
    <t>Belgium, France, Germany, Switzerland, united-kingdom</t>
  </si>
  <si>
    <t>Finland, france</t>
  </si>
  <si>
    <t>Belgium, France, Netherlands, united-kingdom</t>
  </si>
  <si>
    <t>france, morocco</t>
  </si>
  <si>
    <t>Hungary, Morocco, Romania, Russia, Spain, ukraine</t>
  </si>
  <si>
    <t>United Kingdom, United States, romania</t>
  </si>
  <si>
    <t>France, North Korea, morocco</t>
  </si>
  <si>
    <t>France, Morocco, romania</t>
  </si>
  <si>
    <t>Greece, Italy, Switzerland, france</t>
  </si>
  <si>
    <t>France, Italy, Morocco, Tunisia, bulgaria</t>
  </si>
  <si>
    <t>hungary, italy, morocco, poland, spain, tunisia, En, france</t>
  </si>
  <si>
    <t>United States, united-kingdom</t>
  </si>
  <si>
    <t>Austria, Belgium, Czech Republic, Denmark, France, Germany, Italy, Norway, Russia, Sweden, Switzerland, United Kingdom, netherlands</t>
  </si>
  <si>
    <t>France, Germany, Hungary, Morocco, Poland, romania</t>
  </si>
  <si>
    <t>Ireland, United Kingdom, cyprus</t>
  </si>
  <si>
    <t>Frankreich, ch</t>
  </si>
  <si>
    <t>france, germany, spain</t>
  </si>
  <si>
    <t>France, us</t>
  </si>
  <si>
    <t>france, Switzerland</t>
  </si>
  <si>
    <t>France, Switzerland, united-kingdom</t>
  </si>
  <si>
    <t>Belgium, France, Germany, Hungary, morocco</t>
  </si>
  <si>
    <t>Germany, Norway, Spain, Switzerland, france</t>
  </si>
  <si>
    <t>France, Germany, Italy, united-kingdom</t>
  </si>
  <si>
    <t>France, Italy, Morocco, Romania, albania</t>
  </si>
  <si>
    <t>Saudi Arabia, morocco</t>
  </si>
  <si>
    <t>France, switzerland</t>
  </si>
  <si>
    <t>France, Switzerland, belgium</t>
  </si>
  <si>
    <t>United Kingdom, cyprus</t>
  </si>
  <si>
    <t>France, United Kingdom, portugal</t>
  </si>
  <si>
    <t>France, Germany, Morocco, Switzerland, ukraine</t>
  </si>
  <si>
    <t>France, algeria</t>
  </si>
  <si>
    <t>France, Germany, Netherlands, Spain, United Kingdom, belgium</t>
  </si>
  <si>
    <t>Morocco, Romania, Spain, bulgaria</t>
  </si>
  <si>
    <t>France, Switzerland, United Kingdom, belgium</t>
  </si>
  <si>
    <t>Bulgaria, France, French Guiana, Greece, Guadeloupe, Romania, italy</t>
  </si>
  <si>
    <t>Croatia, Italy, Romania, Slovenia, france</t>
  </si>
  <si>
    <t>morocco, spain, france</t>
  </si>
  <si>
    <t>Ireland,United Kingdom,united-kingdom</t>
  </si>
  <si>
    <t>Austria, Belgium, Czech Republic, Denmark, France, Germany, Ireland, Italy, Philippines, Switzerland, United Kingdom, netherlands</t>
  </si>
  <si>
    <t>France, Germany, United Kingdom, ireland</t>
  </si>
  <si>
    <t>France,france</t>
  </si>
  <si>
    <t>France, Germany, Spain, romania</t>
  </si>
  <si>
    <t>Australia, France, Spain, united-kingdom</t>
  </si>
  <si>
    <t>Bosnia and Herzegovina, France, Germany, Romania, belgium</t>
  </si>
  <si>
    <t>France,United Kingdom,united-kingdom</t>
  </si>
  <si>
    <t>Belgium, France, Switzerland, morocco</t>
  </si>
  <si>
    <t>France, United States, united-kingdom</t>
  </si>
  <si>
    <t>italy, france</t>
  </si>
  <si>
    <t>Belgium, France, United Kingdom, morocco</t>
  </si>
  <si>
    <t>France,Italy,Switzerland,switzerland</t>
  </si>
  <si>
    <t>Netherlands, france</t>
  </si>
  <si>
    <t>France, Spain, United Kingdom, belgium</t>
  </si>
  <si>
    <t>France, Germany, Hungary, Luxembourg, United Kingdom, italy</t>
  </si>
  <si>
    <t>Bulgaria, Georgia, Latvia, Lithuania, Ukraine, romania</t>
  </si>
  <si>
    <t>Germany, austria</t>
  </si>
  <si>
    <t>Germany, Switzerland, france</t>
  </si>
  <si>
    <t>Czech Republic, France, Ireland, united-kingdom</t>
  </si>
  <si>
    <t>spain, france</t>
  </si>
  <si>
    <t>France, Italy, Spain, morocco</t>
  </si>
  <si>
    <t>Germany, united-kingdom</t>
  </si>
  <si>
    <t>Belgium,France,Luxembourg,Netherlands,united-states</t>
  </si>
  <si>
    <t>Bulgaria, France, Serbia, Spain, morocco</t>
  </si>
  <si>
    <t>France,united-kingdom</t>
  </si>
  <si>
    <t>ge</t>
  </si>
  <si>
    <t>France, Italy, Serbia, bulgaria</t>
  </si>
  <si>
    <t>Belgium, France, Germany, Luxembourg, Netherlands, Romania, Sweden, United Kingdom, spain</t>
  </si>
  <si>
    <t>France, Spain, united-kingdom</t>
  </si>
  <si>
    <t>France, Germany, Italy, Morocco, Switzerland, United States, romania</t>
  </si>
  <si>
    <t>Germany, united-states</t>
  </si>
  <si>
    <t>it</t>
  </si>
  <si>
    <t>France, Germany, Morocco, italy</t>
  </si>
  <si>
    <t>France,france, République tchèque</t>
  </si>
  <si>
    <t>Bulgaria, France, Greece, cyprus</t>
  </si>
  <si>
    <t>France, Romania, bulgaria</t>
  </si>
  <si>
    <t>France, Spain, morocco</t>
  </si>
  <si>
    <t>MA</t>
  </si>
  <si>
    <t>Germany, france</t>
  </si>
  <si>
    <t>France, re</t>
  </si>
  <si>
    <t>GB</t>
  </si>
  <si>
    <t>United Kingdom, france</t>
  </si>
  <si>
    <t>India, Romania, United Kingdom, United States, bulgaria</t>
  </si>
  <si>
    <t>United States, World, india</t>
  </si>
  <si>
    <t>Italy, Morocco, france</t>
  </si>
  <si>
    <t>Australia, France, Switzerland, United States, united-kingdom</t>
  </si>
  <si>
    <t>Croatia, France, Spain, United Kingdom, romania</t>
  </si>
  <si>
    <t>Egypt, Germany, Morocco, Romania, poland</t>
  </si>
  <si>
    <t>France, Portugal, morocco</t>
  </si>
  <si>
    <t>France, Italy, Morocco, romania</t>
  </si>
  <si>
    <t>Belgium, morocco</t>
  </si>
  <si>
    <t>France, Spain, italy</t>
  </si>
  <si>
    <t>Czech Republic, France, Thailand, Scotland, united-kingdom</t>
  </si>
  <si>
    <t>France, be</t>
  </si>
  <si>
    <t>à…land Islands, Finland, France, Germany, Sweden, Switzerland, united-kingdom</t>
  </si>
  <si>
    <t>France, Germany, Switzerland, morocco</t>
  </si>
  <si>
    <t>France, United Kingdom, romania</t>
  </si>
  <si>
    <t>France, Italy, Morocco, united-kingdom</t>
  </si>
  <si>
    <t>Bulgaria, romania</t>
  </si>
  <si>
    <t>france, monaco, Switzerland</t>
  </si>
  <si>
    <t>France, United States, morocco</t>
  </si>
  <si>
    <t>france, italy, spain, Polynésie franà§aise</t>
  </si>
  <si>
    <t>France, Morocco, poland</t>
  </si>
  <si>
    <t>Czech Republic, France, Germany, Romania, bulgaria</t>
  </si>
  <si>
    <t>France, Italy, morocco</t>
  </si>
  <si>
    <t>cape-verde, morocco, spain, france</t>
  </si>
  <si>
    <t>Canada, France, United States, united-kingdom</t>
  </si>
  <si>
    <t>France, Romania, morocco</t>
  </si>
  <si>
    <t>France, Germany, United Kingdom, morocco</t>
  </si>
  <si>
    <t>france, germany, romania, spain</t>
  </si>
  <si>
    <t>Italy,Switzerland,united-kingdom</t>
  </si>
  <si>
    <t>France, Romania, spain</t>
  </si>
  <si>
    <t>Russia, united-kingdom</t>
  </si>
  <si>
    <t>belgium, france, italy, spain</t>
  </si>
  <si>
    <t>France, Morocco, united-kingdom</t>
  </si>
  <si>
    <t>Frankreich, Deutschland, at</t>
  </si>
  <si>
    <t>Belgium, France, Germany, Switzerland, italy</t>
  </si>
  <si>
    <t>Algeria, France, morocco</t>
  </si>
  <si>
    <t>Belgium, Canada, France, Italy, Spain, United Kingdom, morocco</t>
  </si>
  <si>
    <t>Italy, morocco</t>
  </si>
  <si>
    <t>Argentina, Georgia, Romania, ukraine</t>
  </si>
  <si>
    <t>Brazil, France, United States, united-kingdom</t>
  </si>
  <si>
    <t>France, Germany, morocco</t>
  </si>
  <si>
    <t>Germany, Ireland, united-kingdom</t>
  </si>
  <si>
    <t>us, World</t>
  </si>
  <si>
    <t>Germany, morocco</t>
  </si>
  <si>
    <t>Hungary, Poland, Romania, bulgaria</t>
  </si>
  <si>
    <t>Belgium, France, Luxembourg, Slovenia, morocco</t>
  </si>
  <si>
    <t>Belgium, France, Germany, morocco</t>
  </si>
  <si>
    <t>Deutschland,Vereinigtes Kà¶nigreich,germany</t>
  </si>
  <si>
    <t>France, italy</t>
  </si>
  <si>
    <t>Spain, United Kingdom, italy</t>
  </si>
  <si>
    <t>United Kingdom, netherlands</t>
  </si>
  <si>
    <t>Bulgaria, France, Germany, Romania, ukraine</t>
  </si>
  <si>
    <t>Algeria,France,Spain, morocco</t>
  </si>
  <si>
    <t>Belgium, netherlands</t>
  </si>
  <si>
    <t>Bosnia and Herzegovina, Bulgaria, Croatia, Montenegro, Romania, Serbia, Slovenia, morocco</t>
  </si>
  <si>
    <t>France, romania</t>
  </si>
  <si>
    <t>France, Germany, Switzerland, belgium</t>
  </si>
  <si>
    <t>Croatia, France, Romania, morocco</t>
  </si>
  <si>
    <t>France, lu</t>
  </si>
  <si>
    <t>Austria, Belgium, France, Germany, Italy, Switzerland, bulgaria</t>
  </si>
  <si>
    <t>Australia, Canada, France, Germany, morocco</t>
  </si>
  <si>
    <t>france,belgium</t>
  </si>
  <si>
    <t>Belgium, France, Germany, Poland, morocco</t>
  </si>
  <si>
    <t>Romania, morocco</t>
  </si>
  <si>
    <t>Australia, Austria, Belgium, France, Switzerland, united-kingdom</t>
  </si>
  <si>
    <t>Senegal, morocco</t>
  </si>
  <si>
    <t>France, Germany, austria</t>
  </si>
  <si>
    <t>France, Germany, united-kingdom</t>
  </si>
  <si>
    <t>Germany, Ireland, france</t>
  </si>
  <si>
    <t>Netherlands, Romania, united-kingdom</t>
  </si>
  <si>
    <t>France, Germany, Switzerland, united-kingdom</t>
  </si>
  <si>
    <t>Tunisia, morocco</t>
  </si>
  <si>
    <t>Germany, Romania, United States, united-kingdom</t>
  </si>
  <si>
    <t>France, Tunisia, morocco</t>
  </si>
  <si>
    <t>Germany, Italy, morocco</t>
  </si>
  <si>
    <t>Portugal, Spain, morocco</t>
  </si>
  <si>
    <t>Belgium, France, Germany, Morocco, New Zealand, united-kingdom</t>
  </si>
  <si>
    <t>Italia,italy</t>
  </si>
  <si>
    <t>it:it</t>
  </si>
  <si>
    <t>France, Germany, it</t>
  </si>
  <si>
    <t>france, italy, kenya, spain, belgium</t>
  </si>
  <si>
    <t>Romania, Serbia, morocco</t>
  </si>
  <si>
    <t>France, Guadeloupe, Switzerland, morocco</t>
  </si>
  <si>
    <t>France,Romania,bulgaria</t>
  </si>
  <si>
    <t>France, Switzerland, United Kingdom, austria</t>
  </si>
  <si>
    <t>Belgium, france</t>
  </si>
  <si>
    <t>France, Netherlands, morocco</t>
  </si>
  <si>
    <t>France, Romania, Spain, bulgaria</t>
  </si>
  <si>
    <t>Czech Republic, France, united-kingdom</t>
  </si>
  <si>
    <t>Turkey, morocco</t>
  </si>
  <si>
    <t>Egypt, morocco</t>
  </si>
  <si>
    <t>France, Germany, United Kingdom, switzerland</t>
  </si>
  <si>
    <t>France, Italy, Spain, united-kingdom</t>
  </si>
  <si>
    <t>Belgium, France, New Zealand, morocco</t>
  </si>
  <si>
    <t>France, Netherlands, Spain, united-kingdom</t>
  </si>
  <si>
    <t>Belgium, France, Germany, Switzerland, netherlands</t>
  </si>
  <si>
    <t>Morocco, Spain, france</t>
  </si>
  <si>
    <t>gb, France</t>
  </si>
  <si>
    <t>Romania, lithuania</t>
  </si>
  <si>
    <t>Germany, Morocco, france</t>
  </si>
  <si>
    <t>Chile, Spain, morocco</t>
  </si>
  <si>
    <t>Switzerland, morocco</t>
  </si>
  <si>
    <t>france, germany, italy, Italy</t>
  </si>
  <si>
    <t>Spain, portugal</t>
  </si>
  <si>
    <t>France,Germany,en,germany</t>
  </si>
  <si>
    <t>Belgium, France, Italy, Poland, Romania, Spain, morocco</t>
  </si>
  <si>
    <t>Denmark, Finland, France, Norway, Poland, Spain, Sweden, united-kingdom</t>
  </si>
  <si>
    <t>Bulgaria, Spain, romania</t>
  </si>
  <si>
    <t>United States,United States, World</t>
  </si>
  <si>
    <t>Belgium, France, italy</t>
  </si>
  <si>
    <t>Germany, United Kingdom, morocco</t>
  </si>
  <si>
    <t>France, Guadeloupe, Italy, Spain, morocco</t>
  </si>
  <si>
    <t>Bulgaria, Morocco, france</t>
  </si>
  <si>
    <t>France,gb,</t>
  </si>
  <si>
    <t>Czech Republic, France, United Kingdom, morocco</t>
  </si>
  <si>
    <t>Belgium, Poland, Romania, hungary</t>
  </si>
  <si>
    <t>Belgium, France, Germany, Italy, united-kingdom</t>
  </si>
  <si>
    <t>Bulgaria, Germany, morocco</t>
  </si>
  <si>
    <t>France, World, united-states</t>
  </si>
  <si>
    <t>France, Germany, Hungary, morocco</t>
  </si>
  <si>
    <t>France, Sweden, United Kingdom, germany</t>
  </si>
  <si>
    <t>Brazil  france, france</t>
  </si>
  <si>
    <t>germany</t>
  </si>
  <si>
    <t>be, France</t>
  </si>
  <si>
    <t>Canada, World, united-kingdom</t>
  </si>
  <si>
    <t>france,germany,switzerland,Belgium</t>
  </si>
  <si>
    <t>France, italy, spain</t>
  </si>
  <si>
    <t>France, united-states</t>
  </si>
  <si>
    <t>Spain, United Kingdom, morocco</t>
  </si>
  <si>
    <t>Jersey, united-kingdom</t>
  </si>
  <si>
    <t>Italy, france</t>
  </si>
  <si>
    <t>France, Switzerland, italy</t>
  </si>
  <si>
    <t>Germany, romania</t>
  </si>
  <si>
    <t>France, Germany, Netherlands, united-kingdom</t>
  </si>
  <si>
    <t>germany, Germany, France</t>
  </si>
  <si>
    <t>à…land Islands, Australia, Denmark, Finland, France, Morocco, Netherlands, New Zealand, Singapore, Sweden, United Kingdom, spain</t>
  </si>
  <si>
    <t>France, Switzerland, morocco</t>
  </si>
  <si>
    <t>Frankreich,Deutschland,germany</t>
  </si>
  <si>
    <t>germany, Germany</t>
  </si>
  <si>
    <t>Egypt, Morocco, saudi-arabia</t>
  </si>
  <si>
    <t>Germany, Italy, bulgaria</t>
  </si>
  <si>
    <t>France, New Zealand, australia, french-polynesia</t>
  </si>
  <si>
    <t>France,Spain,morocco</t>
  </si>
  <si>
    <t>France, germany</t>
  </si>
  <si>
    <t>Italy, united-kingdom</t>
  </si>
  <si>
    <t>de</t>
  </si>
  <si>
    <t>Czech Republic,France,Germany,netherlands</t>
  </si>
  <si>
    <t>France, reunion, belgium</t>
  </si>
  <si>
    <t>Austria, Belgium, France, Germany, Switzerland, morocco</t>
  </si>
  <si>
    <t>Belgium, France, Germany, Netherlands, morocco</t>
  </si>
  <si>
    <t>Belgium, Morocco, romania</t>
  </si>
  <si>
    <t>Bulgaria, United Kingdom, romania</t>
  </si>
  <si>
    <t>Mexico, morocco</t>
  </si>
  <si>
    <t>Australie,France,Japon,france</t>
  </si>
  <si>
    <t>Spain, united-states</t>
  </si>
  <si>
    <t>Guernsey, united-kingdom</t>
  </si>
  <si>
    <t>Bulgaria, Romania, ukraine</t>
  </si>
  <si>
    <t>Algeria, Romania, morocco</t>
  </si>
  <si>
    <t>France, Italy, Lithuania, Martinique, morocco</t>
  </si>
  <si>
    <t>fr,</t>
  </si>
  <si>
    <t>Germany,</t>
  </si>
  <si>
    <t>Austria, Netherlands, france</t>
  </si>
  <si>
    <t>France, netherlands</t>
  </si>
  <si>
    <t>Australia, France, Germany, Switzerland, bulgaria</t>
  </si>
  <si>
    <t>Croatia, Finland, France, Spain, Switzerland, morocco</t>
  </si>
  <si>
    <t>Ð‘ÐµÐ»Ð³Ð¸Ñ,Ð‘ÑŠÐ»Ð³Ð°Ñ€Ð¸Ñ,bulgaria</t>
  </si>
  <si>
    <t>Germany,united-kingdom</t>
  </si>
  <si>
    <t>Morocco,France</t>
  </si>
  <si>
    <t>France,Morocco,morocco,</t>
  </si>
  <si>
    <t>France,Morocco,Morocco</t>
  </si>
  <si>
    <t>FranÈ›a,Germania,Morocco</t>
  </si>
  <si>
    <t>France,Morocco,morocco</t>
  </si>
  <si>
    <t>France, Morocco, morocco</t>
  </si>
  <si>
    <t>Morocco, morocco</t>
  </si>
  <si>
    <t>Algeria,France</t>
  </si>
  <si>
    <t>Algeria,algeria</t>
  </si>
  <si>
    <t>Bulgaria,France,Lituania,Marruecos,Paà­ses Bajos,Polonia,Rumania,Espaà±a,Ucrania</t>
  </si>
  <si>
    <t>Bulgaria,France,Hungrà­a,Portugal,Rumania,Espaà±a</t>
  </si>
  <si>
    <t>France,Marruecos,Espaà±a</t>
  </si>
  <si>
    <t>belgium, france, luxembourg, spain, France</t>
  </si>
  <si>
    <t>France,Marruecos,Espaà±a,France</t>
  </si>
  <si>
    <t>France,Reunià³n</t>
  </si>
  <si>
    <t>France,Espaà±a, morocco</t>
  </si>
  <si>
    <t>France,Polinesia Francesa</t>
  </si>
  <si>
    <t>France,Marruecos,Rumania,Espaà±a</t>
  </si>
  <si>
    <t>France,Italia</t>
  </si>
  <si>
    <t>Bulgaria,Croacia,Estonia,France,Polonia,Repàºblica Srpska,Rumania,Eslovenia,Espaà±a</t>
  </si>
  <si>
    <t>France,Spagna,Italia, morocco</t>
  </si>
  <si>
    <t>Algeria,France,Marruecos,Espaà±a</t>
  </si>
  <si>
    <t>Germany, Hungary, Romania, Spain, France, united-kingdom</t>
  </si>
  <si>
    <t>France,Espaà±a</t>
  </si>
  <si>
    <t>France,Martinica</t>
  </si>
  <si>
    <t>France,Italia,Marruecos,Portugal,Espaà±a</t>
  </si>
  <si>
    <t>France, Italy, Morocco, Spain, France, romania</t>
  </si>
  <si>
    <t>France,México,Espaà±a</t>
  </si>
  <si>
    <t>Austria,France,Espaà±a</t>
  </si>
  <si>
    <t>Bulgaria,France,Italia</t>
  </si>
  <si>
    <t>France,Portugal,Espaà±a</t>
  </si>
  <si>
    <t>France,Germania,Paesi Bassi,Svezia,Italia</t>
  </si>
  <si>
    <t>Algeria, Morocco, Spain, France, france</t>
  </si>
  <si>
    <t>Bulgaria,France,Marruecos,Rumania,Espaà±a</t>
  </si>
  <si>
    <t>France,Italia,Svizzera</t>
  </si>
  <si>
    <t>France,Italia,Espaà±a</t>
  </si>
  <si>
    <t>France,Serbia</t>
  </si>
  <si>
    <t>France,Marruecos</t>
  </si>
  <si>
    <t>Repàºblica Checa,France,Espaà±a</t>
  </si>
  <si>
    <t>Bolivia,France,Italia</t>
  </si>
  <si>
    <t>Finlandia,France,Marruecos,Espaà±a</t>
  </si>
  <si>
    <t>France,Germania</t>
  </si>
  <si>
    <t>Australia,Bulgaria,France,Grecia,Nueva Zelanda,Rumania,Espaà±a</t>
  </si>
  <si>
    <t>France,Polonia</t>
  </si>
  <si>
    <t>Australia,Austria,France,Italia,Marruecos,Nueva Zelanda,Espaà±a</t>
  </si>
  <si>
    <t>Dinamarca,France,Marruecos,Noruega,Espaà±a,Suecia</t>
  </si>
  <si>
    <t>Algeria,France,Germany,Irlande,Morocco</t>
  </si>
  <si>
    <t>Croatie,France,Germany,Morocco,Roumanie</t>
  </si>
  <si>
    <t>France,Germany,Italie,Roumanie</t>
  </si>
  <si>
    <t>France,Germany,Morocco</t>
  </si>
  <si>
    <t>Canada,France,Germany</t>
  </si>
  <si>
    <t>Australie,France,Germany,Nouvelle-Zélande</t>
  </si>
  <si>
    <t>France,Germany,États-Unis</t>
  </si>
  <si>
    <t>Finlande,France,Germany</t>
  </si>
  <si>
    <t>Croatie,France,Germany,Morocco</t>
  </si>
  <si>
    <t>Bulgaria,Repàºblica Checa,France,Germany,Marruecos,Polonia,Espaà±a</t>
  </si>
  <si>
    <t>France,Germany,Marruecos,Polonia,Espaà±a</t>
  </si>
  <si>
    <t>Bolivia,France,Germany,Rumania,Espaà±a,Tàºnez</t>
  </si>
  <si>
    <t>Bolivia,Bulgaria,Dinamarca,France,Germany,Israel,Marruecos,Polonia,Rumania,Serbia,Espaà±a</t>
  </si>
  <si>
    <t>Austria,France,Germany,Portugal,Espaà±a</t>
  </si>
  <si>
    <t>Germany,Italia,Espaà±a</t>
  </si>
  <si>
    <t>France,Germany,Hungrà­a,Italia,Espaà±a</t>
  </si>
  <si>
    <t>Germany,Espaà±a</t>
  </si>
  <si>
    <t>France,Germany,Portugal,Espaà±a</t>
  </si>
  <si>
    <t>Bulgaria,Croacia,France,Germany,Hungrà­a,Italia,Lituania,Eslovaquia,Espaà±a</t>
  </si>
  <si>
    <t>France,Germany,Marruecos</t>
  </si>
  <si>
    <t>France,Germany,Espaà±a</t>
  </si>
  <si>
    <t>Bolivia,Bulgaria,France,Germany</t>
  </si>
  <si>
    <t>Bulgarie,Croatie,France,Germany,Pologne,Roumanie,Serbie,Spain</t>
  </si>
  <si>
    <t>France,Italie,Morocco,Spain</t>
  </si>
  <si>
    <t>Algeria,France,Spain, belgium, morocco</t>
  </si>
  <si>
    <t>Morocco,Spain,France</t>
  </si>
  <si>
    <t>France,Italie,Spain</t>
  </si>
  <si>
    <t>Belgium,France,Morocco, Italie, Spain, Pologne, Roumanie</t>
  </si>
  <si>
    <t>belgium,France, Italie, Spain</t>
  </si>
  <si>
    <t>France, Italie, Spain</t>
  </si>
  <si>
    <t>France, belgium, Italie, Spain</t>
  </si>
  <si>
    <t>Germany,Spain</t>
  </si>
  <si>
    <t>France,Italie,Morocco,Pologne,Spain</t>
  </si>
  <si>
    <t>France, morocco, Italie, Spain</t>
  </si>
  <si>
    <t>France,Germany,Martinique,Morocco,Spain</t>
  </si>
  <si>
    <t>France, ca, Italie, Spain, Roumanie</t>
  </si>
  <si>
    <t>France, French Polynesia, morocco, Italie, Spain</t>
  </si>
  <si>
    <t>France,Spain, Italie</t>
  </si>
  <si>
    <t>France,Morocco, Italie, Spain</t>
  </si>
  <si>
    <t>Belgium,France, Italie, Spain</t>
  </si>
  <si>
    <t>France, Italie, Pologne, Roumanie, Spain</t>
  </si>
  <si>
    <t>Belgium,Bulgarie,France,Germany,Italie,Portugal,Serbie,Spain</t>
  </si>
  <si>
    <t>Belgium,France,Polynésie franà§aise</t>
  </si>
  <si>
    <t>belgium, france, guadeloupe, luxembourg, Belgium, La-reunion, Switzerland</t>
  </si>
  <si>
    <t>Belgium,France,Thaà¯lande</t>
  </si>
  <si>
    <t>Belgium,France,Italie,Morocco</t>
  </si>
  <si>
    <t>Belgium,Bulgarie,Croatie,France,Germany,Italie</t>
  </si>
  <si>
    <t>Belgium,Bulgarie,France,Hongrie,Spain,Suède</t>
  </si>
  <si>
    <t>Belgium,France,Italie,Morocco,Portugal,Spain</t>
  </si>
  <si>
    <t>Autriche,Belgium,France,Germany,Spain</t>
  </si>
  <si>
    <t>France, Belgium, Luxembourg</t>
  </si>
  <si>
    <t>Belgium,France,Italie,Pologne,Roumanie,Spain</t>
  </si>
  <si>
    <t>france, switzerland, Belgium, spain</t>
  </si>
  <si>
    <t>Belgium,France,Polynésie franà§aise,Guadeloupe,Italie,Pologne,Roumanie,Spain,france</t>
  </si>
  <si>
    <t>Belgium,France,Italie</t>
  </si>
  <si>
    <t>Belgium,France,Guadeloupe,Italie</t>
  </si>
  <si>
    <t>Belarus,Bulgaria,Czech Republic,Denmark,France,Germany,Greece,Morocco,Poland,Romania,Russia,Slovakia,Spain,Sweden,United Kingdom,Belgium</t>
  </si>
  <si>
    <t>France, Belgium</t>
  </si>
  <si>
    <t>Belgium,Chine,France</t>
  </si>
  <si>
    <t>Belgium,Bulgarie,France,Hongrie,Italie</t>
  </si>
  <si>
    <t>Belgium,France, martinique</t>
  </si>
  <si>
    <t>Belgium,France,Italie,Spain</t>
  </si>
  <si>
    <t>Morocco,Belgium</t>
  </si>
  <si>
    <t>Belgium,Repàºblica Checa,Franà§a,Alemanha,Marrocos,Portugal,Espanha</t>
  </si>
  <si>
    <t>Belgium,France,Germany,Italia,Paà­ses Bajos,Suecia,Espaà±a</t>
  </si>
  <si>
    <t>Belgium,Espaà±a</t>
  </si>
  <si>
    <t>Belgium,France,Italia,Marruecos,Paà­ses Bajos,Portugal,Espaà±a</t>
  </si>
  <si>
    <t>Belgium,Bolivia,France,Germany,Italia,México,Paà­ses Bajos,Rumania,Espaà±a</t>
  </si>
  <si>
    <t>Belgium,Dinamarca,Finlà¢ndia,Franà§a,Alemanha,Ità¡lia,Paà­ses Baixos,Portugal,Espanha,Suécia,Suà­à§a</t>
  </si>
  <si>
    <t>Belgium,France,Germany,Espaà±a</t>
  </si>
  <si>
    <t>Belgium,France,Espaà±a,Tailandia</t>
  </si>
  <si>
    <t>Austria,Belgium,France,Germany,Paà­ses Bajos,Portugal,Espaà±a</t>
  </si>
  <si>
    <t>France,Japon,Switzerland</t>
  </si>
  <si>
    <t>Belgium,Bulgarie,France,Germany,Hongrie,Italie,Mexique,Morocco,Portugal,Roumanie,Spain,Switzerland</t>
  </si>
  <si>
    <t>Autriche,France,Germany,Italie,Switzerland</t>
  </si>
  <si>
    <t>Algeria,Australie,Brésil,France,Germany,Hong Kong,Hongrie,Italie,Lituanie,Morocco,Portugal,Roumanie,Spain,Switzerland</t>
  </si>
  <si>
    <t>France,Switzerland,États-Unis</t>
  </si>
  <si>
    <t>France,Germany,Italie,Switzerland</t>
  </si>
  <si>
    <t>Belgium,France,Morocco,Spain,Switzerland</t>
  </si>
  <si>
    <t>France,Switzerland, belgium</t>
  </si>
  <si>
    <t>France,Germany,Martinique,Morocco,Switzerland</t>
  </si>
  <si>
    <t>Canada,France,Guadeloupe,Switzerland</t>
  </si>
  <si>
    <t>Croatie,France,Morocco,Switzerland</t>
  </si>
  <si>
    <t>Belgium,Canada,France,Switzerland</t>
  </si>
  <si>
    <t>France,Switzerland,france</t>
  </si>
  <si>
    <t>Belgium,France,Guadeloupe,Luxembourg,Martinique,Switzerland</t>
  </si>
  <si>
    <t>Germany,Morocco,Pologne,Roumanie,Switzerland</t>
  </si>
  <si>
    <t>France,Italie,Spain,Switzerland</t>
  </si>
  <si>
    <t>France, Switzerland, japan</t>
  </si>
  <si>
    <t>Autriche,France,Germany,Switzerland</t>
  </si>
  <si>
    <t>France, Italie, Switzerland, be</t>
  </si>
  <si>
    <t>Bonbons aux plantes des Alpes Switzerlands Cassis</t>
  </si>
  <si>
    <t>France, Italie, Switzerland</t>
  </si>
  <si>
    <t>Belgium,France,Guadeloupe,Martinique,Switzerland</t>
  </si>
  <si>
    <t>Bonbons Switzerlands aux plantes Menthol Sans sucres</t>
  </si>
  <si>
    <t>Canada,France,Italie,Switzerland</t>
  </si>
  <si>
    <t>France,Polynésie franà§aise,Switzerland,france</t>
  </si>
  <si>
    <t>France,Germany,Italia,Marruecos,Portugal,Rumania,Espaà±a,Switzerland</t>
  </si>
  <si>
    <t>Austria,Belgium,Dinamarca,Estonia,Finlandia,France,Germany,Italia,Luxemburgo,Malta,Marruecos,Paà­ses Bajos,Portugal,Espaà±a,Suecia,Switzerland</t>
  </si>
  <si>
    <t>Australia,Austria,Dinamarca,France,Germany,Marruecos,Nueva Zelanda,Espaà±a,Switzerland</t>
  </si>
  <si>
    <t>Armenia,Bielorrusia,Belgium,Bosnia y Herzegovina,Bulgaria,Croacia,France,Hungrà­a,Kuwait,Letonia,Là­bano,Lituania,Marruecos,Polonia,Rumania,Rusia,Serbia,Switzerland,Ucrania</t>
  </si>
  <si>
    <t>Belgium,Repàºblica Checa,France,Paà­ses Bajos,Espaà±a,Switzerland</t>
  </si>
  <si>
    <t>France,Germany,Espaà±a,Switzerland,England</t>
  </si>
  <si>
    <t>Belgium,Repàºblica Checa,France,Espaà±a,Switzerland</t>
  </si>
  <si>
    <t>france, germany, greece, spain, Switzerland</t>
  </si>
  <si>
    <t>France,Germany,Espaà±a,Switzerland</t>
  </si>
  <si>
    <t>bolivia, france, germany, morocco, Switzerland</t>
  </si>
  <si>
    <t>Repàºblica Checa,France,Germany,Espaà±a,Switzerland</t>
  </si>
  <si>
    <t>Australia,Austria,Belgium,Bulgaria,France,Germany,Marruecos,Nueva Zelanda,Suecia,Switzerland</t>
  </si>
  <si>
    <t>France,Espaà±a,Switzerland</t>
  </si>
  <si>
    <t>France,Irlande,Suède,United Kingdom</t>
  </si>
  <si>
    <t>Belgium,France,Switzerland,United Kingdom,États-Unis</t>
  </si>
  <si>
    <t>Belgium,Bulgarie,France,Germany,Hongrie,Italie,Morocco,Pologne,Roumanie,Serbie,Spain,Switzerland,Thaà¯lande,United Kingdom</t>
  </si>
  <si>
    <t>Bulgarie,France,Italie,Portugal,Spain,Switzerland,United Kingdom</t>
  </si>
  <si>
    <t>Belgium,France,Germany,Irlande,Spain,United Kingdom</t>
  </si>
  <si>
    <t>France,Irlande,United Kingdom</t>
  </si>
  <si>
    <t>France,Morocco,United Kingdom</t>
  </si>
  <si>
    <t>France,Morocco,Spain,United Kingdom</t>
  </si>
  <si>
    <t>République tchèque,France,Germany,Morocco,Spain,United Kingdom</t>
  </si>
  <si>
    <t>Bulgarie,France,Germany,Irlande,United Kingdom</t>
  </si>
  <si>
    <t>Belgium,France,Germany,Italie,Morocco,United Kingdom</t>
  </si>
  <si>
    <t>France,United Kingdom,États-Unis</t>
  </si>
  <si>
    <t>Belgium,France,Germany,Switzerland,United Kingdom</t>
  </si>
  <si>
    <t>Autriche,Belgium,France,Germany,Roumanie,Switzerland,United Kingdom,Hongrie</t>
  </si>
  <si>
    <t>République tchèque,France,Germany,Hongrie,United Kingdom</t>
  </si>
  <si>
    <t>Australie,France,United Kingdom</t>
  </si>
  <si>
    <t>Belgium,France,Germany,Italie,Switzerland,United Kingdom</t>
  </si>
  <si>
    <t>France,Germany,United Kingdom,Italie</t>
  </si>
  <si>
    <t>France,Germany,Morocco,United Kingdom,États-Unis</t>
  </si>
  <si>
    <t>Algeria,Austria,Belgium,Bulgaria,Canadà¡,Repàºblica Checa,Finlandia,France,Polinesia Francesa,Germany,Irlanda,Italia,Mauricio,Marruecos,Paà­ses Bajos,Noruega,Reunià³n,Rumania,Singapur,Espaà±a,Suecia,Switzerland,Tàºnez,United Kingdom</t>
  </si>
  <si>
    <t>Belgium,France,Germany,Irlanda,Paà­ses Bajos,Espaà±a,Switzerland,United Kingdom,Belgium</t>
  </si>
  <si>
    <t>Australia,Belgium,Estonia,France,Grecia,Hungrà­a,Irlanda,Italia,Letonia,Libia,Lituania,Marruecos,Nueva Zelanda,Polonia,Portugal,Rumania,Espaà±a,Switzerland,United Kingdom</t>
  </si>
  <si>
    <t>Belgium,France,Germany,Marruecos,Rumania,Espaà±a,Switzerland,United Kingdom</t>
  </si>
  <si>
    <t>Belgium,France,Espaà±a,United Kingdom</t>
  </si>
  <si>
    <t>Belgium,Dinamarca,France,Germany,Grecia,Irlanda,Italia,Marruecos,Paà­ses Bajos,Nigeria,Rumania,Espaà±a,United Kingdom</t>
  </si>
  <si>
    <t>Austria,Belgium,France,Germany,Marruecos,Paà­ses Bajos,Espaà±a,Switzerland,United Kingdom</t>
  </si>
  <si>
    <t>Algeria,Australia,Belgium,Bolivia,Bulgaria,Dinamarca,Finlandia,France,Germany,Italia,Marruecos,Noruega,Polonia,Rumania,Espaà±a,Suecia,Switzerland,Tailandia,Ucrania,United Kingdom</t>
  </si>
  <si>
    <t>Belgium,Germany,Irlanda,Marruecos,Paà­ses Bajos,Espaà±a,United Kingdom</t>
  </si>
  <si>
    <t>Espaà±a,United Kingdom</t>
  </si>
  <si>
    <t>France,Grecia,Irlanda,Espaà±a,United Kingdom</t>
  </si>
  <si>
    <t>Austria,Belgium,Dinamarca,Finlandia,France,Germany,Grecia,Islandia,Irlanda,Italia,Paà­ses Bajos,Noruega,Polonia,Espaà±a,Suecia,Switzerland,United Kingdom</t>
  </si>
  <si>
    <t>Belgium,France,Germany,Italia,Luxemburgo,Martinica,Mauricio,Marruecos,Nueva Caledonia,Reunià³n,Espaà±a,Switzerland,Repàºblica de China,Tailandia,United Kingdom</t>
  </si>
  <si>
    <t>France,Germany,Italia,Paà­ses Bajos,Espaà±a,United Kingdom</t>
  </si>
  <si>
    <t>Australia,Austria,Belgium,France,Marruecos,Espaà±a,Switzerland,United Kingdom,Estados Unidos</t>
  </si>
  <si>
    <t>Belgium,Dinamarca,France,Germany,Italia,Paà­ses Bajos,Portugal,Espaà±a,Switzerland,United Kingdom</t>
  </si>
  <si>
    <t>Bulgaria,France,Germany,Marruecos,Rumania,United Kingdom</t>
  </si>
  <si>
    <t>France,Espaà±a,United Kingdom</t>
  </si>
  <si>
    <t>Australia,Belgium,Repàºblica Checa,France,Germany,Italia,Marruecos,Nueva Zelanda,Eslovaquia,Espaà±a,Suecia,United Kingdom</t>
  </si>
  <si>
    <t>Australia,Dinamarca,Finlandia,France,Nueva Zelanda,Noruega,Suecia,United Kingdom</t>
  </si>
  <si>
    <t>France,Italia,Espaà±a,Switzerland,United Kingdom</t>
  </si>
  <si>
    <t>Belgium,France,Germany,Italia,Japà³n,Moldavia,Paà­ses Bajos,Portugal,Rumania,Espaà±a,United Kingdom</t>
  </si>
  <si>
    <t>Algeria,Austria,Belgium,Egipto,France,Germany,Marruecos,Qatar,Switzerland,Tàºnez,Emiratos àrabes Unidos,United Kingdom</t>
  </si>
  <si>
    <t>Australia,Dinamarca,France,Nueva Zelanda,Espaà±a,Switzerland,United Kingdom</t>
  </si>
  <si>
    <t>Belgium,France,Italia,Espaà±a,United Kingdom,Estados Unidos</t>
  </si>
  <si>
    <t>Australia,Marruecos,Nueva Zelanda,Espaà±a,Emiratos àrabes Unidos,United Kingdom</t>
  </si>
  <si>
    <t>France,Germany,Irlanda,United Kingdom</t>
  </si>
  <si>
    <t>Belgium,Germany,Italia,Espaà±a,United Kingdom</t>
  </si>
  <si>
    <t>France, United Kingdom, Spain</t>
  </si>
  <si>
    <t>Austria,Belgium,France,Germany,Irlanda,Rumania,Espaà±a,Switzerland,United Kingdom</t>
  </si>
  <si>
    <t>Australie,Belgium,Canada,République tchèque,Danemark,Estonie,France,Germany,Hongrie,Irlande,Italie,Liban,Morocco,Netherlands,Portugal,Serbie,Spain,Switzerland,United Kingdom</t>
  </si>
  <si>
    <t>France,Germany,Hongrie,Italie,Netherlands,Portugal,Switzerland</t>
  </si>
  <si>
    <t>Belgium,France,Netherlands,Spain,Switzerland</t>
  </si>
  <si>
    <t>Autriche,Belgium,Danemark,Finlande,France,Germany,Netherlands,Norvège,Suède,Switzerland</t>
  </si>
  <si>
    <t>République tchèque,France,Germany,Netherlands</t>
  </si>
  <si>
    <t>France,Morocco,Netherlands,Spain</t>
  </si>
  <si>
    <t>France,Germany,Morocco,Netherlands,Switzerland</t>
  </si>
  <si>
    <t>Belgium,Danemark,Finlande,France,Grèce,Irlande,Italie,Morocco,Netherlands,Norvège,Suède,United Kingdom</t>
  </si>
  <si>
    <t>Autriche,France,Germany,Italie,Netherlands,Switzerland</t>
  </si>
  <si>
    <t>Algeria,France,Guadeloupe,Morocco,Tunisia</t>
  </si>
  <si>
    <t>Algeria,Belgium,Germany,Italie,Morocco,Spain,Switzerland,Tunisia,United Kingdom,États-Unis,France</t>
  </si>
  <si>
    <t>France,Tunisia</t>
  </si>
  <si>
    <t>France,Qatar,Tunisia</t>
  </si>
  <si>
    <t>Algeria,Belgium,France,French Polynesia,Germany,Guadeloupe,Hungary,Luxembourg,Martinique,Morocco,New Caledonia,Reunion,Spain,Switzerland,United States</t>
  </si>
  <si>
    <t>Algeria,Belgium,République tchèque,France,Germany,Guadeloupe,Italie,Morocco,La Reunion,Spain,Switzerland</t>
  </si>
  <si>
    <t>Autriche,Belgium,France,Germany,Italie,Morocco,Netherlands,La Reunion,Spain,Switzerland</t>
  </si>
  <si>
    <t>Belgium,France,Guadeloupe,Italie,La Reunion,Spain,Switzerland</t>
  </si>
  <si>
    <t>Belgium,France,French Polynesia,Germany,Guadeloupe,Martinique,Morocco,Reunion,Switzerland</t>
  </si>
  <si>
    <t>Belgium,France,Polynésie franà§aise,Martinique,Morocco,La Reunion,Switzerland</t>
  </si>
  <si>
    <t>Belgium,France,Germany,Reunion,Switzerland</t>
  </si>
  <si>
    <t>Belgium,France,Martinique,Morocco,La Reunion,Switzerland,États-Unis</t>
  </si>
  <si>
    <t>Belgium, France, Luxembourg, Reunion, Switzerland, netherlands</t>
  </si>
  <si>
    <t>France,Germany,Italy,Martinique,Mauritius,Portugal,Reunion,Thailand</t>
  </si>
  <si>
    <t>Belgium,France,Guadeloupe,Martinique,Morocco,Reunion,Senegal,Switzerland</t>
  </si>
  <si>
    <t>France,Guadeloupe,Martinique,Reunion</t>
  </si>
  <si>
    <t>France,Reunion,Switzerland,United Kingdom</t>
  </si>
  <si>
    <t>France,Luxembourg,Reunion,Switzerland</t>
  </si>
  <si>
    <t>France,New Caledonia,Reunion,Switzerland</t>
  </si>
  <si>
    <t>france, martinique, La Reunion, Switzerland</t>
  </si>
  <si>
    <t>Belgium,France,French Polynesia,Reunion,Switzerland</t>
  </si>
  <si>
    <t>France,Reunion,Switzerland</t>
  </si>
  <si>
    <t>Belgium,France,Guadeloupe,Lebanon,Reunion,Switzerland</t>
  </si>
  <si>
    <t>France,Guadeloupe,Morocco,La Reunion,Switzerland</t>
  </si>
  <si>
    <t>Belgium,France,Reunion</t>
  </si>
  <si>
    <t>Belgium,France,La Reunion,Switzerland</t>
  </si>
  <si>
    <t>Belgium,France,Morocco,La Reunion,Switzerland</t>
  </si>
  <si>
    <t>France,La Reunion</t>
  </si>
  <si>
    <t>Canada,Frankrijk,Duitsland,Marokko,Reunion,Spanje,Zwitserland</t>
  </si>
  <si>
    <t>Frankrijk,Reunion</t>
  </si>
  <si>
    <t>France,Guadeloupe,La Reunion,Switzerland</t>
  </si>
  <si>
    <t>france, La Reunion, Switzerland</t>
  </si>
  <si>
    <t>Croatia,France,Morocco,New Caledonia,Reunion,Switzerland</t>
  </si>
  <si>
    <t>France,Reunion</t>
  </si>
  <si>
    <t>Belgium,France,La Reunion</t>
  </si>
  <si>
    <t>Belgium,France,Portugal,La Reunion,Switzerland</t>
  </si>
  <si>
    <t>France,La Reunion,Switzerland</t>
  </si>
  <si>
    <t>France, Germany, Reunion, united-kingdom</t>
  </si>
  <si>
    <t>France,La Reunion,Spain</t>
  </si>
  <si>
    <t>France,Germany,Martinique,La Reunion</t>
  </si>
  <si>
    <t>France,La Reunion,États-Unis</t>
  </si>
  <si>
    <t>Autriche,Belgium,France,Germany,Italie,La Reunion,Roumanie,Switzerland</t>
  </si>
  <si>
    <t>France,Polynésie franà§aise,La Reunion</t>
  </si>
  <si>
    <t>Belgium,France,La Reunion,États-Unis</t>
  </si>
  <si>
    <t>Belgium, Bulgaria, Czech Republic, Denmark, France, Germany, Hungary, Iran, Montenegro, Morocco, Reunion, Romania, Saudi Arabia, Serbia, Slovakia, Sweden, Switzerland, Tunisia, United Kingdom, algeria</t>
  </si>
  <si>
    <t>Belgium, Canada, Denmark, Finland, France, Germany, Mauritius, Morocco, Reunion, Spain, Switzerland, latvia</t>
  </si>
  <si>
    <t>Belgium,France,Martinique,La Reunion,Switzerland</t>
  </si>
  <si>
    <t>France,Germany,La Reunion,Tunisia</t>
  </si>
  <si>
    <t>France,Mexique,La Reunion,Spain</t>
  </si>
  <si>
    <t>France,Martinique,La Reunion, new-caledonia</t>
  </si>
  <si>
    <t>Belgium,France,Luxembourg,New Caledonia,Switzerland</t>
  </si>
  <si>
    <t>Belgium,France,Guadeloupe,New Caledonia,La Reunion,Luxembourg</t>
  </si>
  <si>
    <t>Country_Clean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</si>
</sst>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 wrapText="1"/>
    </xf>
    <xf numFmtId="0" fontId="16" fillId="0" borderId="0" xfId="0" applyFont="1"/>
    <xf numFmtId="0" fontId="16" fillId="0" borderId="0" xfId="0" applyFont="1" applyAlignment="1">
      <alignment vertical="center"/>
    </xf>
    <xf numFmtId="0" fontId="16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3000"/>
  <sheetViews>
    <sheetView tabSelected="1" topLeftCell="D1" zoomScaleNormal="100" workbookViewId="0">
      <pane ySplit="1" topLeftCell="A3" activePane="bottomLeft" state="frozen"/>
      <selection pane="bottomLeft" activeCell="D3" sqref="A1:N3000"/>
    </sheetView>
  </sheetViews>
  <sheetFormatPr defaultRowHeight="15" x14ac:dyDescent="0.25"/>
  <cols>
    <col min="2" max="2" width="11.140625" bestFit="1" customWidth="1"/>
    <col min="3" max="3" width="22.5703125" style="1" customWidth="1"/>
    <col min="4" max="4" width="43.42578125" style="2" customWidth="1"/>
    <col min="5" max="5" width="12.7109375" bestFit="1" customWidth="1"/>
    <col min="6" max="6" width="38.7109375" style="1" customWidth="1"/>
    <col min="7" max="7" width="10.7109375" bestFit="1" customWidth="1"/>
    <col min="9" max="9" width="14.85546875" bestFit="1" customWidth="1"/>
    <col min="10" max="10" width="13.140625" customWidth="1"/>
    <col min="11" max="11" width="18.7109375" bestFit="1" customWidth="1"/>
    <col min="12" max="14" width="21.140625" customWidth="1"/>
    <col min="17" max="17" width="13.5703125" bestFit="1" customWidth="1"/>
  </cols>
  <sheetData>
    <row r="1" spans="1:18" x14ac:dyDescent="0.25">
      <c r="A1" s="4" t="s">
        <v>0</v>
      </c>
      <c r="B1" s="4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7019</v>
      </c>
      <c r="J1" s="4" t="s">
        <v>7020</v>
      </c>
      <c r="K1" s="4" t="s">
        <v>7021</v>
      </c>
      <c r="L1" s="4" t="s">
        <v>7028</v>
      </c>
      <c r="M1" s="4" t="s">
        <v>7910</v>
      </c>
      <c r="N1" s="4" t="s">
        <v>8474</v>
      </c>
      <c r="P1" s="3" t="s">
        <v>7022</v>
      </c>
    </row>
    <row r="2" spans="1:18" x14ac:dyDescent="0.25">
      <c r="A2" s="6" t="s">
        <v>8</v>
      </c>
      <c r="B2" s="6">
        <v>6120</v>
      </c>
      <c r="C2" s="6" t="s">
        <v>9</v>
      </c>
      <c r="D2" s="7" t="s">
        <v>9</v>
      </c>
      <c r="E2" s="6" t="s">
        <v>10</v>
      </c>
      <c r="F2" s="6" t="s">
        <v>11</v>
      </c>
      <c r="G2" s="8">
        <v>45344</v>
      </c>
      <c r="H2" s="6">
        <v>13.18</v>
      </c>
      <c r="I2" s="6" cm="1">
        <f t="array" ref="I2">IFERROR(VALUE(TRIM(LEFT(E2,MIN(FIND({" ";"g";"k";"m";"o"},E2&amp;" gkmo"))-1))),0)</f>
        <v>100</v>
      </c>
      <c r="J2" s="6" t="str" cm="1">
        <f t="array" ref="J2">IFERROR(TRIM(MID(E2,MIN(FIND({" ";"g";"k";"m";"o"},E2&amp;" gkmo")),10)),"unknown")</f>
        <v>g</v>
      </c>
      <c r="K2" s="6" t="str">
        <f>IF(E2="","unknown",IF(OR(J2="g",LEFT(J2,1)="g"),"g",IF(OR(LEFT(J2,2)="kg",LEFT(J2,2)="ki"),"kg",IF(OR(LEFT(J2,2)="ml",LEFT(J2,1)="m"),"ml",IF(LEFT(J2,1)="l","l",IF(ISNUMBER(SEARCH("g",E2)),"g",IF(ISNUMBER(SEARCH("kg",E2)),"kg",IF(ISNUMBER(SEARCH("ml",E2)),"ml","unknown"))))))))</f>
        <v>g</v>
      </c>
      <c r="L2" s="6" t="str">
        <f>IF(D2="","Unknown",PROPER(TRIM(D2)))</f>
        <v>Perly</v>
      </c>
      <c r="M2" s="6" t="str">
        <f>IF(C2="Unknown","Unknown",PROPER(TRIM(C2)))</f>
        <v>Perly</v>
      </c>
      <c r="N2" s="6" t="str">
        <f>IF(F2="","Unknown",PROPER(TRIM(F2)))</f>
        <v>Morocco,United States</v>
      </c>
      <c r="P2">
        <f>COUNTIF($K$2:$K$3000,"g")</f>
        <v>2394</v>
      </c>
      <c r="Q2" t="s">
        <v>7027</v>
      </c>
    </row>
    <row r="3" spans="1:18" x14ac:dyDescent="0.25">
      <c r="A3" s="6" t="s">
        <v>12</v>
      </c>
      <c r="B3" s="6">
        <v>12550</v>
      </c>
      <c r="C3" s="6" t="s">
        <v>7565</v>
      </c>
      <c r="D3" s="7" t="s">
        <v>13</v>
      </c>
      <c r="E3" s="6" t="s">
        <v>14</v>
      </c>
      <c r="F3" s="6" t="s">
        <v>8426</v>
      </c>
      <c r="G3" s="8">
        <v>45609</v>
      </c>
      <c r="H3" s="6">
        <v>1.5</v>
      </c>
      <c r="I3" s="6" cm="1">
        <f t="array" ref="I3">IFERROR(VALUE(TRIM(LEFT(E3,MIN(FIND({" ";"g";"k";"m";"o"},E3&amp;" gkmo"))-1))),0)</f>
        <v>300</v>
      </c>
      <c r="J3" s="6" t="str" cm="1">
        <f t="array" ref="J3">IFERROR(TRIM(MID(E3,MIN(FIND({" ";"g";"k";"m";"o"},E3&amp;" gkmo")),10)),"unknown")</f>
        <v>g</v>
      </c>
      <c r="K3" s="6" t="str">
        <f t="shared" ref="K3:K66" si="0">IF(E3="","unknown",IF(OR(J3="g",LEFT(J3,1)="g"),"g",IF(OR(LEFT(J3,2)="kg",LEFT(J3,2)="ki"),"kg",IF(OR(LEFT(J3,2)="ml",LEFT(J3,1)="m"),"ml",IF(LEFT(J3,1)="l","l",IF(ISNUMBER(SEARCH("g",E3)),"g",IF(ISNUMBER(SEARCH("kg",E3)),"kg",IF(ISNUMBER(SEARCH("ml",E3)),"ml","unknown"))))))))</f>
        <v>g</v>
      </c>
      <c r="L3" s="6" t="str">
        <f t="shared" ref="L3:L66" si="1">IF(D3="","Unknown",PROPER(TRIM(D3)))</f>
        <v>Lu</v>
      </c>
      <c r="M3" s="6" t="str">
        <f t="shared" ref="M3:M66" si="2">IF(C3="Unknown","Unknown",PROPER(TRIM(C3)))</f>
        <v>Prince Goà»T Chocolat</v>
      </c>
      <c r="N3" s="6" t="str">
        <f t="shared" ref="N3:N66" si="3">IF(F3="","Unknown",PROPER(TRIM(F3)))</f>
        <v>Algeria,Belgium,France,French Polynesia,Germany,Guadeloupe,Hungary,Luxembourg,Martinique,Morocco,New Caledonia,Reunion,Spain,Switzerland,United States</v>
      </c>
      <c r="Q3">
        <f>COUNTBLANK($E$2:$E$3000)</f>
        <v>512</v>
      </c>
    </row>
    <row r="4" spans="1:18" x14ac:dyDescent="0.25">
      <c r="A4" s="6" t="s">
        <v>15</v>
      </c>
      <c r="B4" s="6">
        <v>6705</v>
      </c>
      <c r="C4" s="6" t="s">
        <v>16</v>
      </c>
      <c r="D4" s="7" t="s">
        <v>17</v>
      </c>
      <c r="E4" s="6" t="s">
        <v>18</v>
      </c>
      <c r="F4" s="6" t="s">
        <v>8383</v>
      </c>
      <c r="G4" s="8">
        <v>45690</v>
      </c>
      <c r="H4" s="6">
        <v>12.99</v>
      </c>
      <c r="I4" s="6" cm="1">
        <f t="array" ref="I4">IFERROR(VALUE(TRIM(LEFT(E4,MIN(FIND({" ";"g";"k";"m";"o"},E4&amp;" gkmo"))-1))),0)</f>
        <v>100</v>
      </c>
      <c r="J4" s="6" t="str" cm="1">
        <f t="array" ref="J4">IFERROR(TRIM(MID(E4,MIN(FIND({" ";"g";"k";"m";"o"},E4&amp;" gkmo")),10)),"unknown")</f>
        <v>g</v>
      </c>
      <c r="K4" s="6" t="str">
        <f t="shared" si="0"/>
        <v>g</v>
      </c>
      <c r="L4" s="6" t="str">
        <f t="shared" si="1"/>
        <v>Lindt Excellence,Lindt</v>
      </c>
      <c r="M4" s="6" t="str">
        <f t="shared" si="2"/>
        <v>Excellence Noir Prodigieux 90% Cacao</v>
      </c>
      <c r="N4" s="6" t="str">
        <f t="shared" si="3"/>
        <v>Algeria,Austria,Belgium,Bulgaria,Canadà¡,Repàºblica Checa,Finlandia,France,Polinesia Francesa,Germany,Irlanda,Italia,Mauricio,Marruecos,Paà­Ses Bajos,Noruega,Reunià³N,Rumania,Singapur,Espaà±A,Suecia,Switzerland,Tàºnez,United Kingdom</v>
      </c>
      <c r="P4" t="s">
        <v>7023</v>
      </c>
    </row>
    <row r="5" spans="1:18" x14ac:dyDescent="0.25">
      <c r="A5" s="6" t="s">
        <v>19</v>
      </c>
      <c r="B5" s="6">
        <v>8645</v>
      </c>
      <c r="C5" s="6" t="s">
        <v>20</v>
      </c>
      <c r="D5" s="7" t="s">
        <v>21</v>
      </c>
      <c r="E5" s="6" t="s">
        <v>22</v>
      </c>
      <c r="F5" s="6" t="s">
        <v>48</v>
      </c>
      <c r="G5" s="8">
        <v>45637</v>
      </c>
      <c r="H5" s="6">
        <v>14.82</v>
      </c>
      <c r="I5" s="6" cm="1">
        <f t="array" ref="I5">IFERROR(VALUE(TRIM(LEFT(E5,MIN(FIND({" ";"g";"k";"m";"o"},E5&amp;" gkmo"))-1))),0)</f>
        <v>22</v>
      </c>
      <c r="J5" s="6" t="str" cm="1">
        <f t="array" ref="J5">IFERROR(TRIM(MID(E5,MIN(FIND({" ";"g";"k";"m";"o"},E5&amp;" gkmo")),10)),"unknown")</f>
        <v>g</v>
      </c>
      <c r="K5" s="6" t="str">
        <f t="shared" si="0"/>
        <v>g</v>
      </c>
      <c r="L5" s="6" t="str">
        <f t="shared" si="1"/>
        <v>Ø¹Ø±Ø¨Ùš</v>
      </c>
      <c r="M5" s="6" t="str">
        <f t="shared" si="2"/>
        <v>Tonik</v>
      </c>
      <c r="N5" s="6" t="str">
        <f t="shared" si="3"/>
        <v>Morocco</v>
      </c>
      <c r="P5">
        <f>COUNTIF($K$2:$K$3000,"kg")</f>
        <v>12</v>
      </c>
    </row>
    <row r="6" spans="1:18" x14ac:dyDescent="0.25">
      <c r="A6" s="6" t="s">
        <v>23</v>
      </c>
      <c r="B6" s="6">
        <v>14430</v>
      </c>
      <c r="C6" s="6" t="s">
        <v>7029</v>
      </c>
      <c r="D6" s="7" t="s">
        <v>7030</v>
      </c>
      <c r="E6" s="6" t="s">
        <v>24</v>
      </c>
      <c r="F6" s="6" t="s">
        <v>7911</v>
      </c>
      <c r="G6" s="8">
        <v>45890</v>
      </c>
      <c r="H6" s="6">
        <v>18.399999999999999</v>
      </c>
      <c r="I6" s="6" cm="1">
        <f t="array" ref="I6">IFERROR(VALUE(TRIM(LEFT(E6,MIN(FIND({" ";"g";"k";"m";"o"},E6&amp;" gkmo"))-1))),0)</f>
        <v>230</v>
      </c>
      <c r="J6" s="6" t="str" cm="1">
        <f t="array" ref="J6">IFERROR(TRIM(MID(E6,MIN(FIND({" ";"g";"k";"m";"o"},E6&amp;" gkmo")),10)),"unknown")</f>
        <v>g</v>
      </c>
      <c r="K6" s="6" t="str">
        <f t="shared" si="0"/>
        <v>g</v>
      </c>
      <c r="L6" s="6" t="str">
        <f t="shared" si="1"/>
        <v>Gerblé</v>
      </c>
      <c r="M6" s="6" t="str">
        <f t="shared" si="2"/>
        <v>Sésame</v>
      </c>
      <c r="N6" s="6" t="str">
        <f t="shared" si="3"/>
        <v>Belgium, Bulgaria, France, Switzerland</v>
      </c>
    </row>
    <row r="7" spans="1:18" x14ac:dyDescent="0.25">
      <c r="A7" s="6" t="s">
        <v>25</v>
      </c>
      <c r="B7" s="6">
        <v>6760</v>
      </c>
      <c r="C7" s="6" t="s">
        <v>26</v>
      </c>
      <c r="D7" s="7" t="s">
        <v>27</v>
      </c>
      <c r="E7" s="6" t="s">
        <v>28</v>
      </c>
      <c r="F7" s="6" t="s">
        <v>29</v>
      </c>
      <c r="G7" s="8">
        <v>45543</v>
      </c>
      <c r="H7" s="6">
        <v>19.16</v>
      </c>
      <c r="I7" s="6" cm="1">
        <f t="array" ref="I7">IFERROR(VALUE(TRIM(LEFT(E7,MIN(FIND({" ";"g";"k";"m";"o"},E7&amp;" gkmo"))-1))),0)</f>
        <v>125</v>
      </c>
      <c r="J7" s="6" t="str" cm="1">
        <f t="array" ref="J7">IFERROR(TRIM(MID(E7,MIN(FIND({" ";"g";"k";"m";"o"},E7&amp;" gkmo")),10)),"unknown")</f>
        <v>g</v>
      </c>
      <c r="K7" s="6" t="str">
        <f t="shared" si="0"/>
        <v>g</v>
      </c>
      <c r="L7" s="6" t="str">
        <f t="shared" si="1"/>
        <v>J. D. Gross</v>
      </c>
      <c r="M7" s="6" t="str">
        <f t="shared" si="2"/>
        <v>Ð¨Ð¾Ðºð¾Ð»Ð°Ð´ 85% Ðºð°Ðºð°Ð¾Ð²Ð° Ð¼Ð°ÑÐ°</v>
      </c>
      <c r="N7" s="6" t="str">
        <f t="shared" si="3"/>
        <v>Austria,Belgium,Bulgaria,Estonia,Finland,France,Germany,Italy,Lithuania,Slovakia,Slovenia,Spain,United Kingdom</v>
      </c>
      <c r="P7" t="s">
        <v>7024</v>
      </c>
    </row>
    <row r="8" spans="1:18" x14ac:dyDescent="0.25">
      <c r="A8" s="6" t="s">
        <v>30</v>
      </c>
      <c r="B8" s="6">
        <v>8420</v>
      </c>
      <c r="C8" s="6" t="s">
        <v>31</v>
      </c>
      <c r="D8" s="7" t="s">
        <v>32</v>
      </c>
      <c r="E8" s="6" t="s">
        <v>33</v>
      </c>
      <c r="F8" s="6" t="s">
        <v>7566</v>
      </c>
      <c r="G8" s="8">
        <v>45575</v>
      </c>
      <c r="H8" s="6">
        <v>3.64</v>
      </c>
      <c r="I8" s="6" cm="1">
        <f t="array" ref="I8">IFERROR(VALUE(TRIM(LEFT(E8,MIN(FIND({" ";"g";"k";"m";"o"},E8&amp;" gkmo"))-1))),0)</f>
        <v>500</v>
      </c>
      <c r="J8" s="6" t="str" cm="1">
        <f t="array" ref="J8">IFERROR(TRIM(MID(E8,MIN(FIND({" ";"g";"k";"m";"o"},E8&amp;" gkmo")),10)),"unknown")</f>
        <v>ml</v>
      </c>
      <c r="K8" s="6" t="str">
        <f t="shared" si="0"/>
        <v>ml</v>
      </c>
      <c r="L8" s="6" t="str">
        <f t="shared" si="1"/>
        <v>Cristaline</v>
      </c>
      <c r="M8" s="6" t="str">
        <f t="shared" si="2"/>
        <v>Cristaline Eau De Source 0.5L</v>
      </c>
      <c r="N8" s="6" t="str">
        <f t="shared" si="3"/>
        <v>Belgium,Cà´Te D'Ivoire,France,Germany,Luxembourg,Mali,Martinique,Russia,Switzerland,United Kingdom</v>
      </c>
      <c r="P8">
        <f>COUNTIF($K$2:$K$3000,"ml")</f>
        <v>3</v>
      </c>
    </row>
    <row r="9" spans="1:18" x14ac:dyDescent="0.25">
      <c r="A9" s="6" t="s">
        <v>34</v>
      </c>
      <c r="B9" s="6">
        <v>9144</v>
      </c>
      <c r="C9" s="6" t="s">
        <v>35</v>
      </c>
      <c r="D9" s="7" t="s">
        <v>35</v>
      </c>
      <c r="E9" s="6" t="s">
        <v>36</v>
      </c>
      <c r="F9" s="6" t="s">
        <v>48</v>
      </c>
      <c r="G9" s="8">
        <v>45656</v>
      </c>
      <c r="H9" s="6">
        <v>17.59</v>
      </c>
      <c r="I9" s="6" cm="1">
        <f t="array" ref="I9">IFERROR(VALUE(TRIM(LEFT(E9,MIN(FIND({" ";"g";"k";"m";"o"},E9&amp;" gkmo"))-1))),0)</f>
        <v>42</v>
      </c>
      <c r="J9" s="6" t="str" cm="1">
        <f t="array" ref="J9">IFERROR(TRIM(MID(E9,MIN(FIND({" ";"g";"k";"m";"o"},E9&amp;" gkmo")),10)),"unknown")</f>
        <v>g</v>
      </c>
      <c r="K9" s="6" t="str">
        <f t="shared" si="0"/>
        <v>g</v>
      </c>
      <c r="L9" s="6" t="str">
        <f t="shared" si="1"/>
        <v>Henry'S</v>
      </c>
      <c r="M9" s="6" t="str">
        <f t="shared" si="2"/>
        <v>Henry'S</v>
      </c>
      <c r="N9" s="6" t="str">
        <f t="shared" si="3"/>
        <v>Morocco</v>
      </c>
    </row>
    <row r="10" spans="1:18" x14ac:dyDescent="0.25">
      <c r="A10" s="6" t="s">
        <v>37</v>
      </c>
      <c r="B10" s="6">
        <v>10397</v>
      </c>
      <c r="C10" s="6" t="s">
        <v>38</v>
      </c>
      <c r="D10" s="7" t="s">
        <v>7017</v>
      </c>
      <c r="E10" s="6" t="s">
        <v>39</v>
      </c>
      <c r="F10" s="6" t="s">
        <v>40</v>
      </c>
      <c r="G10" s="8">
        <v>45508</v>
      </c>
      <c r="H10" s="6">
        <v>11.08</v>
      </c>
      <c r="I10" s="6" cm="1">
        <f t="array" ref="I10">IFERROR(VALUE(TRIM(LEFT(E10,MIN(FIND({" ";"g";"k";"m";"o"},E10&amp;" gkmo"))-1))),0)</f>
        <v>150</v>
      </c>
      <c r="J10" s="6" t="str" cm="1">
        <f t="array" ref="J10">IFERROR(TRIM(MID(E10,MIN(FIND({" ";"g";"k";"m";"o"},E10&amp;" gkmo")),10)),"unknown")</f>
        <v>g</v>
      </c>
      <c r="K10" s="6" t="str">
        <f t="shared" si="0"/>
        <v>g</v>
      </c>
      <c r="L10" s="6" t="str">
        <f t="shared" si="1"/>
        <v>Unknown</v>
      </c>
      <c r="M10" s="6" t="str">
        <f t="shared" si="2"/>
        <v>Milk Chocolate Bar</v>
      </c>
      <c r="N10" s="6" t="str">
        <f t="shared" si="3"/>
        <v>Algeria,Cameroon,France,Morocco,Spain</v>
      </c>
      <c r="P10" t="s">
        <v>7025</v>
      </c>
    </row>
    <row r="11" spans="1:18" x14ac:dyDescent="0.25">
      <c r="A11" s="6" t="s">
        <v>41</v>
      </c>
      <c r="B11" s="6">
        <v>13888</v>
      </c>
      <c r="C11" s="6" t="s">
        <v>42</v>
      </c>
      <c r="D11" s="7" t="s">
        <v>43</v>
      </c>
      <c r="E11" s="6" t="s">
        <v>44</v>
      </c>
      <c r="F11" s="6" t="s">
        <v>8364</v>
      </c>
      <c r="G11" s="8">
        <v>45945</v>
      </c>
      <c r="H11" s="6">
        <v>12.14</v>
      </c>
      <c r="I11" s="6" cm="1">
        <f t="array" ref="I11">IFERROR(VALUE(TRIM(LEFT(E11,MIN(FIND({" ";"g";"k";"m";"o"},E11&amp;" gkmo"))-1))),0)</f>
        <v>90</v>
      </c>
      <c r="J11" s="6" t="str" cm="1">
        <f t="array" ref="J11">IFERROR(TRIM(MID(E11,MIN(FIND({" ";"g";"k";"m";"o"},E11&amp;" gkmo")),10)),"unknown")</f>
        <v>g</v>
      </c>
      <c r="K11" s="6" t="str">
        <f t="shared" si="0"/>
        <v>g</v>
      </c>
      <c r="L11" s="6" t="str">
        <f t="shared" si="1"/>
        <v>Green &amp; Black'S</v>
      </c>
      <c r="M11" s="6" t="str">
        <f t="shared" si="2"/>
        <v>Organic 70% Dark Chocolate Bar</v>
      </c>
      <c r="N11" s="6" t="str">
        <f t="shared" si="3"/>
        <v>France,Irlande,Suède,United Kingdom</v>
      </c>
      <c r="P11">
        <f>COUNTIF($K$2:$K$3000,"l")</f>
        <v>1</v>
      </c>
    </row>
    <row r="12" spans="1:18" x14ac:dyDescent="0.25">
      <c r="A12" s="6" t="s">
        <v>45</v>
      </c>
      <c r="B12" s="6">
        <v>8397</v>
      </c>
      <c r="C12" s="6" t="s">
        <v>46</v>
      </c>
      <c r="D12" s="7" t="s">
        <v>47</v>
      </c>
      <c r="E12" s="6"/>
      <c r="F12" s="6" t="s">
        <v>48</v>
      </c>
      <c r="G12" s="8">
        <v>45802</v>
      </c>
      <c r="H12" s="6">
        <v>19.739999999999998</v>
      </c>
      <c r="I12" s="6" cm="1">
        <f t="array" ref="I12">IFERROR(VALUE(TRIM(LEFT(E12,MIN(FIND({" ";"g";"k";"m";"o"},E12&amp;" gkmo"))-1))),0)</f>
        <v>0</v>
      </c>
      <c r="J12" s="6" t="str" cm="1">
        <f t="array" ref="J12">IFERROR(TRIM(MID(E12,MIN(FIND({" ";"g";"k";"m";"o"},E12&amp;" gkmo")),10)),"unknown")</f>
        <v/>
      </c>
      <c r="K12" s="6" t="str">
        <f t="shared" si="0"/>
        <v>unknown</v>
      </c>
      <c r="L12" s="6" t="str">
        <f t="shared" si="1"/>
        <v>Excelo</v>
      </c>
      <c r="M12" s="6" t="str">
        <f t="shared" si="2"/>
        <v>King Cookies</v>
      </c>
      <c r="N12" s="6" t="str">
        <f t="shared" si="3"/>
        <v>Morocco</v>
      </c>
    </row>
    <row r="13" spans="1:18" x14ac:dyDescent="0.25">
      <c r="A13" s="6" t="s">
        <v>49</v>
      </c>
      <c r="B13" s="6">
        <v>6325</v>
      </c>
      <c r="C13" s="6" t="s">
        <v>50</v>
      </c>
      <c r="D13" s="7" t="s">
        <v>7017</v>
      </c>
      <c r="E13" s="6" t="s">
        <v>36</v>
      </c>
      <c r="F13" s="6" t="s">
        <v>48</v>
      </c>
      <c r="G13" s="8">
        <v>45475</v>
      </c>
      <c r="H13" s="6">
        <v>2.64</v>
      </c>
      <c r="I13" s="6" cm="1">
        <f t="array" ref="I13">IFERROR(VALUE(TRIM(LEFT(E13,MIN(FIND({" ";"g";"k";"m";"o"},E13&amp;" gkmo"))-1))),0)</f>
        <v>42</v>
      </c>
      <c r="J13" s="6" t="str" cm="1">
        <f t="array" ref="J13">IFERROR(TRIM(MID(E13,MIN(FIND({" ";"g";"k";"m";"o"},E13&amp;" gkmo")),10)),"unknown")</f>
        <v>g</v>
      </c>
      <c r="K13" s="6" t="str">
        <f t="shared" si="0"/>
        <v>g</v>
      </c>
      <c r="L13" s="6" t="str">
        <f t="shared" si="1"/>
        <v>Unknown</v>
      </c>
      <c r="M13" s="6" t="str">
        <f t="shared" si="2"/>
        <v>Sable Coco Henry S 42G</v>
      </c>
      <c r="N13" s="6" t="str">
        <f t="shared" si="3"/>
        <v>Morocco</v>
      </c>
    </row>
    <row r="14" spans="1:18" x14ac:dyDescent="0.25">
      <c r="A14" s="6" t="s">
        <v>51</v>
      </c>
      <c r="B14" s="6">
        <v>8672</v>
      </c>
      <c r="C14" s="6" t="s">
        <v>7906</v>
      </c>
      <c r="D14" s="7" t="s">
        <v>52</v>
      </c>
      <c r="E14" s="6" t="s">
        <v>53</v>
      </c>
      <c r="F14" s="6" t="s">
        <v>8351</v>
      </c>
      <c r="G14" s="8">
        <v>45637</v>
      </c>
      <c r="H14" s="6">
        <v>10.57</v>
      </c>
      <c r="I14" s="6" cm="1">
        <f t="array" ref="I14">IFERROR(VALUE(TRIM(LEFT(E14,MIN(FIND({" ";"g";"k";"m";"o"},E14&amp;" gkmo"))-1))),0)</f>
        <v>304</v>
      </c>
      <c r="J14" s="6" t="str" cm="1">
        <f t="array" ref="J14">IFERROR(TRIM(MID(E14,MIN(FIND({" ";"g";"k";"m";"o"},E14&amp;" gkmo")),10)),"unknown")</f>
        <v>g</v>
      </c>
      <c r="K14" s="6" t="str">
        <f t="shared" si="0"/>
        <v>g</v>
      </c>
      <c r="L14" s="6" t="str">
        <f t="shared" si="1"/>
        <v>Nutella,Ferrero</v>
      </c>
      <c r="M14" s="6" t="str">
        <f t="shared" si="2"/>
        <v>Biscuits Croquants Au Coeur Onctueux De Nutella</v>
      </c>
      <c r="N14" s="6" t="str">
        <f t="shared" si="3"/>
        <v>France,Germany,Italia,Marruecos,Portugal,Rumania,Espaà±A,Switzerland</v>
      </c>
      <c r="P14" t="s">
        <v>7026</v>
      </c>
    </row>
    <row r="15" spans="1:18" x14ac:dyDescent="0.25">
      <c r="A15" s="6" t="s">
        <v>54</v>
      </c>
      <c r="B15" s="6">
        <v>13720</v>
      </c>
      <c r="C15" s="6" t="s">
        <v>55</v>
      </c>
      <c r="D15" s="7" t="s">
        <v>56</v>
      </c>
      <c r="E15" s="6" t="s">
        <v>57</v>
      </c>
      <c r="F15" s="6" t="s">
        <v>7912</v>
      </c>
      <c r="G15" s="8">
        <v>45642</v>
      </c>
      <c r="H15" s="6">
        <v>6.25</v>
      </c>
      <c r="I15" s="6" cm="1">
        <f t="array" ref="I15">IFERROR(VALUE(TRIM(LEFT(E15,MIN(FIND({" ";"g";"k";"m";"o"},E15&amp;" gkmo"))-1))),0)</f>
        <v>275</v>
      </c>
      <c r="J15" s="6" t="str" cm="1">
        <f t="array" ref="J15">IFERROR(TRIM(MID(E15,MIN(FIND({" ";"g";"k";"m";"o"},E15&amp;" gkmo")),10)),"unknown")</f>
        <v>g</v>
      </c>
      <c r="K15" s="6" t="str">
        <f t="shared" si="0"/>
        <v>g</v>
      </c>
      <c r="L15" s="6" t="str">
        <f t="shared" si="1"/>
        <v>Wasa</v>
      </c>
      <c r="M15" s="6" t="str">
        <f t="shared" si="2"/>
        <v>Tartine Croustillante Authentique</v>
      </c>
      <c r="N15" s="6" t="str">
        <f t="shared" si="3"/>
        <v>France, Italy, Spain, Switzerland, Reunion</v>
      </c>
      <c r="P15">
        <f>COUNTIF($K$2:$K$3000,"unknown")</f>
        <v>589</v>
      </c>
      <c r="Q15">
        <f>COUNTIF($L$2:$L$3000,"unknown")</f>
        <v>333</v>
      </c>
      <c r="R15">
        <f>COUNTIF($M$2:$M$3000,"Unknown")</f>
        <v>96</v>
      </c>
    </row>
    <row r="16" spans="1:18" x14ac:dyDescent="0.25">
      <c r="A16" s="6" t="s">
        <v>58</v>
      </c>
      <c r="B16" s="6">
        <v>6250</v>
      </c>
      <c r="C16" s="6" t="s">
        <v>59</v>
      </c>
      <c r="D16" s="7" t="s">
        <v>60</v>
      </c>
      <c r="E16" s="6" t="s">
        <v>10</v>
      </c>
      <c r="F16" s="6" t="s">
        <v>8427</v>
      </c>
      <c r="G16" s="8">
        <v>45591</v>
      </c>
      <c r="H16" s="6">
        <v>1.25</v>
      </c>
      <c r="I16" s="6" cm="1">
        <f t="array" ref="I16">IFERROR(VALUE(TRIM(LEFT(E16,MIN(FIND({" ";"g";"k";"m";"o"},E16&amp;" gkmo"))-1))),0)</f>
        <v>100</v>
      </c>
      <c r="J16" s="6" t="str" cm="1">
        <f t="array" ref="J16">IFERROR(TRIM(MID(E16,MIN(FIND({" ";"g";"k";"m";"o"},E16&amp;" gkmo")),10)),"unknown")</f>
        <v>g</v>
      </c>
      <c r="K16" s="6" t="str">
        <f t="shared" si="0"/>
        <v>g</v>
      </c>
      <c r="L16" s="6" t="str">
        <f t="shared" si="1"/>
        <v>Lindt</v>
      </c>
      <c r="M16" s="6" t="str">
        <f t="shared" si="2"/>
        <v>Excellence Noir Intense 70% Cacao</v>
      </c>
      <c r="N16" s="6" t="str">
        <f t="shared" si="3"/>
        <v>Algeria,Belgium,République Tchèque,France,Germany,Guadeloupe,Italie,Morocco,La Reunion,Spain,Switzerland</v>
      </c>
    </row>
    <row r="17" spans="1:14" x14ac:dyDescent="0.25">
      <c r="A17" s="6" t="s">
        <v>61</v>
      </c>
      <c r="B17" s="6">
        <v>12696</v>
      </c>
      <c r="C17" s="6" t="s">
        <v>62</v>
      </c>
      <c r="D17" s="7" t="s">
        <v>63</v>
      </c>
      <c r="E17" s="6" t="s">
        <v>64</v>
      </c>
      <c r="F17" s="6" t="s">
        <v>65</v>
      </c>
      <c r="G17" s="8">
        <v>45551</v>
      </c>
      <c r="H17" s="6">
        <v>1.84</v>
      </c>
      <c r="I17" s="6" cm="1">
        <f t="array" ref="I17">IFERROR(VALUE(TRIM(LEFT(E17,MIN(FIND({" ";"g";"k";"m";"o"},E17&amp;" gkmo"))-1))),0)</f>
        <v>150</v>
      </c>
      <c r="J17" s="6" t="str" cm="1">
        <f t="array" ref="J17">IFERROR(TRIM(MID(E17,MIN(FIND({" ";"g";"k";"m";"o"},E17&amp;" gkmo")),10)),"unknown")</f>
        <v>g</v>
      </c>
      <c r="K17" s="6" t="str">
        <f t="shared" si="0"/>
        <v>g</v>
      </c>
      <c r="L17" s="6" t="str">
        <f t="shared" si="1"/>
        <v>Tyrrell'S</v>
      </c>
      <c r="M17" s="6" t="str">
        <f t="shared" si="2"/>
        <v>Lightly Sea Salted Crisps</v>
      </c>
      <c r="N17" s="6" t="str">
        <f t="shared" si="3"/>
        <v>France,Germany,Spain,United Kingdom</v>
      </c>
    </row>
    <row r="18" spans="1:14" x14ac:dyDescent="0.25">
      <c r="A18" s="6" t="s">
        <v>66</v>
      </c>
      <c r="B18" s="6">
        <v>6000</v>
      </c>
      <c r="C18" s="6" t="s">
        <v>67</v>
      </c>
      <c r="D18" s="7" t="s">
        <v>68</v>
      </c>
      <c r="E18" s="6" t="s">
        <v>44</v>
      </c>
      <c r="F18" s="6" t="s">
        <v>7913</v>
      </c>
      <c r="G18" s="8">
        <v>45911</v>
      </c>
      <c r="H18" s="6">
        <v>19.170000000000002</v>
      </c>
      <c r="I18" s="6" cm="1">
        <f t="array" ref="I18">IFERROR(VALUE(TRIM(LEFT(E18,MIN(FIND({" ";"g";"k";"m";"o"},E18&amp;" gkmo"))-1))),0)</f>
        <v>90</v>
      </c>
      <c r="J18" s="6" t="str" cm="1">
        <f t="array" ref="J18">IFERROR(TRIM(MID(E18,MIN(FIND({" ";"g";"k";"m";"o"},E18&amp;" gkmo")),10)),"unknown")</f>
        <v>g</v>
      </c>
      <c r="K18" s="6" t="str">
        <f t="shared" si="0"/>
        <v>g</v>
      </c>
      <c r="L18" s="6" t="str">
        <f t="shared" si="1"/>
        <v>Green And Black</v>
      </c>
      <c r="M18" s="6" t="str">
        <f t="shared" si="2"/>
        <v>Dark Chocolate</v>
      </c>
      <c r="N18" s="6" t="str">
        <f t="shared" si="3"/>
        <v>Belgium, France, United Kingdom, Ireland</v>
      </c>
    </row>
    <row r="19" spans="1:14" x14ac:dyDescent="0.25">
      <c r="A19" s="6" t="s">
        <v>69</v>
      </c>
      <c r="B19" s="6">
        <v>10724</v>
      </c>
      <c r="C19" s="6" t="s">
        <v>70</v>
      </c>
      <c r="D19" s="7" t="s">
        <v>60</v>
      </c>
      <c r="E19" s="6" t="s">
        <v>18</v>
      </c>
      <c r="F19" s="6" t="s">
        <v>8428</v>
      </c>
      <c r="G19" s="8">
        <v>45635</v>
      </c>
      <c r="H19" s="6">
        <v>14</v>
      </c>
      <c r="I19" s="6" cm="1">
        <f t="array" ref="I19">IFERROR(VALUE(TRIM(LEFT(E19,MIN(FIND({" ";"g";"k";"m";"o"},E19&amp;" gkmo"))-1))),0)</f>
        <v>100</v>
      </c>
      <c r="J19" s="6" t="str" cm="1">
        <f t="array" ref="J19">IFERROR(TRIM(MID(E19,MIN(FIND({" ";"g";"k";"m";"o"},E19&amp;" gkmo")),10)),"unknown")</f>
        <v>g</v>
      </c>
      <c r="K19" s="6" t="str">
        <f t="shared" si="0"/>
        <v>g</v>
      </c>
      <c r="L19" s="6" t="str">
        <f t="shared" si="1"/>
        <v>Lindt</v>
      </c>
      <c r="M19" s="6" t="str">
        <f t="shared" si="2"/>
        <v>Excellence Noir Puissant 85% Cacao</v>
      </c>
      <c r="N19" s="6" t="str">
        <f t="shared" si="3"/>
        <v>Autriche,Belgium,France,Germany,Italie,Morocco,Netherlands,La Reunion,Spain,Switzerland</v>
      </c>
    </row>
    <row r="20" spans="1:14" x14ac:dyDescent="0.25">
      <c r="A20" s="6" t="s">
        <v>71</v>
      </c>
      <c r="B20" s="6">
        <v>14542</v>
      </c>
      <c r="C20" s="6" t="s">
        <v>7031</v>
      </c>
      <c r="D20" s="7" t="s">
        <v>72</v>
      </c>
      <c r="E20" s="6" t="s">
        <v>73</v>
      </c>
      <c r="F20" s="6" t="s">
        <v>74</v>
      </c>
      <c r="G20" s="8">
        <v>45516</v>
      </c>
      <c r="H20" s="6">
        <v>22.91</v>
      </c>
      <c r="I20" s="6" cm="1">
        <f t="array" ref="I20">IFERROR(VALUE(TRIM(LEFT(E20,MIN(FIND({" ";"g";"k";"m";"o"},E20&amp;" gkmo"))-1))),0)</f>
        <v>225</v>
      </c>
      <c r="J20" s="6" t="str" cm="1">
        <f t="array" ref="J20">IFERROR(TRIM(MID(E20,MIN(FIND({" ";"g";"k";"m";"o"},E20&amp;" gkmo")),10)),"unknown")</f>
        <v>g</v>
      </c>
      <c r="K20" s="6" t="str">
        <f t="shared" si="0"/>
        <v>g</v>
      </c>
      <c r="L20" s="6" t="str">
        <f t="shared" si="1"/>
        <v>Bjorg</v>
      </c>
      <c r="M20" s="6" t="str">
        <f t="shared" si="2"/>
        <v>Fourrés Chocolat Noir</v>
      </c>
      <c r="N20" s="6" t="str">
        <f t="shared" si="3"/>
        <v>France,Luxembourg,Switzerland</v>
      </c>
    </row>
    <row r="21" spans="1:14" x14ac:dyDescent="0.25">
      <c r="A21" s="6" t="s">
        <v>75</v>
      </c>
      <c r="B21" s="6">
        <v>6965</v>
      </c>
      <c r="C21" s="6" t="s">
        <v>76</v>
      </c>
      <c r="D21" s="7" t="s">
        <v>7523</v>
      </c>
      <c r="E21" s="6" t="s">
        <v>77</v>
      </c>
      <c r="F21" s="6" t="s">
        <v>78</v>
      </c>
      <c r="G21" s="8">
        <v>45803</v>
      </c>
      <c r="H21" s="6">
        <v>23.07</v>
      </c>
      <c r="I21" s="6" cm="1">
        <f t="array" ref="I21">IFERROR(VALUE(TRIM(LEFT(E21,MIN(FIND({" ";"g";"k";"m";"o"},E21&amp;" gkmo"))-1))),0)</f>
        <v>100</v>
      </c>
      <c r="J21" s="6" t="str" cm="1">
        <f t="array" ref="J21">IFERROR(TRIM(MID(E21,MIN(FIND({" ";"g";"k";"m";"o"},E21&amp;" gkmo")),10)),"unknown")</f>
        <v>gram</v>
      </c>
      <c r="K21" s="6" t="str">
        <f t="shared" si="0"/>
        <v>g</v>
      </c>
      <c r="L21" s="6" t="str">
        <f t="shared" si="1"/>
        <v>Fin Carré</v>
      </c>
      <c r="M21" s="6" t="str">
        <f t="shared" si="2"/>
        <v>Extra Dark 74% Cocoa</v>
      </c>
      <c r="N21" s="6" t="str">
        <f t="shared" si="3"/>
        <v>Belgium,Bulgaria,Czech Republic,Finland,Germany,Netherlands,Poland,Spain</v>
      </c>
    </row>
    <row r="22" spans="1:14" x14ac:dyDescent="0.25">
      <c r="A22" s="6" t="s">
        <v>79</v>
      </c>
      <c r="B22" s="6">
        <v>13302</v>
      </c>
      <c r="C22" s="6" t="s">
        <v>80</v>
      </c>
      <c r="D22" s="7" t="s">
        <v>81</v>
      </c>
      <c r="E22" s="6" t="s">
        <v>82</v>
      </c>
      <c r="F22" s="6" t="s">
        <v>8429</v>
      </c>
      <c r="G22" s="8">
        <v>45735</v>
      </c>
      <c r="H22" s="6">
        <v>6.57</v>
      </c>
      <c r="I22" s="6" cm="1">
        <f t="array" ref="I22">IFERROR(VALUE(TRIM(LEFT(E22,MIN(FIND({" ";"g";"k";"m";"o"},E22&amp;" gkmo"))-1))),0)</f>
        <v>230</v>
      </c>
      <c r="J22" s="6" t="str" cm="1">
        <f t="array" ref="J22">IFERROR(TRIM(MID(E22,MIN(FIND({" ";"g";"k";"m";"o"},E22&amp;" gkmo")),10)),"unknown")</f>
        <v>g</v>
      </c>
      <c r="K22" s="6" t="str">
        <f t="shared" si="0"/>
        <v>g</v>
      </c>
      <c r="L22" s="6" t="str">
        <f t="shared" si="1"/>
        <v>Wasa</v>
      </c>
      <c r="M22" s="6" t="str">
        <f t="shared" si="2"/>
        <v>Fibres</v>
      </c>
      <c r="N22" s="6" t="str">
        <f t="shared" si="3"/>
        <v>Belgium,France,Guadeloupe,Italie,La Reunion,Spain,Switzerland</v>
      </c>
    </row>
    <row r="23" spans="1:14" x14ac:dyDescent="0.25">
      <c r="A23" s="6" t="s">
        <v>83</v>
      </c>
      <c r="B23" s="6">
        <v>14120</v>
      </c>
      <c r="C23" s="6" t="s">
        <v>35</v>
      </c>
      <c r="D23" s="7" t="s">
        <v>35</v>
      </c>
      <c r="E23" s="6" t="s">
        <v>84</v>
      </c>
      <c r="F23" s="6" t="s">
        <v>48</v>
      </c>
      <c r="G23" s="8">
        <v>45475</v>
      </c>
      <c r="H23" s="6">
        <v>4.3099999999999996</v>
      </c>
      <c r="I23" s="6" cm="1">
        <f t="array" ref="I23">IFERROR(VALUE(TRIM(LEFT(E23,MIN(FIND({" ";"g";"k";"m";"o"},E23&amp;" gkmo"))-1))),0)</f>
        <v>85</v>
      </c>
      <c r="J23" s="6" t="str" cm="1">
        <f t="array" ref="J23">IFERROR(TRIM(MID(E23,MIN(FIND({" ";"g";"k";"m";"o"},E23&amp;" gkmo")),10)),"unknown")</f>
        <v>g</v>
      </c>
      <c r="K23" s="6" t="str">
        <f t="shared" si="0"/>
        <v>g</v>
      </c>
      <c r="L23" s="6" t="str">
        <f t="shared" si="1"/>
        <v>Henry'S</v>
      </c>
      <c r="M23" s="6" t="str">
        <f t="shared" si="2"/>
        <v>Henry'S</v>
      </c>
      <c r="N23" s="6" t="str">
        <f t="shared" si="3"/>
        <v>Morocco</v>
      </c>
    </row>
    <row r="24" spans="1:14" x14ac:dyDescent="0.25">
      <c r="A24" s="6" t="s">
        <v>85</v>
      </c>
      <c r="B24" s="6">
        <v>6135</v>
      </c>
      <c r="C24" s="6" t="s">
        <v>86</v>
      </c>
      <c r="D24" s="7" t="s">
        <v>47</v>
      </c>
      <c r="E24" s="6" t="s">
        <v>87</v>
      </c>
      <c r="F24" s="6" t="s">
        <v>48</v>
      </c>
      <c r="G24" s="8">
        <v>45595</v>
      </c>
      <c r="H24" s="6">
        <v>22.96</v>
      </c>
      <c r="I24" s="6" cm="1">
        <f t="array" ref="I24">IFERROR(VALUE(TRIM(LEFT(E24,MIN(FIND({" ";"g";"k";"m";"o"},E24&amp;" gkmo"))-1))),0)</f>
        <v>36</v>
      </c>
      <c r="J24" s="6" t="str" cm="1">
        <f t="array" ref="J24">IFERROR(TRIM(MID(E24,MIN(FIND({" ";"g";"k";"m";"o"},E24&amp;" gkmo")),10)),"unknown")</f>
        <v>g</v>
      </c>
      <c r="K24" s="6" t="str">
        <f t="shared" si="0"/>
        <v>g</v>
      </c>
      <c r="L24" s="6" t="str">
        <f t="shared" si="1"/>
        <v>Excelo</v>
      </c>
      <c r="M24" s="6" t="str">
        <f t="shared" si="2"/>
        <v>Momo Black</v>
      </c>
      <c r="N24" s="6" t="str">
        <f t="shared" si="3"/>
        <v>Morocco</v>
      </c>
    </row>
    <row r="25" spans="1:14" x14ac:dyDescent="0.25">
      <c r="A25" s="6" t="s">
        <v>88</v>
      </c>
      <c r="B25" s="6">
        <v>12257</v>
      </c>
      <c r="C25" s="6" t="s">
        <v>89</v>
      </c>
      <c r="D25" s="7" t="s">
        <v>90</v>
      </c>
      <c r="E25" s="6" t="s">
        <v>18</v>
      </c>
      <c r="F25" s="6" t="s">
        <v>8352</v>
      </c>
      <c r="G25" s="8">
        <v>46041</v>
      </c>
      <c r="H25" s="6">
        <v>13.16</v>
      </c>
      <c r="I25" s="6" cm="1">
        <f t="array" ref="I25">IFERROR(VALUE(TRIM(LEFT(E25,MIN(FIND({" ";"g";"k";"m";"o"},E25&amp;" gkmo"))-1))),0)</f>
        <v>100</v>
      </c>
      <c r="J25" s="6" t="str" cm="1">
        <f t="array" ref="J25">IFERROR(TRIM(MID(E25,MIN(FIND({" ";"g";"k";"m";"o"},E25&amp;" gkmo")),10)),"unknown")</f>
        <v>g</v>
      </c>
      <c r="K25" s="6" t="str">
        <f t="shared" si="0"/>
        <v>g</v>
      </c>
      <c r="L25" s="6" t="str">
        <f t="shared" si="1"/>
        <v>Mondelä“Z,Tuc</v>
      </c>
      <c r="M25" s="6" t="str">
        <f t="shared" si="2"/>
        <v>Tuc Original</v>
      </c>
      <c r="N25" s="6" t="str">
        <f t="shared" si="3"/>
        <v>Austria,Belgium,Dinamarca,Estonia,Finlandia,France,Germany,Italia,Luxemburgo,Malta,Marruecos,Paà­Ses Bajos,Portugal,Espaà±A,Suecia,Switzerland</v>
      </c>
    </row>
    <row r="26" spans="1:14" x14ac:dyDescent="0.25">
      <c r="A26" s="6" t="s">
        <v>91</v>
      </c>
      <c r="B26" s="6">
        <v>7944</v>
      </c>
      <c r="C26" s="6" t="s">
        <v>92</v>
      </c>
      <c r="D26" s="7" t="s">
        <v>7567</v>
      </c>
      <c r="E26" s="6" t="s">
        <v>10</v>
      </c>
      <c r="F26" s="6" t="s">
        <v>8413</v>
      </c>
      <c r="G26" s="8">
        <v>45364</v>
      </c>
      <c r="H26" s="6">
        <v>12.4</v>
      </c>
      <c r="I26" s="6" cm="1">
        <f t="array" ref="I26">IFERROR(VALUE(TRIM(LEFT(E26,MIN(FIND({" ";"g";"k";"m";"o"},E26&amp;" gkmo"))-1))),0)</f>
        <v>100</v>
      </c>
      <c r="J26" s="6" t="str" cm="1">
        <f t="array" ref="J26">IFERROR(TRIM(MID(E26,MIN(FIND({" ";"g";"k";"m";"o"},E26&amp;" gkmo")),10)),"unknown")</f>
        <v>g</v>
      </c>
      <c r="K26" s="6" t="str">
        <f t="shared" si="0"/>
        <v>g</v>
      </c>
      <c r="L26" s="6" t="str">
        <f t="shared" si="1"/>
        <v>Lindt &amp; Sprà¼Ngli,Lindt</v>
      </c>
      <c r="M26" s="6" t="str">
        <f t="shared" si="2"/>
        <v>Extra Fine Dark Chocolate</v>
      </c>
      <c r="N26" s="6" t="str">
        <f t="shared" si="3"/>
        <v>Australie,Belgium,Canada,République Tchèque,Danemark,Estonie,France,Germany,Hongrie,Irlande,Italie,Liban,Morocco,Netherlands,Portugal,Serbie,Spain,Switzerland,United Kingdom</v>
      </c>
    </row>
    <row r="27" spans="1:14" x14ac:dyDescent="0.25">
      <c r="A27" s="6" t="s">
        <v>93</v>
      </c>
      <c r="B27" s="6">
        <v>8248</v>
      </c>
      <c r="C27" s="6" t="s">
        <v>94</v>
      </c>
      <c r="D27" s="7" t="s">
        <v>95</v>
      </c>
      <c r="E27" s="6">
        <v>52</v>
      </c>
      <c r="F27" s="6" t="s">
        <v>48</v>
      </c>
      <c r="G27" s="8">
        <v>45977</v>
      </c>
      <c r="H27" s="6">
        <v>18.93</v>
      </c>
      <c r="I27" s="6" cm="1">
        <f t="array" ref="I27">IFERROR(VALUE(TRIM(LEFT(E27,MIN(FIND({" ";"g";"k";"m";"o"},E27&amp;" gkmo"))-1))),0)</f>
        <v>52</v>
      </c>
      <c r="J27" s="6" t="str" cm="1">
        <f t="array" ref="J27">IFERROR(TRIM(MID(E27,MIN(FIND({" ";"g";"k";"m";"o"},E27&amp;" gkmo")),10)),"unknown")</f>
        <v/>
      </c>
      <c r="K27" s="6" t="str">
        <f t="shared" si="0"/>
        <v>unknown</v>
      </c>
      <c r="L27" s="6" t="str">
        <f t="shared" si="1"/>
        <v>Excelo</v>
      </c>
      <c r="M27" s="6" t="str">
        <f t="shared" si="2"/>
        <v>Eyoo Cover</v>
      </c>
      <c r="N27" s="6" t="str">
        <f t="shared" si="3"/>
        <v>Morocco</v>
      </c>
    </row>
    <row r="28" spans="1:14" x14ac:dyDescent="0.25">
      <c r="A28" s="6" t="s">
        <v>96</v>
      </c>
      <c r="B28" s="6">
        <v>12134</v>
      </c>
      <c r="C28" s="6" t="s">
        <v>97</v>
      </c>
      <c r="D28" s="7" t="s">
        <v>98</v>
      </c>
      <c r="E28" s="6" t="s">
        <v>99</v>
      </c>
      <c r="F28" s="6" t="s">
        <v>100</v>
      </c>
      <c r="G28" s="8">
        <v>46000</v>
      </c>
      <c r="H28" s="6">
        <v>9.41</v>
      </c>
      <c r="I28" s="6" cm="1">
        <f t="array" ref="I28">IFERROR(VALUE(TRIM(LEFT(E28,MIN(FIND({" ";"g";"k";"m";"o"},E28&amp;" gkmo"))-1))),0)</f>
        <v>160</v>
      </c>
      <c r="J28" s="6" t="str" cm="1">
        <f t="array" ref="J28">IFERROR(TRIM(MID(E28,MIN(FIND({" ";"g";"k";"m";"o"},E28&amp;" gkmo")),10)),"unknown")</f>
        <v>g</v>
      </c>
      <c r="K28" s="6" t="str">
        <f t="shared" si="0"/>
        <v>g</v>
      </c>
      <c r="L28" s="6" t="str">
        <f t="shared" si="1"/>
        <v>Ekibio,Le Pain Des Fleurs</v>
      </c>
      <c r="M28" s="6" t="str">
        <f t="shared" si="2"/>
        <v>Tartines Craquantes Au Sarrasin Imp</v>
      </c>
      <c r="N28" s="6" t="str">
        <f t="shared" si="3"/>
        <v>Belgium,France,Luxembourg,Netherlands,Senegal,Switzerland</v>
      </c>
    </row>
    <row r="29" spans="1:14" x14ac:dyDescent="0.25">
      <c r="A29" s="6" t="s">
        <v>101</v>
      </c>
      <c r="B29" s="6">
        <v>14038</v>
      </c>
      <c r="C29" s="6" t="s">
        <v>102</v>
      </c>
      <c r="D29" s="7" t="s">
        <v>7030</v>
      </c>
      <c r="E29" s="6" t="s">
        <v>82</v>
      </c>
      <c r="F29" s="6" t="s">
        <v>8430</v>
      </c>
      <c r="G29" s="8">
        <v>45808</v>
      </c>
      <c r="H29" s="6">
        <v>15.63</v>
      </c>
      <c r="I29" s="6" cm="1">
        <f t="array" ref="I29">IFERROR(VALUE(TRIM(LEFT(E29,MIN(FIND({" ";"g";"k";"m";"o"},E29&amp;" gkmo"))-1))),0)</f>
        <v>230</v>
      </c>
      <c r="J29" s="6" t="str" cm="1">
        <f t="array" ref="J29">IFERROR(TRIM(MID(E29,MIN(FIND({" ";"g";"k";"m";"o"},E29&amp;" gkmo")),10)),"unknown")</f>
        <v>g</v>
      </c>
      <c r="K29" s="6" t="str">
        <f t="shared" si="0"/>
        <v>g</v>
      </c>
      <c r="L29" s="6" t="str">
        <f t="shared" si="1"/>
        <v>Gerblé</v>
      </c>
      <c r="M29" s="6" t="str">
        <f t="shared" si="2"/>
        <v>Pomme Ðÿ ÐÿŽ Noisetteðÿ¥Œ</v>
      </c>
      <c r="N29" s="6" t="str">
        <f t="shared" si="3"/>
        <v>Belgium,France,French Polynesia,Germany,Guadeloupe,Martinique,Morocco,Reunion,Switzerland</v>
      </c>
    </row>
    <row r="30" spans="1:14" x14ac:dyDescent="0.25">
      <c r="A30" s="6" t="s">
        <v>103</v>
      </c>
      <c r="B30" s="6">
        <v>12699</v>
      </c>
      <c r="C30" s="6" t="s">
        <v>104</v>
      </c>
      <c r="D30" s="7" t="s">
        <v>105</v>
      </c>
      <c r="E30" s="6" t="s">
        <v>106</v>
      </c>
      <c r="F30" s="6" t="s">
        <v>7914</v>
      </c>
      <c r="G30" s="8">
        <v>46028</v>
      </c>
      <c r="H30" s="6">
        <v>24.16</v>
      </c>
      <c r="I30" s="6" cm="1">
        <f t="array" ref="I30">IFERROR(VALUE(TRIM(LEFT(E30,MIN(FIND({" ";"g";"k";"m";"o"},E30&amp;" gkmo"))-1))),0)</f>
        <v>20</v>
      </c>
      <c r="J30" s="6" t="str" cm="1">
        <f t="array" ref="J30">IFERROR(TRIM(MID(E30,MIN(FIND({" ";"g";"k";"m";"o"},E30&amp;" gkmo")),10)),"unknown")</f>
        <v>g</v>
      </c>
      <c r="K30" s="6" t="str">
        <f t="shared" si="0"/>
        <v>g</v>
      </c>
      <c r="L30" s="6" t="str">
        <f t="shared" si="1"/>
        <v>Aperitivos Company</v>
      </c>
      <c r="M30" s="6" t="str">
        <f t="shared" si="2"/>
        <v>Trios</v>
      </c>
      <c r="N30" s="6" t="str">
        <f t="shared" si="3"/>
        <v>Spain, Marruecos, Morocco</v>
      </c>
    </row>
    <row r="31" spans="1:14" x14ac:dyDescent="0.25">
      <c r="A31" s="6" t="s">
        <v>107</v>
      </c>
      <c r="B31" s="6">
        <v>13960</v>
      </c>
      <c r="C31" s="6" t="s">
        <v>108</v>
      </c>
      <c r="D31" s="7" t="s">
        <v>27</v>
      </c>
      <c r="E31" s="6" t="s">
        <v>28</v>
      </c>
      <c r="F31" s="6" t="s">
        <v>109</v>
      </c>
      <c r="G31" s="8">
        <v>45838</v>
      </c>
      <c r="H31" s="6">
        <v>5.07</v>
      </c>
      <c r="I31" s="6" cm="1">
        <f t="array" ref="I31">IFERROR(VALUE(TRIM(LEFT(E31,MIN(FIND({" ";"g";"k";"m";"o"},E31&amp;" gkmo"))-1))),0)</f>
        <v>125</v>
      </c>
      <c r="J31" s="6" t="str" cm="1">
        <f t="array" ref="J31">IFERROR(TRIM(MID(E31,MIN(FIND({" ";"g";"k";"m";"o"},E31&amp;" gkmo")),10)),"unknown")</f>
        <v>g</v>
      </c>
      <c r="K31" s="6" t="str">
        <f t="shared" si="0"/>
        <v>g</v>
      </c>
      <c r="L31" s="6" t="str">
        <f t="shared" si="1"/>
        <v>J. D. Gross</v>
      </c>
      <c r="M31" s="6" t="str">
        <f t="shared" si="2"/>
        <v>Edelbitter 70% Cacao</v>
      </c>
      <c r="N31" s="6" t="str">
        <f t="shared" si="3"/>
        <v>De</v>
      </c>
    </row>
    <row r="32" spans="1:14" x14ac:dyDescent="0.25">
      <c r="A32" s="6" t="s">
        <v>110</v>
      </c>
      <c r="B32" s="6">
        <v>8153</v>
      </c>
      <c r="C32" s="6" t="s">
        <v>111</v>
      </c>
      <c r="D32" s="7" t="s">
        <v>112</v>
      </c>
      <c r="E32" s="6"/>
      <c r="F32" s="6" t="s">
        <v>113</v>
      </c>
      <c r="G32" s="8">
        <v>45583</v>
      </c>
      <c r="H32" s="6">
        <v>13.16</v>
      </c>
      <c r="I32" s="6" cm="1">
        <f t="array" ref="I32">IFERROR(VALUE(TRIM(LEFT(E32,MIN(FIND({" ";"g";"k";"m";"o"},E32&amp;" gkmo"))-1))),0)</f>
        <v>0</v>
      </c>
      <c r="J32" s="6" t="str" cm="1">
        <f t="array" ref="J32">IFERROR(TRIM(MID(E32,MIN(FIND({" ";"g";"k";"m";"o"},E32&amp;" gkmo")),10)),"unknown")</f>
        <v/>
      </c>
      <c r="K32" s="6" t="str">
        <f t="shared" si="0"/>
        <v>unknown</v>
      </c>
      <c r="L32" s="6" t="str">
        <f t="shared" si="1"/>
        <v>Pringles</v>
      </c>
      <c r="M32" s="6" t="str">
        <f t="shared" si="2"/>
        <v>Pringles Original</v>
      </c>
      <c r="N32" s="6" t="str">
        <f t="shared" si="3"/>
        <v>Italia</v>
      </c>
    </row>
    <row r="33" spans="1:14" x14ac:dyDescent="0.25">
      <c r="A33" s="6" t="s">
        <v>114</v>
      </c>
      <c r="B33" s="6">
        <v>13782</v>
      </c>
      <c r="C33" s="6" t="s">
        <v>115</v>
      </c>
      <c r="D33" s="7" t="s">
        <v>116</v>
      </c>
      <c r="E33" s="6" t="s">
        <v>117</v>
      </c>
      <c r="F33" s="6" t="s">
        <v>8384</v>
      </c>
      <c r="G33" s="8">
        <v>45437</v>
      </c>
      <c r="H33" s="6">
        <v>4.18</v>
      </c>
      <c r="I33" s="6" cm="1">
        <f t="array" ref="I33">IFERROR(VALUE(TRIM(LEFT(E33,MIN(FIND({" ";"g";"k";"m";"o"},E33&amp;" gkmo"))-1))),0)</f>
        <v>42</v>
      </c>
      <c r="J33" s="6" t="str" cm="1">
        <f t="array" ref="J33">IFERROR(TRIM(MID(E33,MIN(FIND({" ";"g";"k";"m";"o"},E33&amp;" gkmo")),10)),"unknown")</f>
        <v>g</v>
      </c>
      <c r="K33" s="6" t="str">
        <f t="shared" si="0"/>
        <v>g</v>
      </c>
      <c r="L33" s="6" t="str">
        <f t="shared" si="1"/>
        <v>Nature Valley</v>
      </c>
      <c r="M33" s="6" t="str">
        <f t="shared" si="2"/>
        <v>Crunchy Oats&amp;Honey</v>
      </c>
      <c r="N33" s="6" t="str">
        <f t="shared" si="3"/>
        <v>Belgium,France,Germany,Irlanda,Paà­Ses Bajos,Espaà±A,Switzerland,United Kingdom,Belgium</v>
      </c>
    </row>
    <row r="34" spans="1:14" x14ac:dyDescent="0.25">
      <c r="A34" s="6" t="s">
        <v>118</v>
      </c>
      <c r="B34" s="6">
        <v>6670</v>
      </c>
      <c r="C34" s="6" t="s">
        <v>119</v>
      </c>
      <c r="D34" s="7" t="s">
        <v>7030</v>
      </c>
      <c r="E34" s="6" t="s">
        <v>120</v>
      </c>
      <c r="F34" s="6" t="s">
        <v>8431</v>
      </c>
      <c r="G34" s="8">
        <v>45618</v>
      </c>
      <c r="H34" s="6">
        <v>17.46</v>
      </c>
      <c r="I34" s="6" cm="1">
        <f t="array" ref="I34">IFERROR(VALUE(TRIM(LEFT(E34,MIN(FIND({" ";"g";"k";"m";"o"},E34&amp;" gkmo"))-1))),0)</f>
        <v>210</v>
      </c>
      <c r="J34" s="6" t="str" cm="1">
        <f t="array" ref="J34">IFERROR(TRIM(MID(E34,MIN(FIND({" ";"g";"k";"m";"o"},E34&amp;" gkmo")),10)),"unknown")</f>
        <v>g</v>
      </c>
      <c r="K34" s="6" t="str">
        <f t="shared" si="0"/>
        <v>g</v>
      </c>
      <c r="L34" s="6" t="str">
        <f t="shared" si="1"/>
        <v>Gerblé</v>
      </c>
      <c r="M34" s="6" t="str">
        <f t="shared" si="2"/>
        <v>Figue &amp; Son</v>
      </c>
      <c r="N34" s="6" t="str">
        <f t="shared" si="3"/>
        <v>Belgium,France,Polynésie Franà§Aise,Martinique,Morocco,La Reunion,Switzerland</v>
      </c>
    </row>
    <row r="35" spans="1:14" x14ac:dyDescent="0.25">
      <c r="A35" s="6" t="s">
        <v>121</v>
      </c>
      <c r="B35" s="6">
        <v>10008</v>
      </c>
      <c r="C35" s="6" t="s">
        <v>122</v>
      </c>
      <c r="D35" s="7" t="s">
        <v>7568</v>
      </c>
      <c r="E35" s="6" t="s">
        <v>123</v>
      </c>
      <c r="F35" s="6" t="s">
        <v>124</v>
      </c>
      <c r="G35" s="8">
        <v>45623</v>
      </c>
      <c r="H35" s="6">
        <v>2.2000000000000002</v>
      </c>
      <c r="I35" s="6" cm="1">
        <f t="array" ref="I35">IFERROR(VALUE(TRIM(LEFT(E35,MIN(FIND({" ";"g";"k";"m";"o"},E35&amp;" gkmo"))-1))),0)</f>
        <v>50</v>
      </c>
      <c r="J35" s="6" t="str" cm="1">
        <f t="array" ref="J35">IFERROR(TRIM(MID(E35,MIN(FIND({" ";"g";"k";"m";"o"},E35&amp;" gkmo")),10)),"unknown")</f>
        <v>g</v>
      </c>
      <c r="K35" s="6" t="str">
        <f t="shared" si="0"/>
        <v>g</v>
      </c>
      <c r="L35" s="6" t="str">
        <f t="shared" si="1"/>
        <v>Lindt,Lindt&amp;Sprà¼Ngli</v>
      </c>
      <c r="M35" s="6" t="str">
        <f t="shared" si="2"/>
        <v>Bitter Extra Kraftig</v>
      </c>
      <c r="N35" s="6" t="str">
        <f t="shared" si="3"/>
        <v>Australia,Austria,Belgium,Bulgaria,France,Germany,Italy,Lebanon,Morocco,Romania,Spain,Switzerland,Thailand,United Kingdom</v>
      </c>
    </row>
    <row r="36" spans="1:14" x14ac:dyDescent="0.25">
      <c r="A36" s="6" t="s">
        <v>125</v>
      </c>
      <c r="B36" s="6">
        <v>7289</v>
      </c>
      <c r="C36" s="6" t="s">
        <v>7032</v>
      </c>
      <c r="D36" s="7" t="s">
        <v>7033</v>
      </c>
      <c r="E36" s="6" t="s">
        <v>126</v>
      </c>
      <c r="F36" s="6" t="s">
        <v>8432</v>
      </c>
      <c r="G36" s="8">
        <v>45586</v>
      </c>
      <c r="H36" s="6">
        <v>13.16</v>
      </c>
      <c r="I36" s="6" cm="1">
        <f t="array" ref="I36">IFERROR(VALUE(TRIM(LEFT(E36,MIN(FIND({" ";"g";"k";"m";"o"},E36&amp;" gkmo"))-1))),0)</f>
        <v>205</v>
      </c>
      <c r="J36" s="6" t="str" cm="1">
        <f t="array" ref="J36">IFERROR(TRIM(MID(E36,MIN(FIND({" ";"g";"k";"m";"o"},E36&amp;" gkmo")),10)),"unknown")</f>
        <v>g</v>
      </c>
      <c r="K36" s="6" t="str">
        <f t="shared" si="0"/>
        <v>g</v>
      </c>
      <c r="L36" s="6" t="str">
        <f t="shared" si="1"/>
        <v>Nestlé</v>
      </c>
      <c r="M36" s="6" t="str">
        <f t="shared" si="2"/>
        <v>Nestlé Dessert</v>
      </c>
      <c r="N36" s="6" t="str">
        <f t="shared" si="3"/>
        <v>Belgium,France,Germany,Reunion,Switzerland</v>
      </c>
    </row>
    <row r="37" spans="1:14" x14ac:dyDescent="0.25">
      <c r="A37" s="6" t="s">
        <v>127</v>
      </c>
      <c r="B37" s="6">
        <v>13001</v>
      </c>
      <c r="C37" s="6" t="s">
        <v>128</v>
      </c>
      <c r="D37" s="7" t="s">
        <v>7034</v>
      </c>
      <c r="E37" s="6"/>
      <c r="F37" s="6" t="s">
        <v>48</v>
      </c>
      <c r="G37" s="8">
        <v>45543</v>
      </c>
      <c r="H37" s="6">
        <v>9.34</v>
      </c>
      <c r="I37" s="6" cm="1">
        <f t="array" ref="I37">IFERROR(VALUE(TRIM(LEFT(E37,MIN(FIND({" ";"g";"k";"m";"o"},E37&amp;" gkmo"))-1))),0)</f>
        <v>0</v>
      </c>
      <c r="J37" s="6" t="str" cm="1">
        <f t="array" ref="J37">IFERROR(TRIM(MID(E37,MIN(FIND({" ";"g";"k";"m";"o"},E37&amp;" gkmo")),10)),"unknown")</f>
        <v/>
      </c>
      <c r="K37" s="6" t="str">
        <f t="shared" si="0"/>
        <v>unknown</v>
      </c>
      <c r="L37" s="6" t="str">
        <f t="shared" si="1"/>
        <v>Bé</v>
      </c>
      <c r="M37" s="6" t="str">
        <f t="shared" si="2"/>
        <v>Petit Beurre</v>
      </c>
      <c r="N37" s="6" t="str">
        <f t="shared" si="3"/>
        <v>Morocco</v>
      </c>
    </row>
    <row r="38" spans="1:14" x14ac:dyDescent="0.25">
      <c r="A38" s="6" t="s">
        <v>129</v>
      </c>
      <c r="B38" s="6">
        <v>14145</v>
      </c>
      <c r="C38" s="6" t="s">
        <v>130</v>
      </c>
      <c r="D38" s="7" t="s">
        <v>131</v>
      </c>
      <c r="E38" s="6" t="s">
        <v>132</v>
      </c>
      <c r="F38" s="6" t="s">
        <v>8365</v>
      </c>
      <c r="G38" s="8">
        <v>45390</v>
      </c>
      <c r="H38" s="6">
        <v>22.82</v>
      </c>
      <c r="I38" s="6" cm="1">
        <f t="array" ref="I38">IFERROR(VALUE(TRIM(LEFT(E38,MIN(FIND({" ";"g";"k";"m";"o"},E38&amp;" gkmo"))-1))),0)</f>
        <v>350</v>
      </c>
      <c r="J38" s="6" t="str" cm="1">
        <f t="array" ref="J38">IFERROR(TRIM(MID(E38,MIN(FIND({" ";"g";"k";"m";"o"},E38&amp;" gkmo")),10)),"unknown")</f>
        <v>g</v>
      </c>
      <c r="K38" s="6" t="str">
        <f t="shared" si="0"/>
        <v>g</v>
      </c>
      <c r="L38" s="6" t="str">
        <f t="shared" si="1"/>
        <v>Pasquier</v>
      </c>
      <c r="M38" s="6" t="str">
        <f t="shared" si="2"/>
        <v>Pains Au Lait X10</v>
      </c>
      <c r="N38" s="6" t="str">
        <f t="shared" si="3"/>
        <v>Belgium,France,Switzerland,United Kingdom,États-Unis</v>
      </c>
    </row>
    <row r="39" spans="1:14" x14ac:dyDescent="0.25">
      <c r="A39" s="6" t="s">
        <v>133</v>
      </c>
      <c r="B39" s="6">
        <v>14519</v>
      </c>
      <c r="C39" s="6" t="s">
        <v>134</v>
      </c>
      <c r="D39" s="7" t="s">
        <v>135</v>
      </c>
      <c r="E39" s="6" t="s">
        <v>10</v>
      </c>
      <c r="F39" s="6" t="s">
        <v>136</v>
      </c>
      <c r="G39" s="8">
        <v>45597</v>
      </c>
      <c r="H39" s="6">
        <v>6.24</v>
      </c>
      <c r="I39" s="6" cm="1">
        <f t="array" ref="I39">IFERROR(VALUE(TRIM(LEFT(E39,MIN(FIND({" ";"g";"k";"m";"o"},E39&amp;" gkmo"))-1))),0)</f>
        <v>100</v>
      </c>
      <c r="J39" s="6" t="str" cm="1">
        <f t="array" ref="J39">IFERROR(TRIM(MID(E39,MIN(FIND({" ";"g";"k";"m";"o"},E39&amp;" gkmo")),10)),"unknown")</f>
        <v>g</v>
      </c>
      <c r="K39" s="6" t="str">
        <f t="shared" si="0"/>
        <v>g</v>
      </c>
      <c r="L39" s="6" t="str">
        <f t="shared" si="1"/>
        <v>Milka</v>
      </c>
      <c r="M39" s="6" t="str">
        <f t="shared" si="2"/>
        <v>Chocolat Au Lait</v>
      </c>
      <c r="N39" s="6" t="str">
        <f t="shared" si="3"/>
        <v>Algeria,Austria,Bulgaria,France,Germany,Hungary,Italy,Morocco,Poland,Tunisia,United Kingdom</v>
      </c>
    </row>
    <row r="40" spans="1:14" x14ac:dyDescent="0.25">
      <c r="A40" s="6" t="s">
        <v>137</v>
      </c>
      <c r="B40" s="6">
        <v>14530</v>
      </c>
      <c r="C40" s="6" t="s">
        <v>7035</v>
      </c>
      <c r="D40" s="7" t="s">
        <v>7017</v>
      </c>
      <c r="E40" s="6" t="s">
        <v>138</v>
      </c>
      <c r="F40" s="6" t="s">
        <v>139</v>
      </c>
      <c r="G40" s="8">
        <v>45609</v>
      </c>
      <c r="H40" s="6">
        <v>3.2</v>
      </c>
      <c r="I40" s="6" cm="1">
        <f t="array" ref="I40">IFERROR(VALUE(TRIM(LEFT(E40,MIN(FIND({" ";"g";"k";"m";"o"},E40&amp;" gkmo"))-1))),0)</f>
        <v>400</v>
      </c>
      <c r="J40" s="6" t="str" cm="1">
        <f t="array" ref="J40">IFERROR(TRIM(MID(E40,MIN(FIND({" ";"g";"k";"m";"o"},E40&amp;" gkmo")),10)),"unknown")</f>
        <v>g</v>
      </c>
      <c r="K40" s="6" t="str">
        <f t="shared" si="0"/>
        <v>g</v>
      </c>
      <c r="L40" s="6" t="str">
        <f t="shared" si="1"/>
        <v>Unknown</v>
      </c>
      <c r="M40" s="6" t="str">
        <f t="shared" si="2"/>
        <v>Brioche Tranchée Bio 400G</v>
      </c>
      <c r="N40" s="6" t="str">
        <f t="shared" si="3"/>
        <v>France</v>
      </c>
    </row>
    <row r="41" spans="1:14" x14ac:dyDescent="0.25">
      <c r="A41" s="6" t="s">
        <v>140</v>
      </c>
      <c r="B41" s="6">
        <v>8846</v>
      </c>
      <c r="C41" s="6" t="s">
        <v>141</v>
      </c>
      <c r="D41" s="7" t="s">
        <v>47</v>
      </c>
      <c r="E41" s="6"/>
      <c r="F41" s="6" t="s">
        <v>860</v>
      </c>
      <c r="G41" s="8">
        <v>45789</v>
      </c>
      <c r="H41" s="6">
        <v>16.03</v>
      </c>
      <c r="I41" s="6" cm="1">
        <f t="array" ref="I41">IFERROR(VALUE(TRIM(LEFT(E41,MIN(FIND({" ";"g";"k";"m";"o"},E41&amp;" gkmo"))-1))),0)</f>
        <v>0</v>
      </c>
      <c r="J41" s="6" t="str" cm="1">
        <f t="array" ref="J41">IFERROR(TRIM(MID(E41,MIN(FIND({" ";"g";"k";"m";"o"},E41&amp;" gkmo")),10)),"unknown")</f>
        <v/>
      </c>
      <c r="K41" s="6" t="str">
        <f t="shared" si="0"/>
        <v>unknown</v>
      </c>
      <c r="L41" s="6" t="str">
        <f t="shared" si="1"/>
        <v>Excelo</v>
      </c>
      <c r="M41" s="6" t="str">
        <f t="shared" si="2"/>
        <v>King Cookies Choco</v>
      </c>
      <c r="N41" s="6" t="str">
        <f t="shared" si="3"/>
        <v>Ma</v>
      </c>
    </row>
    <row r="42" spans="1:14" x14ac:dyDescent="0.25">
      <c r="A42" s="6" t="s">
        <v>142</v>
      </c>
      <c r="B42" s="6">
        <v>11736</v>
      </c>
      <c r="C42" s="6" t="s">
        <v>143</v>
      </c>
      <c r="D42" s="7" t="s">
        <v>144</v>
      </c>
      <c r="E42" s="6"/>
      <c r="F42" s="6" t="s">
        <v>7915</v>
      </c>
      <c r="G42" s="8">
        <v>45438</v>
      </c>
      <c r="H42" s="6">
        <v>7.62</v>
      </c>
      <c r="I42" s="6" cm="1">
        <f t="array" ref="I42">IFERROR(VALUE(TRIM(LEFT(E42,MIN(FIND({" ";"g";"k";"m";"o"},E42&amp;" gkmo"))-1))),0)</f>
        <v>0</v>
      </c>
      <c r="J42" s="6" t="str" cm="1">
        <f t="array" ref="J42">IFERROR(TRIM(MID(E42,MIN(FIND({" ";"g";"k";"m";"o"},E42&amp;" gkmo")),10)),"unknown")</f>
        <v/>
      </c>
      <c r="K42" s="6" t="str">
        <f t="shared" si="0"/>
        <v>unknown</v>
      </c>
      <c r="L42" s="6" t="str">
        <f t="shared" si="1"/>
        <v>Pueblo Lindo, Nur Nur Natur</v>
      </c>
      <c r="M42" s="6" t="str">
        <f t="shared" si="2"/>
        <v>Bio Basmati Reis Vollkorn</v>
      </c>
      <c r="N42" s="6" t="str">
        <f t="shared" si="3"/>
        <v>Austria, France, Germany, Italy, Switzerland, United Kingdom, United States, Ireland</v>
      </c>
    </row>
    <row r="43" spans="1:14" x14ac:dyDescent="0.25">
      <c r="A43" s="6" t="s">
        <v>145</v>
      </c>
      <c r="B43" s="6">
        <v>14656</v>
      </c>
      <c r="C43" s="6" t="s">
        <v>146</v>
      </c>
      <c r="D43" s="7" t="s">
        <v>147</v>
      </c>
      <c r="E43" s="6" t="s">
        <v>77</v>
      </c>
      <c r="F43" s="6" t="s">
        <v>8295</v>
      </c>
      <c r="G43" s="8">
        <v>45483</v>
      </c>
      <c r="H43" s="6">
        <v>13.16</v>
      </c>
      <c r="I43" s="6" cm="1">
        <f t="array" ref="I43">IFERROR(VALUE(TRIM(LEFT(E43,MIN(FIND({" ";"g";"k";"m";"o"},E43&amp;" gkmo"))-1))),0)</f>
        <v>100</v>
      </c>
      <c r="J43" s="6" t="str" cm="1">
        <f t="array" ref="J43">IFERROR(TRIM(MID(E43,MIN(FIND({" ";"g";"k";"m";"o"},E43&amp;" gkmo")),10)),"unknown")</f>
        <v>gram</v>
      </c>
      <c r="K43" s="6" t="str">
        <f t="shared" si="0"/>
        <v>g</v>
      </c>
      <c r="L43" s="6" t="str">
        <f t="shared" si="1"/>
        <v>Lidl</v>
      </c>
      <c r="M43" s="6" t="str">
        <f t="shared" si="2"/>
        <v>Lidl Organic Dark Chocolate</v>
      </c>
      <c r="N43" s="6" t="str">
        <f t="shared" si="3"/>
        <v>Belgium,Bulgarie,France,Germany,Italie,Portugal,Serbie,Spain</v>
      </c>
    </row>
    <row r="44" spans="1:14" x14ac:dyDescent="0.25">
      <c r="A44" s="6" t="s">
        <v>148</v>
      </c>
      <c r="B44" s="6">
        <v>10000</v>
      </c>
      <c r="C44" s="6" t="s">
        <v>149</v>
      </c>
      <c r="D44" s="7" t="s">
        <v>150</v>
      </c>
      <c r="E44" s="6" t="s">
        <v>151</v>
      </c>
      <c r="F44" s="6" t="s">
        <v>8414</v>
      </c>
      <c r="G44" s="8">
        <v>45796</v>
      </c>
      <c r="H44" s="6">
        <v>19.89</v>
      </c>
      <c r="I44" s="6" cm="1">
        <f t="array" ref="I44">IFERROR(VALUE(TRIM(LEFT(E44,MIN(FIND({" ";"g";"k";"m";"o"},E44&amp;" gkmo"))-1))),0)</f>
        <v>200</v>
      </c>
      <c r="J44" s="6" t="str" cm="1">
        <f t="array" ref="J44">IFERROR(TRIM(MID(E44,MIN(FIND({" ";"g";"k";"m";"o"},E44&amp;" gkmo")),10)),"unknown")</f>
        <v>g</v>
      </c>
      <c r="K44" s="6" t="str">
        <f t="shared" si="0"/>
        <v>g</v>
      </c>
      <c r="L44" s="6" t="str">
        <f t="shared" si="1"/>
        <v>Alesto</v>
      </c>
      <c r="M44" s="6" t="str">
        <f t="shared" si="2"/>
        <v>Mix Di Frutta Secca</v>
      </c>
      <c r="N44" s="6" t="str">
        <f t="shared" si="3"/>
        <v>France,Germany,Hongrie,Italie,Netherlands,Portugal,Switzerland</v>
      </c>
    </row>
    <row r="45" spans="1:14" x14ac:dyDescent="0.25">
      <c r="A45" s="6" t="s">
        <v>152</v>
      </c>
      <c r="B45" s="6">
        <v>13364</v>
      </c>
      <c r="C45" s="6" t="s">
        <v>153</v>
      </c>
      <c r="D45" s="7" t="s">
        <v>154</v>
      </c>
      <c r="E45" s="6" t="s">
        <v>10</v>
      </c>
      <c r="F45" s="6" t="s">
        <v>8353</v>
      </c>
      <c r="G45" s="8">
        <v>45494</v>
      </c>
      <c r="H45" s="6">
        <v>20.27</v>
      </c>
      <c r="I45" s="6" cm="1">
        <f t="array" ref="I45">IFERROR(VALUE(TRIM(LEFT(E45,MIN(FIND({" ";"g";"k";"m";"o"},E45&amp;" gkmo"))-1))),0)</f>
        <v>100</v>
      </c>
      <c r="J45" s="6" t="str" cm="1">
        <f t="array" ref="J45">IFERROR(TRIM(MID(E45,MIN(FIND({" ";"g";"k";"m";"o"},E45&amp;" gkmo")),10)),"unknown")</f>
        <v>g</v>
      </c>
      <c r="K45" s="6" t="str">
        <f t="shared" si="0"/>
        <v>g</v>
      </c>
      <c r="L45" s="6" t="str">
        <f t="shared" si="1"/>
        <v>Lindt Excellence,Lindt</v>
      </c>
      <c r="M45" s="6" t="str">
        <f t="shared" si="2"/>
        <v>Excellence Noir Subtil Doux 70% Cacao</v>
      </c>
      <c r="N45" s="6" t="str">
        <f t="shared" si="3"/>
        <v>Australia,Austria,Dinamarca,France,Germany,Marruecos,Nueva Zelanda,Espaà±A,Switzerland</v>
      </c>
    </row>
    <row r="46" spans="1:14" x14ac:dyDescent="0.25">
      <c r="A46" s="6" t="s">
        <v>155</v>
      </c>
      <c r="B46" s="6">
        <v>13320</v>
      </c>
      <c r="C46" s="6" t="s">
        <v>7569</v>
      </c>
      <c r="D46" s="7" t="s">
        <v>7017</v>
      </c>
      <c r="E46" s="6" t="s">
        <v>156</v>
      </c>
      <c r="F46" s="6" t="s">
        <v>157</v>
      </c>
      <c r="G46" s="8">
        <v>45873</v>
      </c>
      <c r="H46" s="6">
        <v>11.15</v>
      </c>
      <c r="I46" s="6" cm="1">
        <f t="array" ref="I46">IFERROR(VALUE(TRIM(LEFT(E46,MIN(FIND({" ";"g";"k";"m";"o"},E46&amp;" gkmo"))-1))),0)</f>
        <v>500</v>
      </c>
      <c r="J46" s="6" t="str" cm="1">
        <f t="array" ref="J46">IFERROR(TRIM(MID(E46,MIN(FIND({" ";"g";"k";"m";"o"},E46&amp;" gkmo")),10)),"unknown")</f>
        <v>g</v>
      </c>
      <c r="K46" s="6" t="str">
        <f t="shared" si="0"/>
        <v>g</v>
      </c>
      <c r="L46" s="6" t="str">
        <f t="shared" si="1"/>
        <v>Unknown</v>
      </c>
      <c r="M46" s="6" t="str">
        <f t="shared" si="2"/>
        <v>La Gà¢Che Tranchée</v>
      </c>
      <c r="N46" s="6" t="str">
        <f t="shared" si="3"/>
        <v>France,Germany,Switzerland</v>
      </c>
    </row>
    <row r="47" spans="1:14" x14ac:dyDescent="0.25">
      <c r="A47" s="6" t="s">
        <v>158</v>
      </c>
      <c r="B47" s="6">
        <v>7969</v>
      </c>
      <c r="C47" s="6" t="s">
        <v>159</v>
      </c>
      <c r="D47" s="7" t="s">
        <v>112</v>
      </c>
      <c r="E47" s="6" t="s">
        <v>160</v>
      </c>
      <c r="F47" s="6" t="s">
        <v>161</v>
      </c>
      <c r="G47" s="8">
        <v>45581</v>
      </c>
      <c r="H47" s="6">
        <v>20.45</v>
      </c>
      <c r="I47" s="6" cm="1">
        <f t="array" ref="I47">IFERROR(VALUE(TRIM(LEFT(E47,MIN(FIND({" ";"g";"k";"m";"o"},E47&amp;" gkmo"))-1))),0)</f>
        <v>165</v>
      </c>
      <c r="J47" s="6" t="str" cm="1">
        <f t="array" ref="J47">IFERROR(TRIM(MID(E47,MIN(FIND({" ";"g";"k";"m";"o"},E47&amp;" gkmo")),10)),"unknown")</f>
        <v>g</v>
      </c>
      <c r="K47" s="6" t="str">
        <f t="shared" si="0"/>
        <v>g</v>
      </c>
      <c r="L47" s="6" t="str">
        <f t="shared" si="1"/>
        <v>Pringles</v>
      </c>
      <c r="M47" s="6" t="str">
        <f t="shared" si="2"/>
        <v>Sour Cream &amp; Onion</v>
      </c>
      <c r="N47" s="6" t="str">
        <f t="shared" si="3"/>
        <v>Algieria,Buå‚Garia,Chorwacja,Egipt,Wä™Gry,Irak,Liban,Libia,Litwa,Maroko,Polska,Rumunia,Tunezja,Ukraina</v>
      </c>
    </row>
    <row r="48" spans="1:14" x14ac:dyDescent="0.25">
      <c r="A48" s="6" t="s">
        <v>162</v>
      </c>
      <c r="B48" s="6">
        <v>5233</v>
      </c>
      <c r="C48" s="6" t="s">
        <v>163</v>
      </c>
      <c r="D48" s="7" t="s">
        <v>164</v>
      </c>
      <c r="E48" s="6" t="s">
        <v>10</v>
      </c>
      <c r="F48" s="6" t="s">
        <v>48</v>
      </c>
      <c r="G48" s="8">
        <v>45963</v>
      </c>
      <c r="H48" s="6">
        <v>8.2899999999999991</v>
      </c>
      <c r="I48" s="6" cm="1">
        <f t="array" ref="I48">IFERROR(VALUE(TRIM(LEFT(E48,MIN(FIND({" ";"g";"k";"m";"o"},E48&amp;" gkmo"))-1))),0)</f>
        <v>100</v>
      </c>
      <c r="J48" s="6" t="str" cm="1">
        <f t="array" ref="J48">IFERROR(TRIM(MID(E48,MIN(FIND({" ";"g";"k";"m";"o"},E48&amp;" gkmo")),10)),"unknown")</f>
        <v>g</v>
      </c>
      <c r="K48" s="6" t="str">
        <f t="shared" si="0"/>
        <v>g</v>
      </c>
      <c r="L48" s="6" t="str">
        <f t="shared" si="1"/>
        <v>Dark Excellente</v>
      </c>
      <c r="M48" s="6" t="str">
        <f t="shared" si="2"/>
        <v>Chocolat Noir 92% Cacao</v>
      </c>
      <c r="N48" s="6" t="str">
        <f t="shared" si="3"/>
        <v>Morocco</v>
      </c>
    </row>
    <row r="49" spans="1:14" x14ac:dyDescent="0.25">
      <c r="A49" s="6" t="s">
        <v>165</v>
      </c>
      <c r="B49" s="6">
        <v>8436</v>
      </c>
      <c r="C49" s="6" t="s">
        <v>166</v>
      </c>
      <c r="D49" s="7" t="s">
        <v>167</v>
      </c>
      <c r="E49" s="6" t="s">
        <v>168</v>
      </c>
      <c r="F49" s="6" t="s">
        <v>8433</v>
      </c>
      <c r="G49" s="8">
        <v>45981</v>
      </c>
      <c r="H49" s="6">
        <v>13.16</v>
      </c>
      <c r="I49" s="6" cm="1">
        <f t="array" ref="I49">IFERROR(VALUE(TRIM(LEFT(E49,MIN(FIND({" ";"g";"k";"m";"o"},E49&amp;" gkmo"))-1))),0)</f>
        <v>200</v>
      </c>
      <c r="J49" s="6" t="str" cm="1">
        <f t="array" ref="J49">IFERROR(TRIM(MID(E49,MIN(FIND({" ";"g";"k";"m";"o"},E49&amp;" gkmo")),10)),"unknown")</f>
        <v>g e</v>
      </c>
      <c r="K49" s="6" t="str">
        <f t="shared" si="0"/>
        <v>g</v>
      </c>
      <c r="L49" s="6" t="str">
        <f t="shared" si="1"/>
        <v>Lu, Mondelez International</v>
      </c>
      <c r="M49" s="6" t="str">
        <f t="shared" si="2"/>
        <v>Granola L'Original</v>
      </c>
      <c r="N49" s="6" t="str">
        <f t="shared" si="3"/>
        <v>Belgium,France,Martinique,Morocco,La Reunion,Switzerland,États-Unis</v>
      </c>
    </row>
    <row r="50" spans="1:14" x14ac:dyDescent="0.25">
      <c r="A50" s="6" t="s">
        <v>169</v>
      </c>
      <c r="B50" s="6">
        <v>12644</v>
      </c>
      <c r="C50" s="6" t="s">
        <v>7453</v>
      </c>
      <c r="D50" s="7" t="s">
        <v>170</v>
      </c>
      <c r="E50" s="6">
        <v>250</v>
      </c>
      <c r="F50" s="6" t="s">
        <v>8434</v>
      </c>
      <c r="G50" s="8">
        <v>45418</v>
      </c>
      <c r="H50" s="6">
        <v>23.01</v>
      </c>
      <c r="I50" s="6" cm="1">
        <f t="array" ref="I50">IFERROR(VALUE(TRIM(LEFT(E50,MIN(FIND({" ";"g";"k";"m";"o"},E50&amp;" gkmo"))-1))),0)</f>
        <v>250</v>
      </c>
      <c r="J50" s="6" t="str" cm="1">
        <f t="array" ref="J50">IFERROR(TRIM(MID(E50,MIN(FIND({" ";"g";"k";"m";"o"},E50&amp;" gkmo")),10)),"unknown")</f>
        <v/>
      </c>
      <c r="K50" s="6" t="str">
        <f t="shared" si="0"/>
        <v>unknown</v>
      </c>
      <c r="L50" s="6" t="str">
        <f t="shared" si="1"/>
        <v>Lu, Lu</v>
      </c>
      <c r="M50" s="6" t="str">
        <f t="shared" si="2"/>
        <v>Cracotte Céréales Complètes</v>
      </c>
      <c r="N50" s="6" t="str">
        <f t="shared" si="3"/>
        <v>Belgium, France, Luxembourg, Reunion, Switzerland, Netherlands</v>
      </c>
    </row>
    <row r="51" spans="1:14" x14ac:dyDescent="0.25">
      <c r="A51" s="6" t="s">
        <v>171</v>
      </c>
      <c r="B51" s="6">
        <v>6128</v>
      </c>
      <c r="C51" s="6" t="s">
        <v>172</v>
      </c>
      <c r="D51" s="7" t="s">
        <v>173</v>
      </c>
      <c r="E51" s="6"/>
      <c r="F51" s="6" t="s">
        <v>8385</v>
      </c>
      <c r="G51" s="8">
        <v>45807</v>
      </c>
      <c r="H51" s="6">
        <v>8.0399999999999991</v>
      </c>
      <c r="I51" s="6" cm="1">
        <f t="array" ref="I51">IFERROR(VALUE(TRIM(LEFT(E51,MIN(FIND({" ";"g";"k";"m";"o"},E51&amp;" gkmo"))-1))),0)</f>
        <v>0</v>
      </c>
      <c r="J51" s="6" t="str" cm="1">
        <f t="array" ref="J51">IFERROR(TRIM(MID(E51,MIN(FIND({" ";"g";"k";"m";"o"},E51&amp;" gkmo")),10)),"unknown")</f>
        <v/>
      </c>
      <c r="K51" s="6" t="str">
        <f t="shared" si="0"/>
        <v>unknown</v>
      </c>
      <c r="L51" s="6" t="str">
        <f t="shared" si="1"/>
        <v>Kinder</v>
      </c>
      <c r="M51" s="6" t="str">
        <f t="shared" si="2"/>
        <v>Kinder Bueno</v>
      </c>
      <c r="N51" s="6" t="str">
        <f t="shared" si="3"/>
        <v>Australia,Belgium,Estonia,France,Grecia,Hungrà­A,Irlanda,Italia,Letonia,Libia,Lituania,Marruecos,Nueva Zelanda,Polonia,Portugal,Rumania,Espaà±A,Switzerland,United Kingdom</v>
      </c>
    </row>
    <row r="52" spans="1:14" x14ac:dyDescent="0.25">
      <c r="A52" s="6" t="s">
        <v>174</v>
      </c>
      <c r="B52" s="6">
        <v>7913</v>
      </c>
      <c r="C52" s="6" t="s">
        <v>175</v>
      </c>
      <c r="D52" s="7" t="s">
        <v>176</v>
      </c>
      <c r="E52" s="6" t="s">
        <v>18</v>
      </c>
      <c r="F52" s="6" t="s">
        <v>177</v>
      </c>
      <c r="G52" s="8">
        <v>45843</v>
      </c>
      <c r="H52" s="6">
        <v>24.8</v>
      </c>
      <c r="I52" s="6" cm="1">
        <f t="array" ref="I52">IFERROR(VALUE(TRIM(LEFT(E52,MIN(FIND({" ";"g";"k";"m";"o"},E52&amp;" gkmo"))-1))),0)</f>
        <v>100</v>
      </c>
      <c r="J52" s="6" t="str" cm="1">
        <f t="array" ref="J52">IFERROR(TRIM(MID(E52,MIN(FIND({" ";"g";"k";"m";"o"},E52&amp;" gkmo")),10)),"unknown")</f>
        <v>g</v>
      </c>
      <c r="K52" s="6" t="str">
        <f t="shared" si="0"/>
        <v>g</v>
      </c>
      <c r="L52" s="6" t="str">
        <f t="shared" si="1"/>
        <v>Tesco Finest</v>
      </c>
      <c r="M52" s="6" t="str">
        <f t="shared" si="2"/>
        <v>Dark Chocolate</v>
      </c>
      <c r="N52" s="6" t="str">
        <f t="shared" si="3"/>
        <v>United Kingdom</v>
      </c>
    </row>
    <row r="53" spans="1:14" x14ac:dyDescent="0.25">
      <c r="A53" s="6" t="s">
        <v>178</v>
      </c>
      <c r="B53" s="6">
        <v>6608</v>
      </c>
      <c r="C53" s="6" t="s">
        <v>179</v>
      </c>
      <c r="D53" s="7" t="s">
        <v>180</v>
      </c>
      <c r="E53" s="6"/>
      <c r="F53" s="6" t="s">
        <v>177</v>
      </c>
      <c r="G53" s="8">
        <v>45463</v>
      </c>
      <c r="H53" s="6">
        <v>9.93</v>
      </c>
      <c r="I53" s="6" cm="1">
        <f t="array" ref="I53">IFERROR(VALUE(TRIM(LEFT(E53,MIN(FIND({" ";"g";"k";"m";"o"},E53&amp;" gkmo"))-1))),0)</f>
        <v>0</v>
      </c>
      <c r="J53" s="6" t="str" cm="1">
        <f t="array" ref="J53">IFERROR(TRIM(MID(E53,MIN(FIND({" ";"g";"k";"m";"o"},E53&amp;" gkmo")),10)),"unknown")</f>
        <v/>
      </c>
      <c r="K53" s="6" t="str">
        <f t="shared" si="0"/>
        <v>unknown</v>
      </c>
      <c r="L53" s="6" t="str">
        <f t="shared" si="1"/>
        <v>Kettle</v>
      </c>
      <c r="M53" s="6" t="str">
        <f t="shared" si="2"/>
        <v>Chips</v>
      </c>
      <c r="N53" s="6" t="str">
        <f t="shared" si="3"/>
        <v>United Kingdom</v>
      </c>
    </row>
    <row r="54" spans="1:14" x14ac:dyDescent="0.25">
      <c r="A54" s="6" t="s">
        <v>181</v>
      </c>
      <c r="B54" s="6">
        <v>6085</v>
      </c>
      <c r="C54" s="6" t="s">
        <v>182</v>
      </c>
      <c r="D54" s="7" t="s">
        <v>112</v>
      </c>
      <c r="E54" s="6" t="s">
        <v>160</v>
      </c>
      <c r="F54" s="6" t="s">
        <v>8354</v>
      </c>
      <c r="G54" s="8">
        <v>45500</v>
      </c>
      <c r="H54" s="6">
        <v>2.7</v>
      </c>
      <c r="I54" s="6" cm="1">
        <f t="array" ref="I54">IFERROR(VALUE(TRIM(LEFT(E54,MIN(FIND({" ";"g";"k";"m";"o"},E54&amp;" gkmo"))-1))),0)</f>
        <v>165</v>
      </c>
      <c r="J54" s="6" t="str" cm="1">
        <f t="array" ref="J54">IFERROR(TRIM(MID(E54,MIN(FIND({" ";"g";"k";"m";"o"},E54&amp;" gkmo")),10)),"unknown")</f>
        <v>g</v>
      </c>
      <c r="K54" s="6" t="str">
        <f t="shared" si="0"/>
        <v>g</v>
      </c>
      <c r="L54" s="6" t="str">
        <f t="shared" si="1"/>
        <v>Pringles</v>
      </c>
      <c r="M54" s="6" t="str">
        <f t="shared" si="2"/>
        <v>Pringles Sare</v>
      </c>
      <c r="N54" s="6" t="str">
        <f t="shared" si="3"/>
        <v>Armenia,Bielorrusia,Belgium,Bosnia Y Herzegovina,Bulgaria,Croacia,France,Hungrà­A,Kuwait,Letonia,Là­Bano,Lituania,Marruecos,Polonia,Rumania,Rusia,Serbia,Switzerland,Ucrania</v>
      </c>
    </row>
    <row r="55" spans="1:14" x14ac:dyDescent="0.25">
      <c r="A55" s="6" t="s">
        <v>183</v>
      </c>
      <c r="B55" s="6">
        <v>12090</v>
      </c>
      <c r="C55" s="6" t="s">
        <v>56</v>
      </c>
      <c r="D55" s="7" t="s">
        <v>184</v>
      </c>
      <c r="E55" s="6" t="s">
        <v>185</v>
      </c>
      <c r="F55" s="6" t="s">
        <v>186</v>
      </c>
      <c r="G55" s="8">
        <v>45757</v>
      </c>
      <c r="H55" s="6">
        <v>18.39</v>
      </c>
      <c r="I55" s="6" cm="1">
        <f t="array" ref="I55">IFERROR(VALUE(TRIM(LEFT(E55,MIN(FIND({" ";"g";"k";"m";"o"},E55&amp;" gkmo"))-1))),0)</f>
        <v>270</v>
      </c>
      <c r="J55" s="6" t="str" cm="1">
        <f t="array" ref="J55">IFERROR(TRIM(MID(E55,MIN(FIND({" ";"g";"k";"m";"o"},E55&amp;" gkmo")),10)),"unknown")</f>
        <v>g</v>
      </c>
      <c r="K55" s="6" t="str">
        <f t="shared" si="0"/>
        <v>g</v>
      </c>
      <c r="L55" s="6" t="str">
        <f t="shared" si="1"/>
        <v>Barilla,Wasa</v>
      </c>
      <c r="M55" s="6" t="str">
        <f t="shared" si="2"/>
        <v>Wasa</v>
      </c>
      <c r="N55" s="6" t="str">
        <f t="shared" si="3"/>
        <v>France,Guadeloupe,Italy,Switzerland</v>
      </c>
    </row>
    <row r="56" spans="1:14" x14ac:dyDescent="0.25">
      <c r="A56" s="6" t="s">
        <v>187</v>
      </c>
      <c r="B56" s="6">
        <v>14397</v>
      </c>
      <c r="C56" s="6" t="s">
        <v>188</v>
      </c>
      <c r="D56" s="7" t="s">
        <v>189</v>
      </c>
      <c r="E56" s="6" t="s">
        <v>84</v>
      </c>
      <c r="F56" s="6" t="s">
        <v>48</v>
      </c>
      <c r="G56" s="8">
        <v>45875</v>
      </c>
      <c r="H56" s="6">
        <v>12.49</v>
      </c>
      <c r="I56" s="6" cm="1">
        <f t="array" ref="I56">IFERROR(VALUE(TRIM(LEFT(E56,MIN(FIND({" ";"g";"k";"m";"o"},E56&amp;" gkmo"))-1))),0)</f>
        <v>85</v>
      </c>
      <c r="J56" s="6" t="str" cm="1">
        <f t="array" ref="J56">IFERROR(TRIM(MID(E56,MIN(FIND({" ";"g";"k";"m";"o"},E56&amp;" gkmo")),10)),"unknown")</f>
        <v>g</v>
      </c>
      <c r="K56" s="6" t="str">
        <f t="shared" si="0"/>
        <v>g</v>
      </c>
      <c r="L56" s="6" t="str">
        <f t="shared" si="1"/>
        <v>Henrys</v>
      </c>
      <c r="M56" s="6" t="str">
        <f t="shared" si="2"/>
        <v>Henry'S Sable Coco Biscuit 85G</v>
      </c>
      <c r="N56" s="6" t="str">
        <f t="shared" si="3"/>
        <v>Morocco</v>
      </c>
    </row>
    <row r="57" spans="1:14" x14ac:dyDescent="0.25">
      <c r="A57" s="6" t="s">
        <v>190</v>
      </c>
      <c r="B57" s="6">
        <v>13610</v>
      </c>
      <c r="C57" s="6" t="s">
        <v>191</v>
      </c>
      <c r="D57" s="7" t="s">
        <v>13</v>
      </c>
      <c r="E57" s="6" t="s">
        <v>192</v>
      </c>
      <c r="F57" s="6" t="s">
        <v>7554</v>
      </c>
      <c r="G57" s="8">
        <v>45681</v>
      </c>
      <c r="H57" s="6">
        <v>24</v>
      </c>
      <c r="I57" s="6" cm="1">
        <f t="array" ref="I57">IFERROR(VALUE(TRIM(LEFT(E57,MIN(FIND({" ";"g";"k";"m";"o"},E57&amp;" gkmo"))-1))),0)</f>
        <v>7.35</v>
      </c>
      <c r="J57" s="6" t="str" cm="1">
        <f t="array" ref="J57">IFERROR(TRIM(MID(E57,MIN(FIND({" ";"g";"k";"m";"o"},E57&amp;" gkmo")),10)),"unknown")</f>
        <v>gram</v>
      </c>
      <c r="K57" s="6" t="str">
        <f t="shared" si="0"/>
        <v>g</v>
      </c>
      <c r="L57" s="6" t="str">
        <f t="shared" si="1"/>
        <v>Lu</v>
      </c>
      <c r="M57" s="6" t="str">
        <f t="shared" si="2"/>
        <v>Cracotte</v>
      </c>
      <c r="N57" s="6" t="str">
        <f t="shared" si="3"/>
        <v>België,Frankrijk,Luxemburg,Nederland,Zwitserland</v>
      </c>
    </row>
    <row r="58" spans="1:14" x14ac:dyDescent="0.25">
      <c r="A58" s="6" t="s">
        <v>193</v>
      </c>
      <c r="B58" s="6">
        <v>6157</v>
      </c>
      <c r="C58" s="6" t="s">
        <v>194</v>
      </c>
      <c r="D58" s="7" t="s">
        <v>7017</v>
      </c>
      <c r="E58" s="6" t="s">
        <v>185</v>
      </c>
      <c r="F58" s="6" t="s">
        <v>1181</v>
      </c>
      <c r="G58" s="8">
        <v>45452</v>
      </c>
      <c r="H58" s="6">
        <v>16.66</v>
      </c>
      <c r="I58" s="6" cm="1">
        <f t="array" ref="I58">IFERROR(VALUE(TRIM(LEFT(E58,MIN(FIND({" ";"g";"k";"m";"o"},E58&amp;" gkmo"))-1))),0)</f>
        <v>270</v>
      </c>
      <c r="J58" s="6" t="str" cm="1">
        <f t="array" ref="J58">IFERROR(TRIM(MID(E58,MIN(FIND({" ";"g";"k";"m";"o"},E58&amp;" gkmo")),10)),"unknown")</f>
        <v>g</v>
      </c>
      <c r="K58" s="6" t="str">
        <f t="shared" si="0"/>
        <v>g</v>
      </c>
      <c r="L58" s="6" t="str">
        <f t="shared" si="1"/>
        <v>Unknown</v>
      </c>
      <c r="M58" s="6" t="str">
        <f t="shared" si="2"/>
        <v>Biscuit Raisins</v>
      </c>
      <c r="N58" s="6" t="str">
        <f t="shared" si="3"/>
        <v>France,Switzerland</v>
      </c>
    </row>
    <row r="59" spans="1:14" x14ac:dyDescent="0.25">
      <c r="A59" s="6" t="s">
        <v>195</v>
      </c>
      <c r="B59" s="6">
        <v>12524</v>
      </c>
      <c r="C59" s="6" t="s">
        <v>196</v>
      </c>
      <c r="D59" s="7" t="s">
        <v>72</v>
      </c>
      <c r="E59" s="6" t="s">
        <v>197</v>
      </c>
      <c r="F59" s="6" t="s">
        <v>139</v>
      </c>
      <c r="G59" s="8">
        <v>45366</v>
      </c>
      <c r="H59" s="6">
        <v>1.47</v>
      </c>
      <c r="I59" s="6" cm="1">
        <f t="array" ref="I59">IFERROR(VALUE(TRIM(LEFT(E59,MIN(FIND({" ";"g";"k";"m";"o"},E59&amp;" gkmo"))-1))),0)</f>
        <v>130</v>
      </c>
      <c r="J59" s="6" t="str" cm="1">
        <f t="array" ref="J59">IFERROR(TRIM(MID(E59,MIN(FIND({" ";"g";"k";"m";"o"},E59&amp;" gkmo")),10)),"unknown")</f>
        <v>g</v>
      </c>
      <c r="K59" s="6" t="str">
        <f t="shared" si="0"/>
        <v>g</v>
      </c>
      <c r="L59" s="6" t="str">
        <f t="shared" si="1"/>
        <v>Bjorg</v>
      </c>
      <c r="M59" s="6" t="str">
        <f t="shared" si="2"/>
        <v>Nutri+ Avoine Chocolat</v>
      </c>
      <c r="N59" s="6" t="str">
        <f t="shared" si="3"/>
        <v>France</v>
      </c>
    </row>
    <row r="60" spans="1:14" x14ac:dyDescent="0.25">
      <c r="A60" s="6" t="s">
        <v>198</v>
      </c>
      <c r="B60" s="6">
        <v>12486</v>
      </c>
      <c r="C60" s="6" t="s">
        <v>7570</v>
      </c>
      <c r="D60" s="7" t="s">
        <v>199</v>
      </c>
      <c r="E60" s="6" t="s">
        <v>200</v>
      </c>
      <c r="F60" s="6" t="s">
        <v>201</v>
      </c>
      <c r="G60" s="8">
        <v>45904</v>
      </c>
      <c r="H60" s="6">
        <v>4.0599999999999996</v>
      </c>
      <c r="I60" s="6" cm="1">
        <f t="array" ref="I60">IFERROR(VALUE(TRIM(LEFT(E60,MIN(FIND({" ";"g";"k";"m";"o"},E60&amp;" gkmo"))-1))),0)</f>
        <v>285</v>
      </c>
      <c r="J60" s="6" t="str" cm="1">
        <f t="array" ref="J60">IFERROR(TRIM(MID(E60,MIN(FIND({" ";"g";"k";"m";"o"},E60&amp;" gkmo")),10)),"unknown")</f>
        <v>g</v>
      </c>
      <c r="K60" s="6" t="str">
        <f t="shared" si="0"/>
        <v>g</v>
      </c>
      <c r="L60" s="6" t="str">
        <f t="shared" si="1"/>
        <v>Bn</v>
      </c>
      <c r="M60" s="6" t="str">
        <f t="shared" si="2"/>
        <v>Goà»T Chocolat</v>
      </c>
      <c r="N60" s="6" t="str">
        <f t="shared" si="3"/>
        <v>Belgium,France,Morocco,Switzerland</v>
      </c>
    </row>
    <row r="61" spans="1:14" x14ac:dyDescent="0.25">
      <c r="A61" s="6" t="s">
        <v>202</v>
      </c>
      <c r="B61" s="6">
        <v>10600</v>
      </c>
      <c r="C61" s="6" t="s">
        <v>203</v>
      </c>
      <c r="D61" s="7" t="s">
        <v>204</v>
      </c>
      <c r="E61" s="6" t="s">
        <v>205</v>
      </c>
      <c r="F61" s="6" t="s">
        <v>206</v>
      </c>
      <c r="G61" s="8">
        <v>45750</v>
      </c>
      <c r="H61" s="6">
        <v>15.58</v>
      </c>
      <c r="I61" s="6" cm="1">
        <f t="array" ref="I61">IFERROR(VALUE(TRIM(LEFT(E61,MIN(FIND({" ";"g";"k";"m";"o"},E61&amp;" gkmo"))-1))),0)</f>
        <v>360</v>
      </c>
      <c r="J61" s="6" t="str" cm="1">
        <f t="array" ref="J61">IFERROR(TRIM(MID(E61,MIN(FIND({" ";"g";"k";"m";"o"},E61&amp;" gkmo")),10)),"unknown")</f>
        <v>g</v>
      </c>
      <c r="K61" s="6" t="str">
        <f t="shared" si="0"/>
        <v>g</v>
      </c>
      <c r="L61" s="6" t="str">
        <f t="shared" si="1"/>
        <v>Mcvitie'S</v>
      </c>
      <c r="M61" s="6" t="str">
        <f t="shared" si="2"/>
        <v>Digestives</v>
      </c>
      <c r="N61" s="6" t="str">
        <f t="shared" si="3"/>
        <v>France,Germany,Ireland,United Kingdom</v>
      </c>
    </row>
    <row r="62" spans="1:14" x14ac:dyDescent="0.25">
      <c r="A62" s="6" t="s">
        <v>207</v>
      </c>
      <c r="B62" s="6">
        <v>6007</v>
      </c>
      <c r="C62" s="6" t="s">
        <v>208</v>
      </c>
      <c r="D62" s="7" t="s">
        <v>209</v>
      </c>
      <c r="E62" s="6" t="s">
        <v>156</v>
      </c>
      <c r="F62" s="6" t="s">
        <v>139</v>
      </c>
      <c r="G62" s="8">
        <v>45967</v>
      </c>
      <c r="H62" s="6">
        <v>13.16</v>
      </c>
      <c r="I62" s="6" cm="1">
        <f t="array" ref="I62">IFERROR(VALUE(TRIM(LEFT(E62,MIN(FIND({" ";"g";"k";"m";"o"},E62&amp;" gkmo"))-1))),0)</f>
        <v>500</v>
      </c>
      <c r="J62" s="6" t="str" cm="1">
        <f t="array" ref="J62">IFERROR(TRIM(MID(E62,MIN(FIND({" ";"g";"k";"m";"o"},E62&amp;" gkmo")),10)),"unknown")</f>
        <v>g</v>
      </c>
      <c r="K62" s="6" t="str">
        <f t="shared" si="0"/>
        <v>g</v>
      </c>
      <c r="L62" s="6" t="str">
        <f t="shared" si="1"/>
        <v>Harrys</v>
      </c>
      <c r="M62" s="6" t="str">
        <f t="shared" si="2"/>
        <v>Harrys Brioche Tressee Nature Au Sucre Perle Sans Additifs 500G</v>
      </c>
      <c r="N62" s="6" t="str">
        <f t="shared" si="3"/>
        <v>France</v>
      </c>
    </row>
    <row r="63" spans="1:14" x14ac:dyDescent="0.25">
      <c r="A63" s="6" t="s">
        <v>210</v>
      </c>
      <c r="B63" s="6">
        <v>12427</v>
      </c>
      <c r="C63" s="6" t="s">
        <v>211</v>
      </c>
      <c r="D63" s="7" t="s">
        <v>116</v>
      </c>
      <c r="E63" s="6" t="s">
        <v>212</v>
      </c>
      <c r="F63" s="6" t="s">
        <v>213</v>
      </c>
      <c r="G63" s="8">
        <v>46054</v>
      </c>
      <c r="H63" s="6">
        <v>3.37</v>
      </c>
      <c r="I63" s="6" cm="1">
        <f t="array" ref="I63">IFERROR(VALUE(TRIM(LEFT(E63,MIN(FIND({" ";"g";"k";"m";"o"},E63&amp;" gkmo"))-1))),0)</f>
        <v>160</v>
      </c>
      <c r="J63" s="6" t="str" cm="1">
        <f t="array" ref="J63">IFERROR(TRIM(MID(E63,MIN(FIND({" ";"g";"k";"m";"o"},E63&amp;" gkmo")),10)),"unknown")</f>
        <v>g (4x40 g</v>
      </c>
      <c r="K63" s="6" t="str">
        <f t="shared" si="0"/>
        <v>g</v>
      </c>
      <c r="L63" s="6" t="str">
        <f t="shared" si="1"/>
        <v>Nature Valley</v>
      </c>
      <c r="M63" s="6" t="str">
        <f t="shared" si="2"/>
        <v>Protein Cacahuetesðÿ¥Œ &amp; Chocolatðÿ«</v>
      </c>
      <c r="N63" s="6" t="str">
        <f t="shared" si="3"/>
        <v>Belgium,France</v>
      </c>
    </row>
    <row r="64" spans="1:14" x14ac:dyDescent="0.25">
      <c r="A64" s="6" t="s">
        <v>214</v>
      </c>
      <c r="B64" s="6">
        <v>11156</v>
      </c>
      <c r="C64" s="6" t="s">
        <v>215</v>
      </c>
      <c r="D64" s="7" t="s">
        <v>216</v>
      </c>
      <c r="E64" s="6"/>
      <c r="F64" s="6" t="s">
        <v>139</v>
      </c>
      <c r="G64" s="8">
        <v>45744</v>
      </c>
      <c r="H64" s="6">
        <v>24.72</v>
      </c>
      <c r="I64" s="6" cm="1">
        <f t="array" ref="I64">IFERROR(VALUE(TRIM(LEFT(E64,MIN(FIND({" ";"g";"k";"m";"o"},E64&amp;" gkmo"))-1))),0)</f>
        <v>0</v>
      </c>
      <c r="J64" s="6" t="str" cm="1">
        <f t="array" ref="J64">IFERROR(TRIM(MID(E64,MIN(FIND({" ";"g";"k";"m";"o"},E64&amp;" gkmo")),10)),"unknown")</f>
        <v/>
      </c>
      <c r="K64" s="6" t="str">
        <f t="shared" si="0"/>
        <v>unknown</v>
      </c>
      <c r="L64" s="6" t="str">
        <f t="shared" si="1"/>
        <v>Jardin Bio</v>
      </c>
      <c r="M64" s="6" t="str">
        <f t="shared" si="2"/>
        <v>Tartines Craquantes Quinoa - Pois Chiche Sans Gluten</v>
      </c>
      <c r="N64" s="6" t="str">
        <f t="shared" si="3"/>
        <v>France</v>
      </c>
    </row>
    <row r="65" spans="1:14" x14ac:dyDescent="0.25">
      <c r="A65" s="6" t="s">
        <v>217</v>
      </c>
      <c r="B65" s="6">
        <v>11715</v>
      </c>
      <c r="C65" s="6" t="s">
        <v>218</v>
      </c>
      <c r="D65" s="7" t="s">
        <v>219</v>
      </c>
      <c r="E65" s="6"/>
      <c r="F65" s="6" t="s">
        <v>220</v>
      </c>
      <c r="G65" s="8">
        <v>45976</v>
      </c>
      <c r="H65" s="6">
        <v>11.73</v>
      </c>
      <c r="I65" s="6" cm="1">
        <f t="array" ref="I65">IFERROR(VALUE(TRIM(LEFT(E65,MIN(FIND({" ";"g";"k";"m";"o"},E65&amp;" gkmo"))-1))),0)</f>
        <v>0</v>
      </c>
      <c r="J65" s="6" t="str" cm="1">
        <f t="array" ref="J65">IFERROR(TRIM(MID(E65,MIN(FIND({" ";"g";"k";"m";"o"},E65&amp;" gkmo")),10)),"unknown")</f>
        <v/>
      </c>
      <c r="K65" s="6" t="str">
        <f t="shared" si="0"/>
        <v>unknown</v>
      </c>
      <c r="L65" s="6" t="str">
        <f t="shared" si="1"/>
        <v>Kallo</v>
      </c>
      <c r="M65" s="6" t="str">
        <f t="shared" si="2"/>
        <v>Lightly Salted Low Fat Corn Cakes</v>
      </c>
      <c r="N65" s="6" t="str">
        <f t="shared" si="3"/>
        <v>France, United Kingdom</v>
      </c>
    </row>
    <row r="66" spans="1:14" x14ac:dyDescent="0.25">
      <c r="A66" s="6" t="s">
        <v>221</v>
      </c>
      <c r="B66" s="6">
        <v>10711</v>
      </c>
      <c r="C66" s="6" t="s">
        <v>222</v>
      </c>
      <c r="D66" s="7" t="s">
        <v>223</v>
      </c>
      <c r="E66" s="6" t="s">
        <v>224</v>
      </c>
      <c r="F66" s="6" t="s">
        <v>225</v>
      </c>
      <c r="G66" s="8">
        <v>45727</v>
      </c>
      <c r="H66" s="6">
        <v>2.41</v>
      </c>
      <c r="I66" s="6" cm="1">
        <f t="array" ref="I66">IFERROR(VALUE(TRIM(LEFT(E66,MIN(FIND({" ";"g";"k";"m";"o"},E66&amp;" gkmo"))-1))),0)</f>
        <v>192</v>
      </c>
      <c r="J66" s="6" t="str" cm="1">
        <f t="array" ref="J66">IFERROR(TRIM(MID(E66,MIN(FIND({" ";"g";"k";"m";"o"},E66&amp;" gkmo")),10)),"unknown")</f>
        <v>g (12 x 1</v>
      </c>
      <c r="K66" s="6" t="str">
        <f t="shared" si="0"/>
        <v>g</v>
      </c>
      <c r="L66" s="6" t="str">
        <f t="shared" si="1"/>
        <v>Lumondelez</v>
      </c>
      <c r="M66" s="6" t="str">
        <f t="shared" si="2"/>
        <v>Figolu</v>
      </c>
      <c r="N66" s="6" t="str">
        <f t="shared" si="3"/>
        <v>France,Guadeloupe</v>
      </c>
    </row>
    <row r="67" spans="1:14" x14ac:dyDescent="0.25">
      <c r="A67" s="6" t="s">
        <v>226</v>
      </c>
      <c r="B67" s="6">
        <v>9008</v>
      </c>
      <c r="C67" s="6" t="s">
        <v>227</v>
      </c>
      <c r="D67" s="7" t="s">
        <v>7036</v>
      </c>
      <c r="E67" s="6" t="s">
        <v>228</v>
      </c>
      <c r="F67" s="6" t="s">
        <v>7571</v>
      </c>
      <c r="G67" s="8">
        <v>45531</v>
      </c>
      <c r="H67" s="6">
        <v>1.04</v>
      </c>
      <c r="I67" s="6" cm="1">
        <f t="array" ref="I67">IFERROR(VALUE(TRIM(LEFT(E67,MIN(FIND({" ";"g";"k";"m";"o"},E67&amp;" gkmo"))-1))),0)</f>
        <v>350</v>
      </c>
      <c r="J67" s="6" t="str" cm="1">
        <f t="array" ref="J67">IFERROR(TRIM(MID(E67,MIN(FIND({" ";"g";"k";"m";"o"},E67&amp;" gkmo")),10)),"unknown")</f>
        <v>g</v>
      </c>
      <c r="K67" s="6" t="str">
        <f t="shared" ref="K67:K130" si="4">IF(E67="","unknown",IF(OR(J67="g",LEFT(J67,1)="g"),"g",IF(OR(LEFT(J67,2)="kg",LEFT(J67,2)="ki"),"kg",IF(OR(LEFT(J67,2)="ml",LEFT(J67,1)="m"),"ml",IF(LEFT(J67,1)="l","l",IF(ISNUMBER(SEARCH("g",E67)),"g",IF(ISNUMBER(SEARCH("kg",E67)),"kg",IF(ISNUMBER(SEARCH("ml",E67)),"ml","unknown"))))))))</f>
        <v>g</v>
      </c>
      <c r="L67" s="6" t="str">
        <f t="shared" ref="L67:L130" si="5">IF(D67="","Unknown",PROPER(TRIM(D67)))</f>
        <v>Cuétara, Krit</v>
      </c>
      <c r="M67" s="6" t="str">
        <f t="shared" ref="M67:M130" si="6">IF(C67="Unknown","Unknown",PROPER(TRIM(C67)))</f>
        <v>Krit Krititas Galletas Saladas</v>
      </c>
      <c r="N67" s="6" t="str">
        <f t="shared" ref="N67:N130" si="7">IF(F67="","Unknown",PROPER(TRIM(F67)))</f>
        <v>Israel,Marruecos,Espaà±A,Portugal</v>
      </c>
    </row>
    <row r="68" spans="1:14" x14ac:dyDescent="0.25">
      <c r="A68" s="6" t="s">
        <v>229</v>
      </c>
      <c r="B68" s="6">
        <v>5792</v>
      </c>
      <c r="C68" s="6" t="s">
        <v>159</v>
      </c>
      <c r="D68" s="7" t="s">
        <v>112</v>
      </c>
      <c r="E68" s="6"/>
      <c r="F68" s="6" t="s">
        <v>8435</v>
      </c>
      <c r="G68" s="8">
        <v>45335</v>
      </c>
      <c r="H68" s="6">
        <v>4.9000000000000004</v>
      </c>
      <c r="I68" s="6" cm="1">
        <f t="array" ref="I68">IFERROR(VALUE(TRIM(LEFT(E68,MIN(FIND({" ";"g";"k";"m";"o"},E68&amp;" gkmo"))-1))),0)</f>
        <v>0</v>
      </c>
      <c r="J68" s="6" t="str" cm="1">
        <f t="array" ref="J68">IFERROR(TRIM(MID(E68,MIN(FIND({" ";"g";"k";"m";"o"},E68&amp;" gkmo")),10)),"unknown")</f>
        <v/>
      </c>
      <c r="K68" s="6" t="str">
        <f t="shared" si="4"/>
        <v>unknown</v>
      </c>
      <c r="L68" s="6" t="str">
        <f t="shared" si="5"/>
        <v>Pringles</v>
      </c>
      <c r="M68" s="6" t="str">
        <f t="shared" si="6"/>
        <v>Sour Cream &amp; Onion</v>
      </c>
      <c r="N68" s="6" t="str">
        <f t="shared" si="7"/>
        <v>France,Germany,Italy,Martinique,Mauritius,Portugal,Reunion,Thailand</v>
      </c>
    </row>
    <row r="69" spans="1:14" x14ac:dyDescent="0.25">
      <c r="A69" s="6" t="s">
        <v>230</v>
      </c>
      <c r="B69" s="6">
        <v>11685</v>
      </c>
      <c r="C69" s="6" t="s">
        <v>231</v>
      </c>
      <c r="D69" s="7" t="s">
        <v>232</v>
      </c>
      <c r="E69" s="6" t="s">
        <v>233</v>
      </c>
      <c r="F69" s="6" t="s">
        <v>139</v>
      </c>
      <c r="G69" s="8">
        <v>45776</v>
      </c>
      <c r="H69" s="6">
        <v>8.94</v>
      </c>
      <c r="I69" s="6" cm="1">
        <f t="array" ref="I69">IFERROR(VALUE(TRIM(LEFT(E69,MIN(FIND({" ";"g";"k";"m";"o"},E69&amp;" gkmo"))-1))),0)</f>
        <v>210</v>
      </c>
      <c r="J69" s="6" t="str" cm="1">
        <f t="array" ref="J69">IFERROR(TRIM(MID(E69,MIN(FIND({" ";"g";"k";"m";"o"},E69&amp;" gkmo")),10)),"unknown")</f>
        <v>g, 5 barr</v>
      </c>
      <c r="K69" s="6" t="str">
        <f t="shared" si="4"/>
        <v>g</v>
      </c>
      <c r="L69" s="6" t="str">
        <f t="shared" si="5"/>
        <v>Nature Valleygeneral Mills</v>
      </c>
      <c r="M69" s="6" t="str">
        <f t="shared" si="6"/>
        <v>Crunchy Avoine Et Miel</v>
      </c>
      <c r="N69" s="6" t="str">
        <f t="shared" si="7"/>
        <v>France</v>
      </c>
    </row>
    <row r="70" spans="1:14" x14ac:dyDescent="0.25">
      <c r="A70" s="6" t="s">
        <v>234</v>
      </c>
      <c r="B70" s="6">
        <v>12472</v>
      </c>
      <c r="C70" s="6" t="s">
        <v>7017</v>
      </c>
      <c r="D70" s="7" t="s">
        <v>235</v>
      </c>
      <c r="E70" s="6" t="s">
        <v>236</v>
      </c>
      <c r="F70" s="6" t="s">
        <v>48</v>
      </c>
      <c r="G70" s="8">
        <v>45357</v>
      </c>
      <c r="H70" s="6">
        <v>13.16</v>
      </c>
      <c r="I70" s="6" cm="1">
        <f t="array" ref="I70">IFERROR(VALUE(TRIM(LEFT(E70,MIN(FIND({" ";"g";"k";"m";"o"},E70&amp;" gkmo"))-1))),0)</f>
        <v>1</v>
      </c>
      <c r="J70" s="6" t="str" cm="1">
        <f t="array" ref="J70">IFERROR(TRIM(MID(E70,MIN(FIND({" ";"g";"k";"m";"o"},E70&amp;" gkmo")),10)),"unknown")</f>
        <v>klg</v>
      </c>
      <c r="K70" s="6" t="str">
        <f t="shared" si="4"/>
        <v>g</v>
      </c>
      <c r="L70" s="6" t="str">
        <f t="shared" si="5"/>
        <v>Ø­Ù„Ø§Ù„</v>
      </c>
      <c r="M70" s="6" t="str">
        <f t="shared" si="6"/>
        <v>Unknown</v>
      </c>
      <c r="N70" s="6" t="str">
        <f t="shared" si="7"/>
        <v>Morocco</v>
      </c>
    </row>
    <row r="71" spans="1:14" x14ac:dyDescent="0.25">
      <c r="A71" s="6" t="s">
        <v>237</v>
      </c>
      <c r="B71" s="6">
        <v>11878</v>
      </c>
      <c r="C71" s="6" t="s">
        <v>238</v>
      </c>
      <c r="D71" s="7" t="s">
        <v>7037</v>
      </c>
      <c r="E71" s="6" t="s">
        <v>82</v>
      </c>
      <c r="F71" s="6" t="s">
        <v>8436</v>
      </c>
      <c r="G71" s="8">
        <v>45650</v>
      </c>
      <c r="H71" s="6">
        <v>13.16</v>
      </c>
      <c r="I71" s="6" cm="1">
        <f t="array" ref="I71">IFERROR(VALUE(TRIM(LEFT(E71,MIN(FIND({" ";"g";"k";"m";"o"},E71&amp;" gkmo"))-1))),0)</f>
        <v>230</v>
      </c>
      <c r="J71" s="6" t="str" cm="1">
        <f t="array" ref="J71">IFERROR(TRIM(MID(E71,MIN(FIND({" ";"g";"k";"m";"o"},E71&amp;" gkmo")),10)),"unknown")</f>
        <v>g</v>
      </c>
      <c r="K71" s="6" t="str">
        <f t="shared" si="4"/>
        <v>g</v>
      </c>
      <c r="L71" s="6" t="str">
        <f t="shared" si="5"/>
        <v>Gerblé,Gerblé Vitalité,Nutrition &amp; Santé</v>
      </c>
      <c r="M71" s="6" t="str">
        <f t="shared" si="6"/>
        <v>Biscuit Lait Chocolat</v>
      </c>
      <c r="N71" s="6" t="str">
        <f t="shared" si="7"/>
        <v>Belgium,France,Guadeloupe,Martinique,Morocco,Reunion,Senegal,Switzerland</v>
      </c>
    </row>
    <row r="72" spans="1:14" x14ac:dyDescent="0.25">
      <c r="A72" s="6" t="s">
        <v>239</v>
      </c>
      <c r="B72" s="6">
        <v>9266</v>
      </c>
      <c r="C72" s="6" t="s">
        <v>240</v>
      </c>
      <c r="D72" s="7" t="s">
        <v>7572</v>
      </c>
      <c r="E72" s="6" t="s">
        <v>28</v>
      </c>
      <c r="F72" s="6" t="s">
        <v>241</v>
      </c>
      <c r="G72" s="8">
        <v>45563</v>
      </c>
      <c r="H72" s="6">
        <v>13.2</v>
      </c>
      <c r="I72" s="6" cm="1">
        <f t="array" ref="I72">IFERROR(VALUE(TRIM(LEFT(E72,MIN(FIND({" ";"g";"k";"m";"o"},E72&amp;" gkmo"))-1))),0)</f>
        <v>125</v>
      </c>
      <c r="J72" s="6" t="str" cm="1">
        <f t="array" ref="J72">IFERROR(TRIM(MID(E72,MIN(FIND({" ";"g";"k";"m";"o"},E72&amp;" gkmo")),10)),"unknown")</f>
        <v>g</v>
      </c>
      <c r="K72" s="6" t="str">
        <f t="shared" si="4"/>
        <v>g</v>
      </c>
      <c r="L72" s="6" t="str">
        <f t="shared" si="5"/>
        <v>Sà¼Àÿigkeiten</v>
      </c>
      <c r="M72" s="6" t="str">
        <f t="shared" si="6"/>
        <v>Toffifee</v>
      </c>
      <c r="N72" s="6" t="str">
        <f t="shared" si="7"/>
        <v>Germany</v>
      </c>
    </row>
    <row r="73" spans="1:14" x14ac:dyDescent="0.25">
      <c r="A73" s="6" t="s">
        <v>242</v>
      </c>
      <c r="B73" s="6">
        <v>13910</v>
      </c>
      <c r="C73" s="6" t="s">
        <v>243</v>
      </c>
      <c r="D73" s="7" t="s">
        <v>244</v>
      </c>
      <c r="E73" s="6" t="s">
        <v>120</v>
      </c>
      <c r="F73" s="6" t="s">
        <v>139</v>
      </c>
      <c r="G73" s="8">
        <v>45860</v>
      </c>
      <c r="H73" s="6">
        <v>20.71</v>
      </c>
      <c r="I73" s="6" cm="1">
        <f t="array" ref="I73">IFERROR(VALUE(TRIM(LEFT(E73,MIN(FIND({" ";"g";"k";"m";"o"},E73&amp;" gkmo"))-1))),0)</f>
        <v>210</v>
      </c>
      <c r="J73" s="6" t="str" cm="1">
        <f t="array" ref="J73">IFERROR(TRIM(MID(E73,MIN(FIND({" ";"g";"k";"m";"o"},E73&amp;" gkmo")),10)),"unknown")</f>
        <v>g</v>
      </c>
      <c r="K73" s="6" t="str">
        <f t="shared" si="4"/>
        <v>g</v>
      </c>
      <c r="L73" s="6" t="str">
        <f t="shared" si="5"/>
        <v>General Mills,Nature Valley</v>
      </c>
      <c r="M73" s="6" t="str">
        <f t="shared" si="6"/>
        <v>Crunchy Avoine &amp; Chocolat Noir X 5 X 2 Barres De 21 G</v>
      </c>
      <c r="N73" s="6" t="str">
        <f t="shared" si="7"/>
        <v>France</v>
      </c>
    </row>
    <row r="74" spans="1:14" x14ac:dyDescent="0.25">
      <c r="A74" s="6" t="s">
        <v>245</v>
      </c>
      <c r="B74" s="6">
        <v>12930</v>
      </c>
      <c r="C74" s="6" t="s">
        <v>7038</v>
      </c>
      <c r="D74" s="7" t="s">
        <v>7017</v>
      </c>
      <c r="E74" s="6" t="s">
        <v>197</v>
      </c>
      <c r="F74" s="6" t="s">
        <v>8296</v>
      </c>
      <c r="G74" s="8">
        <v>45929</v>
      </c>
      <c r="H74" s="6">
        <v>22.48</v>
      </c>
      <c r="I74" s="6" cm="1">
        <f t="array" ref="I74">IFERROR(VALUE(TRIM(LEFT(E74,MIN(FIND({" ";"g";"k";"m";"o"},E74&amp;" gkmo"))-1))),0)</f>
        <v>130</v>
      </c>
      <c r="J74" s="6" t="str" cm="1">
        <f t="array" ref="J74">IFERROR(TRIM(MID(E74,MIN(FIND({" ";"g";"k";"m";"o"},E74&amp;" gkmo")),10)),"unknown")</f>
        <v>g</v>
      </c>
      <c r="K74" s="6" t="str">
        <f t="shared" si="4"/>
        <v>g</v>
      </c>
      <c r="L74" s="6" t="str">
        <f t="shared" si="5"/>
        <v>Unknown</v>
      </c>
      <c r="M74" s="6" t="str">
        <f t="shared" si="6"/>
        <v>Cookieðÿª Cacao Pépites Sans Sucre</v>
      </c>
      <c r="N74" s="6" t="str">
        <f t="shared" si="7"/>
        <v>Belgium,France,Polynésie Franà§Aise</v>
      </c>
    </row>
    <row r="75" spans="1:14" x14ac:dyDescent="0.25">
      <c r="A75" s="6" t="s">
        <v>246</v>
      </c>
      <c r="B75" s="6">
        <v>13801</v>
      </c>
      <c r="C75" s="6" t="s">
        <v>247</v>
      </c>
      <c r="D75" s="7" t="s">
        <v>248</v>
      </c>
      <c r="E75" s="6" t="s">
        <v>18</v>
      </c>
      <c r="F75" s="6" t="s">
        <v>7916</v>
      </c>
      <c r="G75" s="8">
        <v>46018</v>
      </c>
      <c r="H75" s="6">
        <v>24.54</v>
      </c>
      <c r="I75" s="6" cm="1">
        <f t="array" ref="I75">IFERROR(VALUE(TRIM(LEFT(E75,MIN(FIND({" ";"g";"k";"m";"o"},E75&amp;" gkmo"))-1))),0)</f>
        <v>100</v>
      </c>
      <c r="J75" s="6" t="str" cm="1">
        <f t="array" ref="J75">IFERROR(TRIM(MID(E75,MIN(FIND({" ";"g";"k";"m";"o"},E75&amp;" gkmo")),10)),"unknown")</f>
        <v>g</v>
      </c>
      <c r="K75" s="6" t="str">
        <f t="shared" si="4"/>
        <v>g</v>
      </c>
      <c r="L75" s="6" t="str">
        <f t="shared" si="5"/>
        <v>Tesco</v>
      </c>
      <c r="M75" s="6" t="str">
        <f t="shared" si="6"/>
        <v>Dark Milk Chocolate</v>
      </c>
      <c r="N75" s="6" t="str">
        <f t="shared" si="7"/>
        <v>United-Kingdom</v>
      </c>
    </row>
    <row r="76" spans="1:14" x14ac:dyDescent="0.25">
      <c r="A76" s="6" t="s">
        <v>249</v>
      </c>
      <c r="B76" s="6">
        <v>13159</v>
      </c>
      <c r="C76" s="6" t="s">
        <v>7039</v>
      </c>
      <c r="D76" s="7" t="s">
        <v>250</v>
      </c>
      <c r="E76" s="6" t="s">
        <v>251</v>
      </c>
      <c r="F76" s="6" t="s">
        <v>252</v>
      </c>
      <c r="G76" s="8">
        <v>45731</v>
      </c>
      <c r="H76" s="6">
        <v>7.58</v>
      </c>
      <c r="I76" s="6" cm="1">
        <f t="array" ref="I76">IFERROR(VALUE(TRIM(LEFT(E76,MIN(FIND({" ";"g";"k";"m";"o"},E76&amp;" gkmo"))-1))),0)</f>
        <v>435</v>
      </c>
      <c r="J76" s="6" t="str" cm="1">
        <f t="array" ref="J76">IFERROR(TRIM(MID(E76,MIN(FIND({" ";"g";"k";"m";"o"},E76&amp;" gkmo")),10)),"unknown")</f>
        <v>g</v>
      </c>
      <c r="K76" s="6" t="str">
        <f t="shared" si="4"/>
        <v>g</v>
      </c>
      <c r="L76" s="6" t="str">
        <f t="shared" si="5"/>
        <v>Belvita</v>
      </c>
      <c r="M76" s="6" t="str">
        <f t="shared" si="6"/>
        <v>Petit Déjeuner Miel Et Pépites De Chocolat</v>
      </c>
      <c r="N76" s="6" t="str">
        <f t="shared" si="7"/>
        <v>Belgium,Bulgaria,France,Germany,Morocco,Poland,Romania,Switzerland,United Kingdom</v>
      </c>
    </row>
    <row r="77" spans="1:14" x14ac:dyDescent="0.25">
      <c r="A77" s="6" t="s">
        <v>253</v>
      </c>
      <c r="B77" s="6">
        <v>8141</v>
      </c>
      <c r="C77" s="6" t="s">
        <v>254</v>
      </c>
      <c r="D77" s="7" t="s">
        <v>7030</v>
      </c>
      <c r="E77" s="6"/>
      <c r="F77" s="6" t="s">
        <v>8437</v>
      </c>
      <c r="G77" s="8">
        <v>45643</v>
      </c>
      <c r="H77" s="6">
        <v>5.38</v>
      </c>
      <c r="I77" s="6" cm="1">
        <f t="array" ref="I77">IFERROR(VALUE(TRIM(LEFT(E77,MIN(FIND({" ";"g";"k";"m";"o"},E77&amp;" gkmo"))-1))),0)</f>
        <v>0</v>
      </c>
      <c r="J77" s="6" t="str" cm="1">
        <f t="array" ref="J77">IFERROR(TRIM(MID(E77,MIN(FIND({" ";"g";"k";"m";"o"},E77&amp;" gkmo")),10)),"unknown")</f>
        <v/>
      </c>
      <c r="K77" s="6" t="str">
        <f t="shared" si="4"/>
        <v>unknown</v>
      </c>
      <c r="L77" s="6" t="str">
        <f t="shared" si="5"/>
        <v>Gerblé</v>
      </c>
      <c r="M77" s="6" t="str">
        <f t="shared" si="6"/>
        <v>Biscuit Soja Orange</v>
      </c>
      <c r="N77" s="6" t="str">
        <f t="shared" si="7"/>
        <v>France,Guadeloupe,Martinique,Reunion</v>
      </c>
    </row>
    <row r="78" spans="1:14" x14ac:dyDescent="0.25">
      <c r="A78" s="6" t="s">
        <v>255</v>
      </c>
      <c r="B78" s="6">
        <v>7072</v>
      </c>
      <c r="C78" s="6" t="s">
        <v>7040</v>
      </c>
      <c r="D78" s="7" t="s">
        <v>256</v>
      </c>
      <c r="E78" s="6" t="s">
        <v>138</v>
      </c>
      <c r="F78" s="6" t="s">
        <v>8438</v>
      </c>
      <c r="G78" s="8">
        <v>45626</v>
      </c>
      <c r="H78" s="6">
        <v>19.09</v>
      </c>
      <c r="I78" s="6" cm="1">
        <f t="array" ref="I78">IFERROR(VALUE(TRIM(LEFT(E78,MIN(FIND({" ";"g";"k";"m";"o"},E78&amp;" gkmo"))-1))),0)</f>
        <v>400</v>
      </c>
      <c r="J78" s="6" t="str" cm="1">
        <f t="array" ref="J78">IFERROR(TRIM(MID(E78,MIN(FIND({" ";"g";"k";"m";"o"},E78&amp;" gkmo")),10)),"unknown")</f>
        <v>g</v>
      </c>
      <c r="K78" s="6" t="str">
        <f t="shared" si="4"/>
        <v>g</v>
      </c>
      <c r="L78" s="6" t="str">
        <f t="shared" si="5"/>
        <v>Mcvitie'S,United Biscuits</v>
      </c>
      <c r="M78" s="6" t="str">
        <f t="shared" si="6"/>
        <v>Sablés Anglais L'Original</v>
      </c>
      <c r="N78" s="6" t="str">
        <f t="shared" si="7"/>
        <v>France,Reunion,Switzerland,United Kingdom</v>
      </c>
    </row>
    <row r="79" spans="1:14" x14ac:dyDescent="0.25">
      <c r="A79" s="6" t="s">
        <v>257</v>
      </c>
      <c r="B79" s="6">
        <v>6028</v>
      </c>
      <c r="C79" s="6" t="s">
        <v>7041</v>
      </c>
      <c r="D79" s="7" t="s">
        <v>60</v>
      </c>
      <c r="E79" s="6" t="s">
        <v>10</v>
      </c>
      <c r="F79" s="6" t="s">
        <v>258</v>
      </c>
      <c r="G79" s="8">
        <v>45775</v>
      </c>
      <c r="H79" s="6">
        <v>23.01</v>
      </c>
      <c r="I79" s="6" cm="1">
        <f t="array" ref="I79">IFERROR(VALUE(TRIM(LEFT(E79,MIN(FIND({" ";"g";"k";"m";"o"},E79&amp;" gkmo"))-1))),0)</f>
        <v>100</v>
      </c>
      <c r="J79" s="6" t="str" cm="1">
        <f t="array" ref="J79">IFERROR(TRIM(MID(E79,MIN(FIND({" ";"g";"k";"m";"o"},E79&amp;" gkmo")),10)),"unknown")</f>
        <v>g</v>
      </c>
      <c r="K79" s="6" t="str">
        <f t="shared" si="4"/>
        <v>g</v>
      </c>
      <c r="L79" s="6" t="str">
        <f t="shared" si="5"/>
        <v>Lindt</v>
      </c>
      <c r="M79" s="6" t="str">
        <f t="shared" si="6"/>
        <v>Excellence Noir Corsé 78% Cacao</v>
      </c>
      <c r="N79" s="6" t="str">
        <f t="shared" si="7"/>
        <v>Australia,Czech Republic,France,Germany,Ireland,Italy,Netherlands,New Zealand,Spain,Switzerland</v>
      </c>
    </row>
    <row r="80" spans="1:14" x14ac:dyDescent="0.25">
      <c r="A80" s="6" t="s">
        <v>259</v>
      </c>
      <c r="B80" s="6">
        <v>9681</v>
      </c>
      <c r="C80" s="6" t="s">
        <v>260</v>
      </c>
      <c r="D80" s="7" t="s">
        <v>261</v>
      </c>
      <c r="E80" s="6" t="s">
        <v>262</v>
      </c>
      <c r="F80" s="6" t="s">
        <v>8217</v>
      </c>
      <c r="G80" s="8">
        <v>45329</v>
      </c>
      <c r="H80" s="6">
        <v>2.12</v>
      </c>
      <c r="I80" s="6" cm="1">
        <f t="array" ref="I80">IFERROR(VALUE(TRIM(LEFT(E80,MIN(FIND({" ";"g";"k";"m";"o"},E80&amp;" gkmo"))-1))),0)</f>
        <v>165</v>
      </c>
      <c r="J80" s="6" t="str" cm="1">
        <f t="array" ref="J80">IFERROR(TRIM(MID(E80,MIN(FIND({" ";"g";"k";"m";"o"},E80&amp;" gkmo")),10)),"unknown")</f>
        <v>g</v>
      </c>
      <c r="K80" s="6" t="str">
        <f t="shared" si="4"/>
        <v>g</v>
      </c>
      <c r="L80" s="6" t="str">
        <f t="shared" si="5"/>
        <v>Pringles,Kellogg'S</v>
      </c>
      <c r="M80" s="6" t="str">
        <f t="shared" si="6"/>
        <v>Ðšð°Ñ€Ñ‚Ð¾Ñ„Ðµð»Ñœð½Ñ‹Ðµ Ñ‡Ð¸Ð¿ÑÑ‹ ÑÐ¾ Ð²ÐºñƒñÐ¾Ð¼ Ð¿Ð°Ñ€Ð¸Ðºð¸</v>
      </c>
      <c r="N80" s="6" t="str">
        <f t="shared" si="7"/>
        <v>Bulgaria,France,Lituania,Marruecos,Paà­Ses Bajos,Polonia,Rumania,Espaà±A,Ucrania</v>
      </c>
    </row>
    <row r="81" spans="1:14" x14ac:dyDescent="0.25">
      <c r="A81" s="6" t="s">
        <v>263</v>
      </c>
      <c r="B81" s="6">
        <v>8249</v>
      </c>
      <c r="C81" s="6" t="s">
        <v>264</v>
      </c>
      <c r="D81" s="7" t="s">
        <v>209</v>
      </c>
      <c r="E81" s="6" t="s">
        <v>265</v>
      </c>
      <c r="F81" s="6" t="s">
        <v>139</v>
      </c>
      <c r="G81" s="8">
        <v>45777</v>
      </c>
      <c r="H81" s="6">
        <v>8.89</v>
      </c>
      <c r="I81" s="6" cm="1">
        <f t="array" ref="I81">IFERROR(VALUE(TRIM(LEFT(E81,MIN(FIND({" ";"g";"k";"m";"o"},E81&amp;" gkmo"))-1))),0)</f>
        <v>485</v>
      </c>
      <c r="J81" s="6" t="str" cm="1">
        <f t="array" ref="J81">IFERROR(TRIM(MID(E81,MIN(FIND({" ";"g";"k";"m";"o"},E81&amp;" gkmo")),10)),"unknown")</f>
        <v>g</v>
      </c>
      <c r="K81" s="6" t="str">
        <f t="shared" si="4"/>
        <v>g</v>
      </c>
      <c r="L81" s="6" t="str">
        <f t="shared" si="5"/>
        <v>Harrys</v>
      </c>
      <c r="M81" s="6" t="str">
        <f t="shared" si="6"/>
        <v>Brioche Moins De Sucre</v>
      </c>
      <c r="N81" s="6" t="str">
        <f t="shared" si="7"/>
        <v>France</v>
      </c>
    </row>
    <row r="82" spans="1:14" x14ac:dyDescent="0.25">
      <c r="A82" s="6" t="s">
        <v>266</v>
      </c>
      <c r="B82" s="6">
        <v>12158</v>
      </c>
      <c r="C82" s="6" t="s">
        <v>267</v>
      </c>
      <c r="D82" s="7" t="s">
        <v>268</v>
      </c>
      <c r="E82" s="6"/>
      <c r="F82" s="6" t="s">
        <v>860</v>
      </c>
      <c r="G82" s="8">
        <v>45863</v>
      </c>
      <c r="H82" s="6">
        <v>3.33</v>
      </c>
      <c r="I82" s="6" cm="1">
        <f t="array" ref="I82">IFERROR(VALUE(TRIM(LEFT(E82,MIN(FIND({" ";"g";"k";"m";"o"},E82&amp;" gkmo"))-1))),0)</f>
        <v>0</v>
      </c>
      <c r="J82" s="6" t="str" cm="1">
        <f t="array" ref="J82">IFERROR(TRIM(MID(E82,MIN(FIND({" ";"g";"k";"m";"o"},E82&amp;" gkmo")),10)),"unknown")</f>
        <v/>
      </c>
      <c r="K82" s="6" t="str">
        <f t="shared" si="4"/>
        <v>unknown</v>
      </c>
      <c r="L82" s="6" t="str">
        <f t="shared" si="5"/>
        <v>Macao</v>
      </c>
      <c r="M82" s="6" t="str">
        <f t="shared" si="6"/>
        <v>Chocolat Monogram</v>
      </c>
      <c r="N82" s="6" t="str">
        <f t="shared" si="7"/>
        <v>Ma</v>
      </c>
    </row>
    <row r="83" spans="1:14" x14ac:dyDescent="0.25">
      <c r="A83" s="6" t="s">
        <v>269</v>
      </c>
      <c r="B83" s="6">
        <v>14040</v>
      </c>
      <c r="C83" s="6" t="s">
        <v>270</v>
      </c>
      <c r="D83" s="7" t="s">
        <v>219</v>
      </c>
      <c r="E83" s="6" t="s">
        <v>271</v>
      </c>
      <c r="F83" s="6" t="s">
        <v>177</v>
      </c>
      <c r="G83" s="8">
        <v>45697</v>
      </c>
      <c r="H83" s="6">
        <v>7.77</v>
      </c>
      <c r="I83" s="6" cm="1">
        <f t="array" ref="I83">IFERROR(VALUE(TRIM(LEFT(E83,MIN(FIND({" ";"g";"k";"m";"o"},E83&amp;" gkmo"))-1))),0)</f>
        <v>122</v>
      </c>
      <c r="J83" s="6" t="str" cm="1">
        <f t="array" ref="J83">IFERROR(TRIM(MID(E83,MIN(FIND({" ";"g";"k";"m";"o"},E83&amp;" gkmo")),10)),"unknown")</f>
        <v>g</v>
      </c>
      <c r="K83" s="6" t="str">
        <f t="shared" si="4"/>
        <v>g</v>
      </c>
      <c r="L83" s="6" t="str">
        <f t="shared" si="5"/>
        <v>Kallo</v>
      </c>
      <c r="M83" s="6" t="str">
        <f t="shared" si="6"/>
        <v>Lentil And Pea Cakes With Beetroot And Balsamic Flavour Seasoning</v>
      </c>
      <c r="N83" s="6" t="str">
        <f t="shared" si="7"/>
        <v>United Kingdom</v>
      </c>
    </row>
    <row r="84" spans="1:14" x14ac:dyDescent="0.25">
      <c r="A84" s="6" t="s">
        <v>272</v>
      </c>
      <c r="B84" s="6">
        <v>14094</v>
      </c>
      <c r="C84" s="6" t="s">
        <v>111</v>
      </c>
      <c r="D84" s="7" t="s">
        <v>273</v>
      </c>
      <c r="E84" s="6" t="s">
        <v>262</v>
      </c>
      <c r="F84" s="6" t="s">
        <v>7917</v>
      </c>
      <c r="G84" s="8">
        <v>45842</v>
      </c>
      <c r="H84" s="6">
        <v>3.36</v>
      </c>
      <c r="I84" s="6" cm="1">
        <f t="array" ref="I84">IFERROR(VALUE(TRIM(LEFT(E84,MIN(FIND({" ";"g";"k";"m";"o"},E84&amp;" gkmo"))-1))),0)</f>
        <v>165</v>
      </c>
      <c r="J84" s="6" t="str" cm="1">
        <f t="array" ref="J84">IFERROR(TRIM(MID(E84,MIN(FIND({" ";"g";"k";"m";"o"},E84&amp;" gkmo")),10)),"unknown")</f>
        <v>g</v>
      </c>
      <c r="K84" s="6" t="str">
        <f t="shared" si="4"/>
        <v>g</v>
      </c>
      <c r="L84" s="6" t="str">
        <f t="shared" si="5"/>
        <v>Kellogg'S, Pringles</v>
      </c>
      <c r="M84" s="6" t="str">
        <f t="shared" si="6"/>
        <v>Pringles Original</v>
      </c>
      <c r="N84" s="6" t="str">
        <f t="shared" si="7"/>
        <v>Belgium, France, Germany, Italy, Spain, United Kingdom, Austria</v>
      </c>
    </row>
    <row r="85" spans="1:14" x14ac:dyDescent="0.25">
      <c r="A85" s="6" t="s">
        <v>274</v>
      </c>
      <c r="B85" s="6">
        <v>5970</v>
      </c>
      <c r="C85" s="6" t="s">
        <v>7042</v>
      </c>
      <c r="D85" s="7" t="s">
        <v>72</v>
      </c>
      <c r="E85" s="6" t="s">
        <v>73</v>
      </c>
      <c r="F85" s="6" t="s">
        <v>8326</v>
      </c>
      <c r="G85" s="8">
        <v>45491</v>
      </c>
      <c r="H85" s="6">
        <v>11.61</v>
      </c>
      <c r="I85" s="6" cm="1">
        <f t="array" ref="I85">IFERROR(VALUE(TRIM(LEFT(E85,MIN(FIND({" ";"g";"k";"m";"o"},E85&amp;" gkmo"))-1))),0)</f>
        <v>225</v>
      </c>
      <c r="J85" s="6" t="str" cm="1">
        <f t="array" ref="J85">IFERROR(TRIM(MID(E85,MIN(FIND({" ";"g";"k";"m";"o"},E85&amp;" gkmo")),10)),"unknown")</f>
        <v>g</v>
      </c>
      <c r="K85" s="6" t="str">
        <f t="shared" si="4"/>
        <v>g</v>
      </c>
      <c r="L85" s="6" t="str">
        <f t="shared" si="5"/>
        <v>Bjorg</v>
      </c>
      <c r="M85" s="6" t="str">
        <f t="shared" si="6"/>
        <v>Fourrés Chocolat Au Lait</v>
      </c>
      <c r="N85" s="6" t="str">
        <f t="shared" si="7"/>
        <v>France,Japon,Switzerland</v>
      </c>
    </row>
    <row r="86" spans="1:14" x14ac:dyDescent="0.25">
      <c r="A86" s="6" t="s">
        <v>275</v>
      </c>
      <c r="B86" s="6">
        <v>12401</v>
      </c>
      <c r="C86" s="6" t="s">
        <v>112</v>
      </c>
      <c r="D86" s="7" t="s">
        <v>7017</v>
      </c>
      <c r="E86" s="6" t="s">
        <v>276</v>
      </c>
      <c r="F86" s="6" t="s">
        <v>8386</v>
      </c>
      <c r="G86" s="8">
        <v>45347</v>
      </c>
      <c r="H86" s="6">
        <v>22.67</v>
      </c>
      <c r="I86" s="6" cm="1">
        <f t="array" ref="I86">IFERROR(VALUE(TRIM(LEFT(E86,MIN(FIND({" ";"g";"k";"m";"o"},E86&amp;" gkmo"))-1))),0)</f>
        <v>40</v>
      </c>
      <c r="J86" s="6" t="str" cm="1">
        <f t="array" ref="J86">IFERROR(TRIM(MID(E86,MIN(FIND({" ";"g";"k";"m";"o"},E86&amp;" gkmo")),10)),"unknown")</f>
        <v>g</v>
      </c>
      <c r="K86" s="6" t="str">
        <f t="shared" si="4"/>
        <v>g</v>
      </c>
      <c r="L86" s="6" t="str">
        <f t="shared" si="5"/>
        <v>Unknown</v>
      </c>
      <c r="M86" s="6" t="str">
        <f t="shared" si="6"/>
        <v>Pringles</v>
      </c>
      <c r="N86" s="6" t="str">
        <f t="shared" si="7"/>
        <v>Belgium,France,Germany,Marruecos,Rumania,Espaà±A,Switzerland,United Kingdom</v>
      </c>
    </row>
    <row r="87" spans="1:14" x14ac:dyDescent="0.25">
      <c r="A87" s="6" t="s">
        <v>277</v>
      </c>
      <c r="B87" s="6">
        <v>7623</v>
      </c>
      <c r="C87" s="6" t="s">
        <v>278</v>
      </c>
      <c r="D87" s="7" t="s">
        <v>7017</v>
      </c>
      <c r="E87" s="6" t="s">
        <v>279</v>
      </c>
      <c r="F87" s="6" t="s">
        <v>7573</v>
      </c>
      <c r="G87" s="8">
        <v>45345</v>
      </c>
      <c r="H87" s="6">
        <v>13.16</v>
      </c>
      <c r="I87" s="6" cm="1">
        <f t="array" ref="I87">IFERROR(VALUE(TRIM(LEFT(E87,MIN(FIND({" ";"g";"k";"m";"o"},E87&amp;" gkmo"))-1))),0)</f>
        <v>425</v>
      </c>
      <c r="J87" s="6" t="str" cm="1">
        <f t="array" ref="J87">IFERROR(TRIM(MID(E87,MIN(FIND({" ";"g";"k";"m";"o"},E87&amp;" gkmo")),10)),"unknown")</f>
        <v>g</v>
      </c>
      <c r="K87" s="6" t="str">
        <f t="shared" si="4"/>
        <v>g</v>
      </c>
      <c r="L87" s="6" t="str">
        <f t="shared" si="5"/>
        <v>Unknown</v>
      </c>
      <c r="M87" s="6" t="str">
        <f t="shared" si="6"/>
        <v>Digestive Avena Choco</v>
      </c>
      <c r="N87" s="6" t="str">
        <f t="shared" si="7"/>
        <v>Portugal,Espaà±A</v>
      </c>
    </row>
    <row r="88" spans="1:14" x14ac:dyDescent="0.25">
      <c r="A88" s="6" t="s">
        <v>280</v>
      </c>
      <c r="B88" s="6">
        <v>9069</v>
      </c>
      <c r="C88" s="6" t="s">
        <v>7017</v>
      </c>
      <c r="D88" s="7" t="s">
        <v>281</v>
      </c>
      <c r="E88" s="6" t="s">
        <v>10</v>
      </c>
      <c r="F88" s="6" t="s">
        <v>48</v>
      </c>
      <c r="G88" s="8">
        <v>45478</v>
      </c>
      <c r="H88" s="6">
        <v>13.16</v>
      </c>
      <c r="I88" s="6" cm="1">
        <f t="array" ref="I88">IFERROR(VALUE(TRIM(LEFT(E88,MIN(FIND({" ";"g";"k";"m";"o"},E88&amp;" gkmo"))-1))),0)</f>
        <v>100</v>
      </c>
      <c r="J88" s="6" t="str" cm="1">
        <f t="array" ref="J88">IFERROR(TRIM(MID(E88,MIN(FIND({" ";"g";"k";"m";"o"},E88&amp;" gkmo")),10)),"unknown")</f>
        <v>g</v>
      </c>
      <c r="K88" s="6" t="str">
        <f t="shared" si="4"/>
        <v>g</v>
      </c>
      <c r="L88" s="6" t="str">
        <f t="shared" si="5"/>
        <v>Dark Excelente</v>
      </c>
      <c r="M88" s="6" t="str">
        <f t="shared" si="6"/>
        <v>Unknown</v>
      </c>
      <c r="N88" s="6" t="str">
        <f t="shared" si="7"/>
        <v>Morocco</v>
      </c>
    </row>
    <row r="89" spans="1:14" x14ac:dyDescent="0.25">
      <c r="A89" s="6" t="s">
        <v>282</v>
      </c>
      <c r="B89" s="6">
        <v>10839</v>
      </c>
      <c r="C89" s="6" t="s">
        <v>283</v>
      </c>
      <c r="D89" s="7" t="s">
        <v>7893</v>
      </c>
      <c r="E89" s="6" t="s">
        <v>284</v>
      </c>
      <c r="F89" s="6" t="s">
        <v>8422</v>
      </c>
      <c r="G89" s="8">
        <v>45705</v>
      </c>
      <c r="H89" s="6">
        <v>9.67</v>
      </c>
      <c r="I89" s="6" cm="1">
        <f t="array" ref="I89">IFERROR(VALUE(TRIM(LEFT(E89,MIN(FIND({" ";"g";"k";"m";"o"},E89&amp;" gkmo"))-1))),0)</f>
        <v>180</v>
      </c>
      <c r="J89" s="6" t="str" cm="1">
        <f t="array" ref="J89">IFERROR(TRIM(MID(E89,MIN(FIND({" ";"g";"k";"m";"o"},E89&amp;" gkmo")),10)),"unknown")</f>
        <v>g</v>
      </c>
      <c r="K89" s="6" t="str">
        <f t="shared" si="4"/>
        <v>g</v>
      </c>
      <c r="L89" s="6" t="str">
        <f t="shared" si="5"/>
        <v>Cà´Te D'Or, Mondelez</v>
      </c>
      <c r="M89" s="6" t="str">
        <f t="shared" si="6"/>
        <v>180G C Or Noir Noisette</v>
      </c>
      <c r="N89" s="6" t="str">
        <f t="shared" si="7"/>
        <v>Algeria,France,Guadeloupe,Morocco,Tunisia</v>
      </c>
    </row>
    <row r="90" spans="1:14" x14ac:dyDescent="0.25">
      <c r="A90" s="6" t="s">
        <v>285</v>
      </c>
      <c r="B90" s="6">
        <v>12233</v>
      </c>
      <c r="C90" s="6" t="s">
        <v>286</v>
      </c>
      <c r="D90" s="7" t="s">
        <v>287</v>
      </c>
      <c r="E90" s="6" t="s">
        <v>39</v>
      </c>
      <c r="F90" s="6" t="s">
        <v>8218</v>
      </c>
      <c r="G90" s="8">
        <v>45853</v>
      </c>
      <c r="H90" s="6">
        <v>13.16</v>
      </c>
      <c r="I90" s="6" cm="1">
        <f t="array" ref="I90">IFERROR(VALUE(TRIM(LEFT(E90,MIN(FIND({" ";"g";"k";"m";"o"},E90&amp;" gkmo"))-1))),0)</f>
        <v>150</v>
      </c>
      <c r="J90" s="6" t="str" cm="1">
        <f t="array" ref="J90">IFERROR(TRIM(MID(E90,MIN(FIND({" ";"g";"k";"m";"o"},E90&amp;" gkmo")),10)),"unknown")</f>
        <v>g</v>
      </c>
      <c r="K90" s="6" t="str">
        <f t="shared" si="4"/>
        <v>g</v>
      </c>
      <c r="L90" s="6" t="str">
        <f t="shared" si="5"/>
        <v>Ferrero</v>
      </c>
      <c r="M90" s="6" t="str">
        <f t="shared" si="6"/>
        <v>Raffaello</v>
      </c>
      <c r="N90" s="6" t="str">
        <f t="shared" si="7"/>
        <v>Bulgaria,France,Hungrà­A,Portugal,Rumania,Espaà±A</v>
      </c>
    </row>
    <row r="91" spans="1:14" x14ac:dyDescent="0.25">
      <c r="A91" s="6" t="s">
        <v>288</v>
      </c>
      <c r="B91" s="6">
        <v>7760</v>
      </c>
      <c r="C91" s="6" t="s">
        <v>289</v>
      </c>
      <c r="D91" s="7" t="s">
        <v>290</v>
      </c>
      <c r="E91" s="6" t="s">
        <v>291</v>
      </c>
      <c r="F91" s="6" t="s">
        <v>8355</v>
      </c>
      <c r="G91" s="8">
        <v>45540</v>
      </c>
      <c r="H91" s="6">
        <v>3.46</v>
      </c>
      <c r="I91" s="6" cm="1">
        <f t="array" ref="I91">IFERROR(VALUE(TRIM(LEFT(E91,MIN(FIND({" ";"g";"k";"m";"o"},E91&amp;" gkmo"))-1))),0)</f>
        <v>140</v>
      </c>
      <c r="J91" s="6" t="str" cm="1">
        <f t="array" ref="J91">IFERROR(TRIM(MID(E91,MIN(FIND({" ";"g";"k";"m";"o"},E91&amp;" gkmo")),10)),"unknown")</f>
        <v>g</v>
      </c>
      <c r="K91" s="6" t="str">
        <f t="shared" si="4"/>
        <v>g</v>
      </c>
      <c r="L91" s="6" t="str">
        <f t="shared" si="5"/>
        <v>Nakd.</v>
      </c>
      <c r="M91" s="6" t="str">
        <f t="shared" si="6"/>
        <v>Barres De Fruits Secs &amp; Noix Myrtilles</v>
      </c>
      <c r="N91" s="6" t="str">
        <f t="shared" si="7"/>
        <v>Belgium,Repàºblica Checa,France,Paà­Ses Bajos,Espaà±A,Switzerland</v>
      </c>
    </row>
    <row r="92" spans="1:14" x14ac:dyDescent="0.25">
      <c r="A92" s="6" t="s">
        <v>292</v>
      </c>
      <c r="B92" s="6">
        <v>6118</v>
      </c>
      <c r="C92" s="6" t="s">
        <v>293</v>
      </c>
      <c r="D92" s="7" t="s">
        <v>294</v>
      </c>
      <c r="E92" s="6" t="s">
        <v>295</v>
      </c>
      <c r="F92" s="6" t="s">
        <v>48</v>
      </c>
      <c r="G92" s="8">
        <v>45512</v>
      </c>
      <c r="H92" s="6">
        <v>3.95</v>
      </c>
      <c r="I92" s="6" cm="1">
        <f t="array" ref="I92">IFERROR(VALUE(TRIM(LEFT(E92,MIN(FIND({" ";"g";"k";"m";"o"},E92&amp;" gkmo"))-1))),0)</f>
        <v>22</v>
      </c>
      <c r="J92" s="6" t="str" cm="1">
        <f t="array" ref="J92">IFERROR(TRIM(MID(E92,MIN(FIND({" ";"g";"k";"m";"o"},E92&amp;" gkmo")),10)),"unknown")</f>
        <v>g</v>
      </c>
      <c r="K92" s="6" t="str">
        <f t="shared" si="4"/>
        <v>g</v>
      </c>
      <c r="L92" s="6" t="str">
        <f t="shared" si="5"/>
        <v>Bimo</v>
      </c>
      <c r="M92" s="6" t="str">
        <f t="shared" si="6"/>
        <v>Tagger</v>
      </c>
      <c r="N92" s="6" t="str">
        <f t="shared" si="7"/>
        <v>Morocco</v>
      </c>
    </row>
    <row r="93" spans="1:14" x14ac:dyDescent="0.25">
      <c r="A93" s="6" t="s">
        <v>296</v>
      </c>
      <c r="B93" s="6">
        <v>13691</v>
      </c>
      <c r="C93" s="6" t="s">
        <v>7574</v>
      </c>
      <c r="D93" s="7" t="s">
        <v>7030</v>
      </c>
      <c r="E93" s="6" t="s">
        <v>297</v>
      </c>
      <c r="F93" s="6" t="s">
        <v>8439</v>
      </c>
      <c r="G93" s="8">
        <v>45362</v>
      </c>
      <c r="H93" s="6">
        <v>10.68</v>
      </c>
      <c r="I93" s="6" cm="1">
        <f t="array" ref="I93">IFERROR(VALUE(TRIM(LEFT(E93,MIN(FIND({" ";"g";"k";"m";"o"},E93&amp;" gkmo"))-1))),0)</f>
        <v>360</v>
      </c>
      <c r="J93" s="6" t="str" cm="1">
        <f t="array" ref="J93">IFERROR(TRIM(MID(E93,MIN(FIND({" ";"g";"k";"m";"o"},E93&amp;" gkmo")),10)),"unknown")</f>
        <v>g</v>
      </c>
      <c r="K93" s="6" t="str">
        <f t="shared" si="4"/>
        <v>g</v>
      </c>
      <c r="L93" s="6" t="str">
        <f t="shared" si="5"/>
        <v>Gerblé</v>
      </c>
      <c r="M93" s="6" t="str">
        <f t="shared" si="6"/>
        <v>Goà»Ter 4S Saveur Pommes</v>
      </c>
      <c r="N93" s="6" t="str">
        <f t="shared" si="7"/>
        <v>France,Luxembourg,Reunion,Switzerland</v>
      </c>
    </row>
    <row r="94" spans="1:14" x14ac:dyDescent="0.25">
      <c r="A94" s="6" t="s">
        <v>298</v>
      </c>
      <c r="B94" s="6">
        <v>14512</v>
      </c>
      <c r="C94" s="6" t="s">
        <v>299</v>
      </c>
      <c r="D94" s="7" t="s">
        <v>248</v>
      </c>
      <c r="E94" s="6" t="s">
        <v>300</v>
      </c>
      <c r="F94" s="6" t="s">
        <v>177</v>
      </c>
      <c r="G94" s="8">
        <v>45990</v>
      </c>
      <c r="H94" s="6">
        <v>8.66</v>
      </c>
      <c r="I94" s="6" cm="1">
        <f t="array" ref="I94">IFERROR(VALUE(TRIM(LEFT(E94,MIN(FIND({" ";"g";"k";"m";"o"},E94&amp;" gkmo"))-1))),0)</f>
        <v>0</v>
      </c>
      <c r="J94" s="6" t="str" cm="1">
        <f t="array" ref="J94">IFERROR(TRIM(MID(E94,MIN(FIND({" ";"g";"k";"m";"o"},E94&amp;" gkmo")),10)),"unknown")</f>
        <v>- 912g</v>
      </c>
      <c r="K94" s="6" t="str">
        <f t="shared" si="4"/>
        <v>g</v>
      </c>
      <c r="L94" s="6" t="str">
        <f t="shared" si="5"/>
        <v>Tesco</v>
      </c>
      <c r="M94" s="6" t="str">
        <f t="shared" si="6"/>
        <v>Wheat Biscuits</v>
      </c>
      <c r="N94" s="6" t="str">
        <f t="shared" si="7"/>
        <v>United Kingdom</v>
      </c>
    </row>
    <row r="95" spans="1:14" x14ac:dyDescent="0.25">
      <c r="A95" s="6" t="s">
        <v>301</v>
      </c>
      <c r="B95" s="6">
        <v>11844</v>
      </c>
      <c r="C95" s="6" t="s">
        <v>302</v>
      </c>
      <c r="D95" s="7" t="s">
        <v>303</v>
      </c>
      <c r="E95" s="6" t="s">
        <v>304</v>
      </c>
      <c r="F95" s="6" t="s">
        <v>8387</v>
      </c>
      <c r="G95" s="8">
        <v>45577</v>
      </c>
      <c r="H95" s="6">
        <v>1.55</v>
      </c>
      <c r="I95" s="6" cm="1">
        <f t="array" ref="I95">IFERROR(VALUE(TRIM(LEFT(E95,MIN(FIND({" ";"g";"k";"m";"o"},E95&amp;" gkmo"))-1))),0)</f>
        <v>135</v>
      </c>
      <c r="J95" s="6" t="str" cm="1">
        <f t="array" ref="J95">IFERROR(TRIM(MID(E95,MIN(FIND({" ";"g";"k";"m";"o"},E95&amp;" gkmo")),10)),"unknown")</f>
        <v>g</v>
      </c>
      <c r="K95" s="6" t="str">
        <f t="shared" si="4"/>
        <v>g</v>
      </c>
      <c r="L95" s="6" t="str">
        <f t="shared" si="5"/>
        <v>Nakd,Natural Balance Foods</v>
      </c>
      <c r="M95" s="6" t="str">
        <f t="shared" si="6"/>
        <v>Protein Cocoa Hazelnut Bars</v>
      </c>
      <c r="N95" s="6" t="str">
        <f t="shared" si="7"/>
        <v>Belgium,France,Espaà±A,United Kingdom</v>
      </c>
    </row>
    <row r="96" spans="1:14" x14ac:dyDescent="0.25">
      <c r="A96" s="6" t="s">
        <v>305</v>
      </c>
      <c r="B96" s="6">
        <v>11794</v>
      </c>
      <c r="C96" s="6" t="s">
        <v>7043</v>
      </c>
      <c r="D96" s="7" t="s">
        <v>306</v>
      </c>
      <c r="E96" s="6" t="s">
        <v>307</v>
      </c>
      <c r="F96" s="6" t="s">
        <v>8440</v>
      </c>
      <c r="G96" s="8">
        <v>45754</v>
      </c>
      <c r="H96" s="6">
        <v>2.33</v>
      </c>
      <c r="I96" s="6" cm="1">
        <f t="array" ref="I96">IFERROR(VALUE(TRIM(LEFT(E96,MIN(FIND({" ";"g";"k";"m";"o"},E96&amp;" gkmo"))-1))),0)</f>
        <v>350</v>
      </c>
      <c r="J96" s="6" t="str" cm="1">
        <f t="array" ref="J96">IFERROR(TRIM(MID(E96,MIN(FIND({" ";"g";"k";"m";"o"},E96&amp;" gkmo")),10)),"unknown")</f>
        <v>g â„®</v>
      </c>
      <c r="K96" s="6" t="str">
        <f t="shared" si="4"/>
        <v>g</v>
      </c>
      <c r="L96" s="6" t="str">
        <f t="shared" si="5"/>
        <v>Lu</v>
      </c>
      <c r="M96" s="6" t="str">
        <f t="shared" si="6"/>
        <v>Thé - Biscuits</v>
      </c>
      <c r="N96" s="6" t="str">
        <f t="shared" si="7"/>
        <v>France,New Caledonia,Reunion,Switzerland</v>
      </c>
    </row>
    <row r="97" spans="1:14" x14ac:dyDescent="0.25">
      <c r="A97" s="6" t="s">
        <v>308</v>
      </c>
      <c r="B97" s="6">
        <v>8211</v>
      </c>
      <c r="C97" s="6" t="s">
        <v>309</v>
      </c>
      <c r="D97" s="7" t="s">
        <v>310</v>
      </c>
      <c r="E97" s="6" t="s">
        <v>156</v>
      </c>
      <c r="F97" s="6" t="s">
        <v>8441</v>
      </c>
      <c r="G97" s="8">
        <v>45833</v>
      </c>
      <c r="H97" s="6">
        <v>7.44</v>
      </c>
      <c r="I97" s="6" cm="1">
        <f t="array" ref="I97">IFERROR(VALUE(TRIM(LEFT(E97,MIN(FIND({" ";"g";"k";"m";"o"},E97&amp;" gkmo"))-1))),0)</f>
        <v>500</v>
      </c>
      <c r="J97" s="6" t="str" cm="1">
        <f t="array" ref="J97">IFERROR(TRIM(MID(E97,MIN(FIND({" ";"g";"k";"m";"o"},E97&amp;" gkmo")),10)),"unknown")</f>
        <v>g</v>
      </c>
      <c r="K97" s="6" t="str">
        <f t="shared" si="4"/>
        <v>g</v>
      </c>
      <c r="L97" s="6" t="str">
        <f t="shared" si="5"/>
        <v>St Michel</v>
      </c>
      <c r="M97" s="6" t="str">
        <f t="shared" si="6"/>
        <v>Petites Madeleines</v>
      </c>
      <c r="N97" s="6" t="str">
        <f t="shared" si="7"/>
        <v>France, Martinique, La Reunion, Switzerland</v>
      </c>
    </row>
    <row r="98" spans="1:14" x14ac:dyDescent="0.25">
      <c r="A98" s="6" t="s">
        <v>311</v>
      </c>
      <c r="B98" s="6">
        <v>9169</v>
      </c>
      <c r="C98" s="6" t="s">
        <v>7575</v>
      </c>
      <c r="D98" s="7" t="s">
        <v>7017</v>
      </c>
      <c r="E98" s="6" t="s">
        <v>312</v>
      </c>
      <c r="F98" s="6" t="s">
        <v>8442</v>
      </c>
      <c r="G98" s="8">
        <v>45928</v>
      </c>
      <c r="H98" s="6">
        <v>1.01</v>
      </c>
      <c r="I98" s="6" cm="1">
        <f t="array" ref="I98">IFERROR(VALUE(TRIM(LEFT(E98,MIN(FIND({" ";"g";"k";"m";"o"},E98&amp;" gkmo"))-1))),0)</f>
        <v>3</v>
      </c>
      <c r="J98" s="6" t="str" cm="1">
        <f t="array" ref="J98">IFERROR(TRIM(MID(E98,MIN(FIND({" ";"g";"k";"m";"o"},E98&amp;" gkmo")),10)),"unknown")</f>
        <v>sachets d</v>
      </c>
      <c r="K98" s="6" t="str">
        <f t="shared" si="4"/>
        <v>g</v>
      </c>
      <c r="L98" s="6" t="str">
        <f t="shared" si="5"/>
        <v>Unknown</v>
      </c>
      <c r="M98" s="6" t="str">
        <f t="shared" si="6"/>
        <v>Goà»Ter Pépites De Chocolat</v>
      </c>
      <c r="N98" s="6" t="str">
        <f t="shared" si="7"/>
        <v>Belgium,France,French Polynesia,Reunion,Switzerland</v>
      </c>
    </row>
    <row r="99" spans="1:14" x14ac:dyDescent="0.25">
      <c r="A99" s="6" t="s">
        <v>313</v>
      </c>
      <c r="B99" s="6">
        <v>8900</v>
      </c>
      <c r="C99" s="6" t="s">
        <v>314</v>
      </c>
      <c r="D99" s="7" t="s">
        <v>7017</v>
      </c>
      <c r="E99" s="6" t="s">
        <v>39</v>
      </c>
      <c r="F99" s="6" t="s">
        <v>7918</v>
      </c>
      <c r="G99" s="8">
        <v>45575</v>
      </c>
      <c r="H99" s="6">
        <v>17.32</v>
      </c>
      <c r="I99" s="6" cm="1">
        <f t="array" ref="I99">IFERROR(VALUE(TRIM(LEFT(E99,MIN(FIND({" ";"g";"k";"m";"o"},E99&amp;" gkmo"))-1))),0)</f>
        <v>150</v>
      </c>
      <c r="J99" s="6" t="str" cm="1">
        <f t="array" ref="J99">IFERROR(TRIM(MID(E99,MIN(FIND({" ";"g";"k";"m";"o"},E99&amp;" gkmo")),10)),"unknown")</f>
        <v>g</v>
      </c>
      <c r="K99" s="6" t="str">
        <f t="shared" si="4"/>
        <v>g</v>
      </c>
      <c r="L99" s="6" t="str">
        <f t="shared" si="5"/>
        <v>Unknown</v>
      </c>
      <c r="M99" s="6" t="str">
        <f t="shared" si="6"/>
        <v>Sea Salt &amp; Cider Vinegar Chips</v>
      </c>
      <c r="N99" s="6" t="str">
        <f t="shared" si="7"/>
        <v>France, Germany, Switzerland, United Kingdom, Netherlands</v>
      </c>
    </row>
    <row r="100" spans="1:14" x14ac:dyDescent="0.25">
      <c r="A100" s="6" t="s">
        <v>315</v>
      </c>
      <c r="B100" s="6">
        <v>5608</v>
      </c>
      <c r="C100" s="6" t="s">
        <v>7576</v>
      </c>
      <c r="D100" s="7" t="s">
        <v>316</v>
      </c>
      <c r="E100" s="6" t="s">
        <v>317</v>
      </c>
      <c r="F100" s="6" t="s">
        <v>8219</v>
      </c>
      <c r="G100" s="8">
        <v>45737</v>
      </c>
      <c r="H100" s="6">
        <v>14.49</v>
      </c>
      <c r="I100" s="6" cm="1">
        <f t="array" ref="I100">IFERROR(VALUE(TRIM(LEFT(E100,MIN(FIND({" ";"g";"k";"m";"o"},E100&amp;" gkmo"))-1))),0)</f>
        <v>300</v>
      </c>
      <c r="J100" s="6" t="str" cm="1">
        <f t="array" ref="J100">IFERROR(TRIM(MID(E100,MIN(FIND({" ";"g";"k";"m";"o"},E100&amp;" gkmo")),10)),"unknown")</f>
        <v>g 15.5</v>
      </c>
      <c r="K100" s="6" t="str">
        <f t="shared" si="4"/>
        <v>g</v>
      </c>
      <c r="L100" s="6" t="str">
        <f t="shared" si="5"/>
        <v>Lu,Mondelä“Z</v>
      </c>
      <c r="M100" s="6" t="str">
        <f t="shared" si="6"/>
        <v>Prà­Ncipe Crema De Chocolate</v>
      </c>
      <c r="N100" s="6" t="str">
        <f t="shared" si="7"/>
        <v>France,Marruecos,Espaà±A</v>
      </c>
    </row>
    <row r="101" spans="1:14" x14ac:dyDescent="0.25">
      <c r="A101" s="6" t="s">
        <v>318</v>
      </c>
      <c r="B101" s="6">
        <v>14848</v>
      </c>
      <c r="C101" s="6" t="s">
        <v>319</v>
      </c>
      <c r="D101" s="7" t="s">
        <v>173</v>
      </c>
      <c r="E101" s="6" t="s">
        <v>320</v>
      </c>
      <c r="F101" s="6" t="s">
        <v>8366</v>
      </c>
      <c r="G101" s="8">
        <v>45921</v>
      </c>
      <c r="H101" s="6">
        <v>19.57</v>
      </c>
      <c r="I101" s="6" cm="1">
        <f t="array" ref="I101">IFERROR(VALUE(TRIM(LEFT(E101,MIN(FIND({" ";"g";"k";"m";"o"},E101&amp;" gkmo"))-1))),0)</f>
        <v>39</v>
      </c>
      <c r="J101" s="6" t="str" cm="1">
        <f t="array" ref="J101">IFERROR(TRIM(MID(E101,MIN(FIND({" ";"g";"k";"m";"o"},E101&amp;" gkmo")),10)),"unknown")</f>
        <v>g</v>
      </c>
      <c r="K101" s="6" t="str">
        <f t="shared" si="4"/>
        <v>g</v>
      </c>
      <c r="L101" s="6" t="str">
        <f t="shared" si="5"/>
        <v>Kinder</v>
      </c>
      <c r="M101" s="6" t="str">
        <f t="shared" si="6"/>
        <v>Kinder Bueno White</v>
      </c>
      <c r="N101" s="6" t="str">
        <f t="shared" si="7"/>
        <v>Belgium,Bulgarie,France,Germany,Hongrie,Italie,Morocco,Pologne,Roumanie,Serbie,Spain,Switzerland,Thaà¯Lande,United Kingdom</v>
      </c>
    </row>
    <row r="102" spans="1:14" x14ac:dyDescent="0.25">
      <c r="A102" s="6" t="s">
        <v>321</v>
      </c>
      <c r="B102" s="6">
        <v>14144</v>
      </c>
      <c r="C102" s="6" t="s">
        <v>322</v>
      </c>
      <c r="D102" s="7" t="s">
        <v>323</v>
      </c>
      <c r="E102" s="6"/>
      <c r="F102" s="6" t="s">
        <v>177</v>
      </c>
      <c r="G102" s="8">
        <v>45802</v>
      </c>
      <c r="H102" s="6">
        <v>23.12</v>
      </c>
      <c r="I102" s="6" cm="1">
        <f t="array" ref="I102">IFERROR(VALUE(TRIM(LEFT(E102,MIN(FIND({" ";"g";"k";"m";"o"},E102&amp;" gkmo"))-1))),0)</f>
        <v>0</v>
      </c>
      <c r="J102" s="6" t="str" cm="1">
        <f t="array" ref="J102">IFERROR(TRIM(MID(E102,MIN(FIND({" ";"g";"k";"m";"o"},E102&amp;" gkmo")),10)),"unknown")</f>
        <v/>
      </c>
      <c r="K102" s="6" t="str">
        <f t="shared" si="4"/>
        <v>unknown</v>
      </c>
      <c r="L102" s="6" t="str">
        <f t="shared" si="5"/>
        <v>Proper Chips</v>
      </c>
      <c r="M102" s="6" t="str">
        <f t="shared" si="6"/>
        <v>Sea Salt Lentil Chips</v>
      </c>
      <c r="N102" s="6" t="str">
        <f t="shared" si="7"/>
        <v>United Kingdom</v>
      </c>
    </row>
    <row r="103" spans="1:14" x14ac:dyDescent="0.25">
      <c r="A103" s="6" t="s">
        <v>324</v>
      </c>
      <c r="B103" s="6">
        <v>6866</v>
      </c>
      <c r="C103" s="6" t="s">
        <v>325</v>
      </c>
      <c r="D103" s="7" t="s">
        <v>326</v>
      </c>
      <c r="E103" s="6" t="s">
        <v>327</v>
      </c>
      <c r="F103" s="6" t="s">
        <v>139</v>
      </c>
      <c r="G103" s="8">
        <v>45971</v>
      </c>
      <c r="H103" s="6">
        <v>24.73</v>
      </c>
      <c r="I103" s="6" cm="1">
        <f t="array" ref="I103">IFERROR(VALUE(TRIM(LEFT(E103,MIN(FIND({" ";"g";"k";"m";"o"},E103&amp;" gkmo"))-1))),0)</f>
        <v>180</v>
      </c>
      <c r="J103" s="6" t="str" cm="1">
        <f t="array" ref="J103">IFERROR(TRIM(MID(E103,MIN(FIND({" ";"g";"k";"m";"o"},E103&amp;" gkmo")),10)),"unknown")</f>
        <v>g (6 x 30</v>
      </c>
      <c r="K103" s="6" t="str">
        <f t="shared" si="4"/>
        <v>g</v>
      </c>
      <c r="L103" s="6" t="str">
        <f t="shared" si="5"/>
        <v>Lu, Mondelez, Mondelez International</v>
      </c>
      <c r="M103" s="6" t="str">
        <f t="shared" si="6"/>
        <v>Napolitain L'Original</v>
      </c>
      <c r="N103" s="6" t="str">
        <f t="shared" si="7"/>
        <v>France</v>
      </c>
    </row>
    <row r="104" spans="1:14" x14ac:dyDescent="0.25">
      <c r="A104" s="6" t="s">
        <v>328</v>
      </c>
      <c r="B104" s="6">
        <v>13313</v>
      </c>
      <c r="C104" s="6" t="s">
        <v>329</v>
      </c>
      <c r="D104" s="7" t="s">
        <v>7017</v>
      </c>
      <c r="E104" s="6" t="s">
        <v>156</v>
      </c>
      <c r="F104" s="6" t="s">
        <v>7919</v>
      </c>
      <c r="G104" s="8">
        <v>45929</v>
      </c>
      <c r="H104" s="6">
        <v>12.77</v>
      </c>
      <c r="I104" s="6" cm="1">
        <f t="array" ref="I104">IFERROR(VALUE(TRIM(LEFT(E104,MIN(FIND({" ";"g";"k";"m";"o"},E104&amp;" gkmo"))-1))),0)</f>
        <v>500</v>
      </c>
      <c r="J104" s="6" t="str" cm="1">
        <f t="array" ref="J104">IFERROR(TRIM(MID(E104,MIN(FIND({" ";"g";"k";"m";"o"},E104&amp;" gkmo")),10)),"unknown")</f>
        <v>g</v>
      </c>
      <c r="K104" s="6" t="str">
        <f t="shared" si="4"/>
        <v>g</v>
      </c>
      <c r="L104" s="6" t="str">
        <f t="shared" si="5"/>
        <v>Unknown</v>
      </c>
      <c r="M104" s="6" t="str">
        <f t="shared" si="6"/>
        <v>Petits Fours Financiers</v>
      </c>
      <c r="N104" s="6" t="str">
        <f t="shared" si="7"/>
        <v>France, Morocco</v>
      </c>
    </row>
    <row r="105" spans="1:14" x14ac:dyDescent="0.25">
      <c r="A105" s="6" t="s">
        <v>330</v>
      </c>
      <c r="B105" s="6">
        <v>12792</v>
      </c>
      <c r="C105" s="6" t="s">
        <v>331</v>
      </c>
      <c r="D105" s="7" t="s">
        <v>7030</v>
      </c>
      <c r="E105" s="6" t="s">
        <v>151</v>
      </c>
      <c r="F105" s="6" t="s">
        <v>8443</v>
      </c>
      <c r="G105" s="8">
        <v>45950</v>
      </c>
      <c r="H105" s="6">
        <v>11.76</v>
      </c>
      <c r="I105" s="6" cm="1">
        <f t="array" ref="I105">IFERROR(VALUE(TRIM(LEFT(E105,MIN(FIND({" ";"g";"k";"m";"o"},E105&amp;" gkmo"))-1))),0)</f>
        <v>200</v>
      </c>
      <c r="J105" s="6" t="str" cm="1">
        <f t="array" ref="J105">IFERROR(TRIM(MID(E105,MIN(FIND({" ";"g";"k";"m";"o"},E105&amp;" gkmo")),10)),"unknown")</f>
        <v>g</v>
      </c>
      <c r="K105" s="6" t="str">
        <f t="shared" si="4"/>
        <v>g</v>
      </c>
      <c r="L105" s="6" t="str">
        <f t="shared" si="5"/>
        <v>Gerblé</v>
      </c>
      <c r="M105" s="6" t="str">
        <f t="shared" si="6"/>
        <v>Biscuits Pavot Citron</v>
      </c>
      <c r="N105" s="6" t="str">
        <f t="shared" si="7"/>
        <v>France,Reunion,Switzerland</v>
      </c>
    </row>
    <row r="106" spans="1:14" x14ac:dyDescent="0.25">
      <c r="A106" s="6" t="s">
        <v>332</v>
      </c>
      <c r="B106" s="6">
        <v>14177</v>
      </c>
      <c r="C106" s="6" t="s">
        <v>333</v>
      </c>
      <c r="D106" s="7" t="s">
        <v>334</v>
      </c>
      <c r="E106" s="6" t="s">
        <v>335</v>
      </c>
      <c r="F106" s="6" t="s">
        <v>7920</v>
      </c>
      <c r="G106" s="8">
        <v>46040</v>
      </c>
      <c r="H106" s="6">
        <v>17.489999999999998</v>
      </c>
      <c r="I106" s="6" cm="1">
        <f t="array" ref="I106">IFERROR(VALUE(TRIM(LEFT(E106,MIN(FIND({" ";"g";"k";"m";"o"},E106&amp;" gkmo"))-1))),0)</f>
        <v>250</v>
      </c>
      <c r="J106" s="6" t="str" cm="1">
        <f t="array" ref="J106">IFERROR(TRIM(MID(E106,MIN(FIND({" ";"g";"k";"m";"o"},E106&amp;" gkmo")),10)),"unknown")</f>
        <v>g</v>
      </c>
      <c r="K106" s="6" t="str">
        <f t="shared" si="4"/>
        <v>g</v>
      </c>
      <c r="L106" s="6" t="str">
        <f t="shared" si="5"/>
        <v>Ryvita</v>
      </c>
      <c r="M106" s="6" t="str">
        <f t="shared" si="6"/>
        <v>The Original Crunchy Rye Breads</v>
      </c>
      <c r="N106" s="6" t="str">
        <f t="shared" si="7"/>
        <v>United Kingdom, Ireland</v>
      </c>
    </row>
    <row r="107" spans="1:14" x14ac:dyDescent="0.25">
      <c r="A107" s="6" t="s">
        <v>336</v>
      </c>
      <c r="B107" s="6">
        <v>7274</v>
      </c>
      <c r="C107" s="6" t="s">
        <v>111</v>
      </c>
      <c r="D107" s="7" t="s">
        <v>7017</v>
      </c>
      <c r="E107" s="6" t="s">
        <v>262</v>
      </c>
      <c r="F107" s="6" t="s">
        <v>8388</v>
      </c>
      <c r="G107" s="8">
        <v>45915</v>
      </c>
      <c r="H107" s="6">
        <v>4.5599999999999996</v>
      </c>
      <c r="I107" s="6" cm="1">
        <f t="array" ref="I107">IFERROR(VALUE(TRIM(LEFT(E107,MIN(FIND({" ";"g";"k";"m";"o"},E107&amp;" gkmo"))-1))),0)</f>
        <v>165</v>
      </c>
      <c r="J107" s="6" t="str" cm="1">
        <f t="array" ref="J107">IFERROR(TRIM(MID(E107,MIN(FIND({" ";"g";"k";"m";"o"},E107&amp;" gkmo")),10)),"unknown")</f>
        <v>g</v>
      </c>
      <c r="K107" s="6" t="str">
        <f t="shared" si="4"/>
        <v>g</v>
      </c>
      <c r="L107" s="6" t="str">
        <f t="shared" si="5"/>
        <v>Unknown</v>
      </c>
      <c r="M107" s="6" t="str">
        <f t="shared" si="6"/>
        <v>Pringles Original</v>
      </c>
      <c r="N107" s="6" t="str">
        <f t="shared" si="7"/>
        <v>Belgium,Dinamarca,France,Germany,Grecia,Irlanda,Italia,Marruecos,Paà­Ses Bajos,Nigeria,Rumania,Espaà±A,United Kingdom</v>
      </c>
    </row>
    <row r="108" spans="1:14" x14ac:dyDescent="0.25">
      <c r="A108" s="6" t="s">
        <v>337</v>
      </c>
      <c r="B108" s="6">
        <v>8242</v>
      </c>
      <c r="C108" s="6" t="s">
        <v>338</v>
      </c>
      <c r="D108" s="7" t="s">
        <v>339</v>
      </c>
      <c r="E108" s="6" t="s">
        <v>340</v>
      </c>
      <c r="F108" s="6" t="s">
        <v>341</v>
      </c>
      <c r="G108" s="8">
        <v>45428</v>
      </c>
      <c r="H108" s="6">
        <v>5.74</v>
      </c>
      <c r="I108" s="6" cm="1">
        <f t="array" ref="I108">IFERROR(VALUE(TRIM(LEFT(E108,MIN(FIND({" ";"g";"k";"m";"o"},E108&amp;" gkmo"))-1))),0)</f>
        <v>4</v>
      </c>
      <c r="J108" s="6" t="str" cm="1">
        <f t="array" ref="J108">IFERROR(TRIM(MID(E108,MIN(FIND({" ";"g";"k";"m";"o"},E108&amp;" gkmo")),10)),"unknown")</f>
        <v>x 35g</v>
      </c>
      <c r="K108" s="6" t="str">
        <f t="shared" si="4"/>
        <v>g</v>
      </c>
      <c r="L108" s="6" t="str">
        <f t="shared" si="5"/>
        <v>Nakd</v>
      </c>
      <c r="M108" s="6" t="str">
        <f t="shared" si="6"/>
        <v>Blueberry Muffin Myrtilles</v>
      </c>
      <c r="N108" s="6" t="str">
        <f t="shared" si="7"/>
        <v>France,Germany,Ireland,Morocco,Poland,United Kingdom</v>
      </c>
    </row>
    <row r="109" spans="1:14" x14ac:dyDescent="0.25">
      <c r="A109" s="6" t="s">
        <v>342</v>
      </c>
      <c r="B109" s="6">
        <v>8901</v>
      </c>
      <c r="C109" s="6" t="s">
        <v>343</v>
      </c>
      <c r="D109" s="7" t="s">
        <v>344</v>
      </c>
      <c r="E109" s="6" t="s">
        <v>345</v>
      </c>
      <c r="F109" s="6" t="s">
        <v>48</v>
      </c>
      <c r="G109" s="8">
        <v>45798</v>
      </c>
      <c r="H109" s="6">
        <v>8.14</v>
      </c>
      <c r="I109" s="6" cm="1">
        <f t="array" ref="I109">IFERROR(VALUE(TRIM(LEFT(E109,MIN(FIND({" ";"g";"k";"m";"o"},E109&amp;" gkmo"))-1))),0)</f>
        <v>52</v>
      </c>
      <c r="J109" s="6" t="str" cm="1">
        <f t="array" ref="J109">IFERROR(TRIM(MID(E109,MIN(FIND({" ";"g";"k";"m";"o"},E109&amp;" gkmo")),10)),"unknown")</f>
        <v>g</v>
      </c>
      <c r="K109" s="6" t="str">
        <f t="shared" si="4"/>
        <v>g</v>
      </c>
      <c r="L109" s="6" t="str">
        <f t="shared" si="5"/>
        <v>Bimo</v>
      </c>
      <c r="M109" s="6" t="str">
        <f t="shared" si="6"/>
        <v>Merendina Big</v>
      </c>
      <c r="N109" s="6" t="str">
        <f t="shared" si="7"/>
        <v>Morocco</v>
      </c>
    </row>
    <row r="110" spans="1:14" x14ac:dyDescent="0.25">
      <c r="A110" s="6" t="s">
        <v>346</v>
      </c>
      <c r="B110" s="6">
        <v>9692</v>
      </c>
      <c r="C110" s="6" t="s">
        <v>7044</v>
      </c>
      <c r="D110" s="7" t="s">
        <v>13</v>
      </c>
      <c r="E110" s="6" t="s">
        <v>347</v>
      </c>
      <c r="F110" s="6" t="s">
        <v>8442</v>
      </c>
      <c r="G110" s="8">
        <v>45386</v>
      </c>
      <c r="H110" s="6">
        <v>21.53</v>
      </c>
      <c r="I110" s="6" cm="1">
        <f t="array" ref="I110">IFERROR(VALUE(TRIM(LEFT(E110,MIN(FIND({" ";"g";"k";"m";"o"},E110&amp;" gkmo"))-1))),0)</f>
        <v>440</v>
      </c>
      <c r="J110" s="6" t="str" cm="1">
        <f t="array" ref="J110">IFERROR(TRIM(MID(E110,MIN(FIND({" ";"g";"k";"m";"o"},E110&amp;" gkmo")),10)),"unknown")</f>
        <v>g</v>
      </c>
      <c r="K110" s="6" t="str">
        <f t="shared" si="4"/>
        <v>g</v>
      </c>
      <c r="L110" s="6" t="str">
        <f t="shared" si="5"/>
        <v>Lu</v>
      </c>
      <c r="M110" s="6" t="str">
        <f t="shared" si="6"/>
        <v>Belvita Original Petit-Déjeuner Miel Et Pépites De Chocolat</v>
      </c>
      <c r="N110" s="6" t="str">
        <f t="shared" si="7"/>
        <v>Belgium,France,French Polynesia,Reunion,Switzerland</v>
      </c>
    </row>
    <row r="111" spans="1:14" x14ac:dyDescent="0.25">
      <c r="A111" s="6" t="s">
        <v>348</v>
      </c>
      <c r="B111" s="6">
        <v>11879</v>
      </c>
      <c r="C111" s="6" t="s">
        <v>7524</v>
      </c>
      <c r="D111" s="7" t="s">
        <v>7017</v>
      </c>
      <c r="E111" s="6" t="s">
        <v>349</v>
      </c>
      <c r="F111" s="6" t="s">
        <v>350</v>
      </c>
      <c r="G111" s="8">
        <v>45970</v>
      </c>
      <c r="H111" s="6">
        <v>11.82</v>
      </c>
      <c r="I111" s="6" cm="1">
        <f t="array" ref="I111">IFERROR(VALUE(TRIM(LEFT(E111,MIN(FIND({" ";"g";"k";"m";"o"},E111&amp;" gkmo"))-1))),0)</f>
        <v>150</v>
      </c>
      <c r="J111" s="6" t="str" cm="1">
        <f t="array" ref="J111">IFERROR(TRIM(MID(E111,MIN(FIND({" ";"g";"k";"m";"o"},E111&amp;" gkmo")),10)),"unknown")</f>
        <v>g (12x 12</v>
      </c>
      <c r="K111" s="6" t="str">
        <f t="shared" si="4"/>
        <v>g</v>
      </c>
      <c r="L111" s="6" t="str">
        <f t="shared" si="5"/>
        <v>Unknown</v>
      </c>
      <c r="M111" s="6" t="str">
        <f t="shared" si="6"/>
        <v>Véritable Petit Écolier Chocolat Au Lait</v>
      </c>
      <c r="N111" s="6" t="str">
        <f t="shared" si="7"/>
        <v>Algeria,Belgium,Canada,France,Morocco,Switzerland</v>
      </c>
    </row>
    <row r="112" spans="1:14" x14ac:dyDescent="0.25">
      <c r="A112" s="6" t="s">
        <v>351</v>
      </c>
      <c r="B112" s="6">
        <v>10003</v>
      </c>
      <c r="C112" s="6" t="s">
        <v>7577</v>
      </c>
      <c r="D112" s="7" t="s">
        <v>7578</v>
      </c>
      <c r="E112" s="6" t="s">
        <v>352</v>
      </c>
      <c r="F112" s="6" t="s">
        <v>7573</v>
      </c>
      <c r="G112" s="8">
        <v>45562</v>
      </c>
      <c r="H112" s="6">
        <v>13.03</v>
      </c>
      <c r="I112" s="6" cm="1">
        <f t="array" ref="I112">IFERROR(VALUE(TRIM(LEFT(E112,MIN(FIND({" ";"g";"k";"m";"o"},E112&amp;" gkmo"))-1))),0)</f>
        <v>170</v>
      </c>
      <c r="J112" s="6" t="str" cm="1">
        <f t="array" ref="J112">IFERROR(TRIM(MID(E112,MIN(FIND({" ";"g";"k";"m";"o"},E112&amp;" gkmo")),10)),"unknown")</f>
        <v>g</v>
      </c>
      <c r="K112" s="6" t="str">
        <f t="shared" si="4"/>
        <v>g</v>
      </c>
      <c r="L112" s="6" t="str">
        <f t="shared" si="5"/>
        <v>Gullà³N</v>
      </c>
      <c r="M112" s="6" t="str">
        <f t="shared" si="6"/>
        <v>Galletas Fibra Zero Azàºcares</v>
      </c>
      <c r="N112" s="6" t="str">
        <f t="shared" si="7"/>
        <v>Portugal,Espaà±A</v>
      </c>
    </row>
    <row r="113" spans="1:14" x14ac:dyDescent="0.25">
      <c r="A113" s="6" t="s">
        <v>353</v>
      </c>
      <c r="B113" s="6">
        <v>13728</v>
      </c>
      <c r="C113" s="6" t="s">
        <v>7045</v>
      </c>
      <c r="D113" s="7" t="s">
        <v>354</v>
      </c>
      <c r="E113" s="6"/>
      <c r="F113" s="6" t="s">
        <v>8297</v>
      </c>
      <c r="G113" s="8">
        <v>45673</v>
      </c>
      <c r="H113" s="6">
        <v>2.77</v>
      </c>
      <c r="I113" s="6" cm="1">
        <f t="array" ref="I113">IFERROR(VALUE(TRIM(LEFT(E113,MIN(FIND({" ";"g";"k";"m";"o"},E113&amp;" gkmo"))-1))),0)</f>
        <v>0</v>
      </c>
      <c r="J113" s="6" t="str" cm="1">
        <f t="array" ref="J113">IFERROR(TRIM(MID(E113,MIN(FIND({" ";"g";"k";"m";"o"},E113&amp;" gkmo")),10)),"unknown")</f>
        <v/>
      </c>
      <c r="K113" s="6" t="str">
        <f t="shared" si="4"/>
        <v>unknown</v>
      </c>
      <c r="L113" s="6" t="str">
        <f t="shared" si="5"/>
        <v>Lu,Mondelez</v>
      </c>
      <c r="M113" s="6" t="str">
        <f t="shared" si="6"/>
        <v>Belvita Petit Déjeuner Chocolat</v>
      </c>
      <c r="N113" s="6" t="str">
        <f t="shared" si="7"/>
        <v>Belgium, France, Guadeloupe, Luxembourg, Belgium, La-Reunion, Switzerland</v>
      </c>
    </row>
    <row r="114" spans="1:14" x14ac:dyDescent="0.25">
      <c r="A114" s="6" t="s">
        <v>355</v>
      </c>
      <c r="B114" s="6">
        <v>9873</v>
      </c>
      <c r="C114" s="6" t="s">
        <v>356</v>
      </c>
      <c r="D114" s="7" t="s">
        <v>357</v>
      </c>
      <c r="E114" s="6" t="s">
        <v>358</v>
      </c>
      <c r="F114" s="6" t="s">
        <v>7921</v>
      </c>
      <c r="G114" s="8">
        <v>45506</v>
      </c>
      <c r="H114" s="6">
        <v>4.7</v>
      </c>
      <c r="I114" s="6" cm="1">
        <f t="array" ref="I114">IFERROR(VALUE(TRIM(LEFT(E114,MIN(FIND({" ";"g";"k";"m";"o"},E114&amp;" gkmo"))-1))),0)</f>
        <v>28</v>
      </c>
      <c r="J114" s="6" t="str" cm="1">
        <f t="array" ref="J114">IFERROR(TRIM(MID(E114,MIN(FIND({" ";"g";"k";"m";"o"},E114&amp;" gkmo")),10)),"unknown")</f>
        <v>gram</v>
      </c>
      <c r="K114" s="6" t="str">
        <f t="shared" si="4"/>
        <v>g</v>
      </c>
      <c r="L114" s="6" t="str">
        <f t="shared" si="5"/>
        <v>Proper</v>
      </c>
      <c r="M114" s="6" t="str">
        <f t="shared" si="6"/>
        <v>Caramelised Popcorn Seasoned With Sea Salt</v>
      </c>
      <c r="N114" s="6" t="str">
        <f t="shared" si="7"/>
        <v>Belgium, France, United Kingdom, Netherlands</v>
      </c>
    </row>
    <row r="115" spans="1:14" x14ac:dyDescent="0.25">
      <c r="A115" s="6" t="s">
        <v>359</v>
      </c>
      <c r="B115" s="6">
        <v>8033</v>
      </c>
      <c r="C115" s="6" t="s">
        <v>360</v>
      </c>
      <c r="D115" s="7" t="s">
        <v>7017</v>
      </c>
      <c r="E115" s="6" t="s">
        <v>28</v>
      </c>
      <c r="F115" s="6" t="s">
        <v>361</v>
      </c>
      <c r="G115" s="8">
        <v>45892</v>
      </c>
      <c r="H115" s="6">
        <v>2.2599999999999998</v>
      </c>
      <c r="I115" s="6" cm="1">
        <f t="array" ref="I115">IFERROR(VALUE(TRIM(LEFT(E115,MIN(FIND({" ";"g";"k";"m";"o"},E115&amp;" gkmo"))-1))),0)</f>
        <v>125</v>
      </c>
      <c r="J115" s="6" t="str" cm="1">
        <f t="array" ref="J115">IFERROR(TRIM(MID(E115,MIN(FIND({" ";"g";"k";"m";"o"},E115&amp;" gkmo")),10)),"unknown")</f>
        <v>g</v>
      </c>
      <c r="K115" s="6" t="str">
        <f t="shared" si="4"/>
        <v>g</v>
      </c>
      <c r="L115" s="6" t="str">
        <f t="shared" si="5"/>
        <v>Unknown</v>
      </c>
      <c r="M115" s="6" t="str">
        <f t="shared" si="6"/>
        <v>Edelbitter Mild 90%</v>
      </c>
      <c r="N115" s="6" t="str">
        <f t="shared" si="7"/>
        <v>Belgium,France,Germany,Morocco,Netherlands,Switzerland</v>
      </c>
    </row>
    <row r="116" spans="1:14" x14ac:dyDescent="0.25">
      <c r="A116" s="6" t="s">
        <v>362</v>
      </c>
      <c r="B116" s="6">
        <v>12748</v>
      </c>
      <c r="C116" s="6" t="s">
        <v>7046</v>
      </c>
      <c r="D116" s="7" t="s">
        <v>363</v>
      </c>
      <c r="E116" s="6" t="s">
        <v>14</v>
      </c>
      <c r="F116" s="6" t="s">
        <v>8444</v>
      </c>
      <c r="G116" s="8">
        <v>45976</v>
      </c>
      <c r="H116" s="6">
        <v>11.48</v>
      </c>
      <c r="I116" s="6" cm="1">
        <f t="array" ref="I116">IFERROR(VALUE(TRIM(LEFT(E116,MIN(FIND({" ";"g";"k";"m";"o"},E116&amp;" gkmo"))-1))),0)</f>
        <v>300</v>
      </c>
      <c r="J116" s="6" t="str" cm="1">
        <f t="array" ref="J116">IFERROR(TRIM(MID(E116,MIN(FIND({" ";"g";"k";"m";"o"},E116&amp;" gkmo")),10)),"unknown")</f>
        <v>g</v>
      </c>
      <c r="K116" s="6" t="str">
        <f t="shared" si="4"/>
        <v>g</v>
      </c>
      <c r="L116" s="6" t="str">
        <f t="shared" si="5"/>
        <v>Lu</v>
      </c>
      <c r="M116" s="6" t="str">
        <f t="shared" si="6"/>
        <v>Véritable Petit Beurre Pocket</v>
      </c>
      <c r="N116" s="6" t="str">
        <f t="shared" si="7"/>
        <v>Belgium,France,Guadeloupe,Lebanon,Reunion,Switzerland</v>
      </c>
    </row>
    <row r="117" spans="1:14" x14ac:dyDescent="0.25">
      <c r="A117" s="6" t="s">
        <v>364</v>
      </c>
      <c r="B117" s="6">
        <v>11980</v>
      </c>
      <c r="C117" s="6" t="s">
        <v>365</v>
      </c>
      <c r="D117" s="7" t="s">
        <v>7017</v>
      </c>
      <c r="E117" s="6" t="s">
        <v>84</v>
      </c>
      <c r="F117" s="6" t="s">
        <v>139</v>
      </c>
      <c r="G117" s="8">
        <v>45869</v>
      </c>
      <c r="H117" s="6">
        <v>1.81</v>
      </c>
      <c r="I117" s="6" cm="1">
        <f t="array" ref="I117">IFERROR(VALUE(TRIM(LEFT(E117,MIN(FIND({" ";"g";"k";"m";"o"},E117&amp;" gkmo"))-1))),0)</f>
        <v>85</v>
      </c>
      <c r="J117" s="6" t="str" cm="1">
        <f t="array" ref="J117">IFERROR(TRIM(MID(E117,MIN(FIND({" ";"g";"k";"m";"o"},E117&amp;" gkmo")),10)),"unknown")</f>
        <v>g</v>
      </c>
      <c r="K117" s="6" t="str">
        <f t="shared" si="4"/>
        <v>g</v>
      </c>
      <c r="L117" s="6" t="str">
        <f t="shared" si="5"/>
        <v>Unknown</v>
      </c>
      <c r="M117" s="6" t="str">
        <f t="shared" si="6"/>
        <v>Chips De Lentilles Saveur Fines Herbes</v>
      </c>
      <c r="N117" s="6" t="str">
        <f t="shared" si="7"/>
        <v>France</v>
      </c>
    </row>
    <row r="118" spans="1:14" x14ac:dyDescent="0.25">
      <c r="A118" s="6" t="s">
        <v>366</v>
      </c>
      <c r="B118" s="6">
        <v>13194</v>
      </c>
      <c r="C118" s="6" t="s">
        <v>367</v>
      </c>
      <c r="D118" s="7" t="s">
        <v>368</v>
      </c>
      <c r="E118" s="6" t="s">
        <v>10</v>
      </c>
      <c r="F118" s="6" t="s">
        <v>139</v>
      </c>
      <c r="G118" s="8">
        <v>45551</v>
      </c>
      <c r="H118" s="6">
        <v>7.37</v>
      </c>
      <c r="I118" s="6" cm="1">
        <f t="array" ref="I118">IFERROR(VALUE(TRIM(LEFT(E118,MIN(FIND({" ";"g";"k";"m";"o"},E118&amp;" gkmo"))-1))),0)</f>
        <v>100</v>
      </c>
      <c r="J118" s="6" t="str" cm="1">
        <f t="array" ref="J118">IFERROR(TRIM(MID(E118,MIN(FIND({" ";"g";"k";"m";"o"},E118&amp;" gkmo")),10)),"unknown")</f>
        <v>g</v>
      </c>
      <c r="K118" s="6" t="str">
        <f t="shared" si="4"/>
        <v>g</v>
      </c>
      <c r="L118" s="6" t="str">
        <f t="shared" si="5"/>
        <v>J.D. Gross</v>
      </c>
      <c r="M118" s="6" t="str">
        <f t="shared" si="6"/>
        <v>Chocolat Noir Equateur Bio</v>
      </c>
      <c r="N118" s="6" t="str">
        <f t="shared" si="7"/>
        <v>France</v>
      </c>
    </row>
    <row r="119" spans="1:14" x14ac:dyDescent="0.25">
      <c r="A119" s="6" t="s">
        <v>369</v>
      </c>
      <c r="B119" s="6">
        <v>9488</v>
      </c>
      <c r="C119" s="6" t="s">
        <v>7047</v>
      </c>
      <c r="D119" s="7" t="s">
        <v>7030</v>
      </c>
      <c r="E119" s="6" t="s">
        <v>120</v>
      </c>
      <c r="F119" s="6" t="s">
        <v>8445</v>
      </c>
      <c r="G119" s="8">
        <v>45422</v>
      </c>
      <c r="H119" s="6">
        <v>3.33</v>
      </c>
      <c r="I119" s="6" cm="1">
        <f t="array" ref="I119">IFERROR(VALUE(TRIM(LEFT(E119,MIN(FIND({" ";"g";"k";"m";"o"},E119&amp;" gkmo"))-1))),0)</f>
        <v>210</v>
      </c>
      <c r="J119" s="6" t="str" cm="1">
        <f t="array" ref="J119">IFERROR(TRIM(MID(E119,MIN(FIND({" ";"g";"k";"m";"o"},E119&amp;" gkmo")),10)),"unknown")</f>
        <v>g</v>
      </c>
      <c r="K119" s="6" t="str">
        <f t="shared" si="4"/>
        <v>g</v>
      </c>
      <c r="L119" s="6" t="str">
        <f t="shared" si="5"/>
        <v>Gerblé</v>
      </c>
      <c r="M119" s="6" t="str">
        <f t="shared" si="6"/>
        <v>Biscuit Complet Au Germe De Blé</v>
      </c>
      <c r="N119" s="6" t="str">
        <f t="shared" si="7"/>
        <v>France,Guadeloupe,Morocco,La Reunion,Switzerland</v>
      </c>
    </row>
    <row r="120" spans="1:14" x14ac:dyDescent="0.25">
      <c r="A120" s="6" t="s">
        <v>370</v>
      </c>
      <c r="B120" s="6">
        <v>9528</v>
      </c>
      <c r="C120" s="6" t="s">
        <v>371</v>
      </c>
      <c r="D120" s="7" t="s">
        <v>372</v>
      </c>
      <c r="E120" s="6" t="s">
        <v>373</v>
      </c>
      <c r="F120" s="6" t="s">
        <v>7922</v>
      </c>
      <c r="G120" s="8">
        <v>45800</v>
      </c>
      <c r="H120" s="6">
        <v>12.59</v>
      </c>
      <c r="I120" s="6" cm="1">
        <f t="array" ref="I120">IFERROR(VALUE(TRIM(LEFT(E120,MIN(FIND({" ";"g";"k";"m";"o"},E120&amp;" gkmo"))-1))),0)</f>
        <v>260</v>
      </c>
      <c r="J120" s="6" t="str" cm="1">
        <f t="array" ref="J120">IFERROR(TRIM(MID(E120,MIN(FIND({" ";"g";"k";"m";"o"},E120&amp;" gkmo")),10)),"unknown")</f>
        <v>g</v>
      </c>
      <c r="K120" s="6" t="str">
        <f t="shared" si="4"/>
        <v>g</v>
      </c>
      <c r="L120" s="6" t="str">
        <f t="shared" si="5"/>
        <v>Lu, Milka</v>
      </c>
      <c r="M120" s="6" t="str">
        <f t="shared" si="6"/>
        <v>Milka Galette Choco</v>
      </c>
      <c r="N120" s="6" t="str">
        <f t="shared" si="7"/>
        <v>France, Germany, Morocco, Spain, Belgium</v>
      </c>
    </row>
    <row r="121" spans="1:14" x14ac:dyDescent="0.25">
      <c r="A121" s="6" t="s">
        <v>374</v>
      </c>
      <c r="B121" s="6">
        <v>5634</v>
      </c>
      <c r="C121" s="6" t="s">
        <v>375</v>
      </c>
      <c r="D121" s="7" t="s">
        <v>376</v>
      </c>
      <c r="E121" s="6" t="s">
        <v>335</v>
      </c>
      <c r="F121" s="6" t="s">
        <v>7923</v>
      </c>
      <c r="G121" s="8">
        <v>45945</v>
      </c>
      <c r="H121" s="6">
        <v>23.74</v>
      </c>
      <c r="I121" s="6" cm="1">
        <f t="array" ref="I121">IFERROR(VALUE(TRIM(LEFT(E121,MIN(FIND({" ";"g";"k";"m";"o"},E121&amp;" gkmo"))-1))),0)</f>
        <v>250</v>
      </c>
      <c r="J121" s="6" t="str" cm="1">
        <f t="array" ref="J121">IFERROR(TRIM(MID(E121,MIN(FIND({" ";"g";"k";"m";"o"},E121&amp;" gkmo")),10)),"unknown")</f>
        <v>g</v>
      </c>
      <c r="K121" s="6" t="str">
        <f t="shared" si="4"/>
        <v>g</v>
      </c>
      <c r="L121" s="6" t="str">
        <f t="shared" si="5"/>
        <v>Ryvita</v>
      </c>
      <c r="M121" s="6" t="str">
        <f t="shared" si="6"/>
        <v>Multigrain Crispbread</v>
      </c>
      <c r="N121" s="6" t="str">
        <f t="shared" si="7"/>
        <v>France, United Kingdom, Ireland</v>
      </c>
    </row>
    <row r="122" spans="1:14" x14ac:dyDescent="0.25">
      <c r="A122" s="6" t="s">
        <v>377</v>
      </c>
      <c r="B122" s="6">
        <v>8438</v>
      </c>
      <c r="C122" s="6" t="s">
        <v>378</v>
      </c>
      <c r="D122" s="7" t="s">
        <v>7048</v>
      </c>
      <c r="E122" s="6" t="s">
        <v>379</v>
      </c>
      <c r="F122" s="6" t="s">
        <v>139</v>
      </c>
      <c r="G122" s="8">
        <v>45732</v>
      </c>
      <c r="H122" s="6">
        <v>12.31</v>
      </c>
      <c r="I122" s="6" cm="1">
        <f t="array" ref="I122">IFERROR(VALUE(TRIM(LEFT(E122,MIN(FIND({" ";"g";"k";"m";"o"},E122&amp;" gkmo"))-1))),0)</f>
        <v>145</v>
      </c>
      <c r="J122" s="6" t="str" cm="1">
        <f t="array" ref="J122">IFERROR(TRIM(MID(E122,MIN(FIND({" ";"g";"k";"m";"o"},E122&amp;" gkmo")),10)),"unknown")</f>
        <v>g</v>
      </c>
      <c r="K122" s="6" t="str">
        <f t="shared" si="4"/>
        <v>g</v>
      </c>
      <c r="L122" s="6" t="str">
        <f t="shared" si="5"/>
        <v>Céréal Bio</v>
      </c>
      <c r="M122" s="6" t="str">
        <f t="shared" si="6"/>
        <v>Tartines Craquantes Sarrasin</v>
      </c>
      <c r="N122" s="6" t="str">
        <f t="shared" si="7"/>
        <v>France</v>
      </c>
    </row>
    <row r="123" spans="1:14" x14ac:dyDescent="0.25">
      <c r="A123" s="6" t="s">
        <v>380</v>
      </c>
      <c r="B123" s="6">
        <v>14724</v>
      </c>
      <c r="C123" s="6" t="s">
        <v>7579</v>
      </c>
      <c r="D123" s="7" t="s">
        <v>60</v>
      </c>
      <c r="E123" s="6" t="s">
        <v>7049</v>
      </c>
      <c r="F123" s="6" t="s">
        <v>1181</v>
      </c>
      <c r="G123" s="8">
        <v>45664</v>
      </c>
      <c r="H123" s="6">
        <v>13.22</v>
      </c>
      <c r="I123" s="6" cm="1">
        <f t="array" ref="I123">IFERROR(VALUE(TRIM(LEFT(E123,MIN(FIND({" ";"g";"k";"m";"o"},E123&amp;" gkmo"))-1))),0)</f>
        <v>100</v>
      </c>
      <c r="J123" s="6" t="str" cm="1">
        <f t="array" ref="J123">IFERROR(TRIM(MID(E123,MIN(FIND({" ";"g";"k";"m";"o"},E123&amp;" gkmo")),10)),"unknown")</f>
        <v>g (10 car</v>
      </c>
      <c r="K123" s="6" t="str">
        <f t="shared" si="4"/>
        <v>g</v>
      </c>
      <c r="L123" s="6" t="str">
        <f t="shared" si="5"/>
        <v>Lindt</v>
      </c>
      <c r="M123" s="6" t="str">
        <f t="shared" si="6"/>
        <v>Excellence Noir À  La Pointe De Fleur De Sel</v>
      </c>
      <c r="N123" s="6" t="str">
        <f t="shared" si="7"/>
        <v>France,Switzerland</v>
      </c>
    </row>
    <row r="124" spans="1:14" x14ac:dyDescent="0.25">
      <c r="A124" s="6" t="s">
        <v>381</v>
      </c>
      <c r="B124" s="6">
        <v>5434</v>
      </c>
      <c r="C124" s="6" t="s">
        <v>7454</v>
      </c>
      <c r="D124" s="7" t="s">
        <v>382</v>
      </c>
      <c r="E124" s="6" t="s">
        <v>291</v>
      </c>
      <c r="F124" s="6" t="s">
        <v>8220</v>
      </c>
      <c r="G124" s="8">
        <v>45761</v>
      </c>
      <c r="H124" s="6">
        <v>12.23</v>
      </c>
      <c r="I124" s="6" cm="1">
        <f t="array" ref="I124">IFERROR(VALUE(TRIM(LEFT(E124,MIN(FIND({" ";"g";"k";"m";"o"},E124&amp;" gkmo"))-1))),0)</f>
        <v>140</v>
      </c>
      <c r="J124" s="6" t="str" cm="1">
        <f t="array" ref="J124">IFERROR(TRIM(MID(E124,MIN(FIND({" ";"g";"k";"m";"o"},E124&amp;" gkmo")),10)),"unknown")</f>
        <v>g</v>
      </c>
      <c r="K124" s="6" t="str">
        <f t="shared" si="4"/>
        <v>g</v>
      </c>
      <c r="L124" s="6" t="str">
        <f t="shared" si="5"/>
        <v>Nakd.,Natural Balance Foods</v>
      </c>
      <c r="M124" s="6" t="str">
        <f t="shared" si="6"/>
        <v>Nakd Cacahuètes - 140G (4X1P)</v>
      </c>
      <c r="N124" s="6" t="str">
        <f t="shared" si="7"/>
        <v>Belgium, France, Luxembourg, Spain, France</v>
      </c>
    </row>
    <row r="125" spans="1:14" x14ac:dyDescent="0.25">
      <c r="A125" s="6" t="s">
        <v>383</v>
      </c>
      <c r="B125" s="6">
        <v>6506</v>
      </c>
      <c r="C125" s="6" t="s">
        <v>384</v>
      </c>
      <c r="D125" s="7" t="s">
        <v>7017</v>
      </c>
      <c r="E125" s="6" t="s">
        <v>14</v>
      </c>
      <c r="F125" s="6" t="s">
        <v>2472</v>
      </c>
      <c r="G125" s="8">
        <v>46032</v>
      </c>
      <c r="H125" s="6">
        <v>14.86</v>
      </c>
      <c r="I125" s="6" cm="1">
        <f t="array" ref="I125">IFERROR(VALUE(TRIM(LEFT(E125,MIN(FIND({" ";"g";"k";"m";"o"},E125&amp;" gkmo"))-1))),0)</f>
        <v>300</v>
      </c>
      <c r="J125" s="6" t="str" cm="1">
        <f t="array" ref="J125">IFERROR(TRIM(MID(E125,MIN(FIND({" ";"g";"k";"m";"o"},E125&amp;" gkmo")),10)),"unknown")</f>
        <v>g</v>
      </c>
      <c r="K125" s="6" t="str">
        <f t="shared" si="4"/>
        <v>g</v>
      </c>
      <c r="L125" s="6" t="str">
        <f t="shared" si="5"/>
        <v>Unknown</v>
      </c>
      <c r="M125" s="6" t="str">
        <f t="shared" si="6"/>
        <v>Cream Crackers</v>
      </c>
      <c r="N125" s="6" t="str">
        <f t="shared" si="7"/>
        <v>France,Switzerland,United Kingdom</v>
      </c>
    </row>
    <row r="126" spans="1:14" x14ac:dyDescent="0.25">
      <c r="A126" s="6" t="s">
        <v>385</v>
      </c>
      <c r="B126" s="6">
        <v>12348</v>
      </c>
      <c r="C126" s="6" t="s">
        <v>7017</v>
      </c>
      <c r="D126" s="7" t="s">
        <v>47</v>
      </c>
      <c r="E126" s="6" t="s">
        <v>386</v>
      </c>
      <c r="F126" s="6" t="s">
        <v>48</v>
      </c>
      <c r="G126" s="8">
        <v>45692</v>
      </c>
      <c r="H126" s="6">
        <v>13.16</v>
      </c>
      <c r="I126" s="6" cm="1">
        <f t="array" ref="I126">IFERROR(VALUE(TRIM(LEFT(E126,MIN(FIND({" ";"g";"k";"m";"o"},E126&amp;" gkmo"))-1))),0)</f>
        <v>8</v>
      </c>
      <c r="J126" s="6" t="str" cm="1">
        <f t="array" ref="J126">IFERROR(TRIM(MID(E126,MIN(FIND({" ";"g";"k";"m";"o"},E126&amp;" gkmo")),10)),"unknown")</f>
        <v>biscuits</v>
      </c>
      <c r="K126" s="6" t="str">
        <f t="shared" si="4"/>
        <v>unknown</v>
      </c>
      <c r="L126" s="6" t="str">
        <f t="shared" si="5"/>
        <v>Excelo</v>
      </c>
      <c r="M126" s="6" t="str">
        <f t="shared" si="6"/>
        <v>Unknown</v>
      </c>
      <c r="N126" s="6" t="str">
        <f t="shared" si="7"/>
        <v>Morocco</v>
      </c>
    </row>
    <row r="127" spans="1:14" x14ac:dyDescent="0.25">
      <c r="A127" s="6" t="s">
        <v>387</v>
      </c>
      <c r="B127" s="6">
        <v>5998</v>
      </c>
      <c r="C127" s="6" t="s">
        <v>388</v>
      </c>
      <c r="D127" s="7" t="s">
        <v>389</v>
      </c>
      <c r="E127" s="6"/>
      <c r="F127" s="6" t="s">
        <v>8317</v>
      </c>
      <c r="G127" s="8">
        <v>45639</v>
      </c>
      <c r="H127" s="6">
        <v>13.4</v>
      </c>
      <c r="I127" s="6" cm="1">
        <f t="array" ref="I127">IFERROR(VALUE(TRIM(LEFT(E127,MIN(FIND({" ";"g";"k";"m";"o"},E127&amp;" gkmo"))-1))),0)</f>
        <v>0</v>
      </c>
      <c r="J127" s="6" t="str" cm="1">
        <f t="array" ref="J127">IFERROR(TRIM(MID(E127,MIN(FIND({" ";"g";"k";"m";"o"},E127&amp;" gkmo")),10)),"unknown")</f>
        <v/>
      </c>
      <c r="K127" s="6" t="str">
        <f t="shared" si="4"/>
        <v>unknown</v>
      </c>
      <c r="L127" s="6" t="str">
        <f t="shared" si="5"/>
        <v>Alesto, Lidl</v>
      </c>
      <c r="M127" s="6" t="str">
        <f t="shared" si="6"/>
        <v>Pistaches De Californie</v>
      </c>
      <c r="N127" s="6" t="str">
        <f t="shared" si="7"/>
        <v>Belgium,Repàºblica Checa,Franà§A,Alemanha,Marrocos,Portugal,Espanha</v>
      </c>
    </row>
    <row r="128" spans="1:14" x14ac:dyDescent="0.25">
      <c r="A128" s="6" t="s">
        <v>390</v>
      </c>
      <c r="B128" s="6">
        <v>13490</v>
      </c>
      <c r="C128" s="6" t="s">
        <v>391</v>
      </c>
      <c r="D128" s="7" t="s">
        <v>392</v>
      </c>
      <c r="E128" s="6"/>
      <c r="F128" s="6" t="s">
        <v>3183</v>
      </c>
      <c r="G128" s="8">
        <v>45414</v>
      </c>
      <c r="H128" s="6">
        <v>6.38</v>
      </c>
      <c r="I128" s="6" cm="1">
        <f t="array" ref="I128">IFERROR(VALUE(TRIM(LEFT(E128,MIN(FIND({" ";"g";"k";"m";"o"},E128&amp;" gkmo"))-1))),0)</f>
        <v>0</v>
      </c>
      <c r="J128" s="6" t="str" cm="1">
        <f t="array" ref="J128">IFERROR(TRIM(MID(E128,MIN(FIND({" ";"g";"k";"m";"o"},E128&amp;" gkmo")),10)),"unknown")</f>
        <v/>
      </c>
      <c r="K128" s="6" t="str">
        <f t="shared" si="4"/>
        <v>unknown</v>
      </c>
      <c r="L128" s="6" t="str">
        <f t="shared" si="5"/>
        <v>Dr Karg'S</v>
      </c>
      <c r="M128" s="6" t="str">
        <f t="shared" si="6"/>
        <v>Organic Crisp Bread</v>
      </c>
      <c r="N128" s="6" t="str">
        <f t="shared" si="7"/>
        <v>France,Germany,United Kingdom</v>
      </c>
    </row>
    <row r="129" spans="1:14" x14ac:dyDescent="0.25">
      <c r="A129" s="6" t="s">
        <v>393</v>
      </c>
      <c r="B129" s="6">
        <v>12990</v>
      </c>
      <c r="C129" s="6" t="s">
        <v>7050</v>
      </c>
      <c r="D129" s="7" t="s">
        <v>209</v>
      </c>
      <c r="E129" s="6" t="s">
        <v>265</v>
      </c>
      <c r="F129" s="6" t="s">
        <v>139</v>
      </c>
      <c r="G129" s="8">
        <v>45360</v>
      </c>
      <c r="H129" s="6">
        <v>21.83</v>
      </c>
      <c r="I129" s="6" cm="1">
        <f t="array" ref="I129">IFERROR(VALUE(TRIM(LEFT(E129,MIN(FIND({" ";"g";"k";"m";"o"},E129&amp;" gkmo"))-1))),0)</f>
        <v>485</v>
      </c>
      <c r="J129" s="6" t="str" cm="1">
        <f t="array" ref="J129">IFERROR(TRIM(MID(E129,MIN(FIND({" ";"g";"k";"m";"o"},E129&amp;" gkmo")),10)),"unknown")</f>
        <v>g</v>
      </c>
      <c r="K129" s="6" t="str">
        <f t="shared" si="4"/>
        <v>g</v>
      </c>
      <c r="L129" s="6" t="str">
        <f t="shared" si="5"/>
        <v>Harrys</v>
      </c>
      <c r="M129" s="6" t="str">
        <f t="shared" si="6"/>
        <v>Brioche Tranchée Recette Classique</v>
      </c>
      <c r="N129" s="6" t="str">
        <f t="shared" si="7"/>
        <v>France</v>
      </c>
    </row>
    <row r="130" spans="1:14" x14ac:dyDescent="0.25">
      <c r="A130" s="6" t="s">
        <v>394</v>
      </c>
      <c r="B130" s="6">
        <v>11250</v>
      </c>
      <c r="C130" s="6" t="s">
        <v>7051</v>
      </c>
      <c r="D130" s="7" t="s">
        <v>306</v>
      </c>
      <c r="E130" s="6"/>
      <c r="F130" s="6" t="s">
        <v>1181</v>
      </c>
      <c r="G130" s="8">
        <v>46042</v>
      </c>
      <c r="H130" s="6">
        <v>15.12</v>
      </c>
      <c r="I130" s="6" cm="1">
        <f t="array" ref="I130">IFERROR(VALUE(TRIM(LEFT(E130,MIN(FIND({" ";"g";"k";"m";"o"},E130&amp;" gkmo"))-1))),0)</f>
        <v>0</v>
      </c>
      <c r="J130" s="6" t="str" cm="1">
        <f t="array" ref="J130">IFERROR(TRIM(MID(E130,MIN(FIND({" ";"g";"k";"m";"o"},E130&amp;" gkmo")),10)),"unknown")</f>
        <v/>
      </c>
      <c r="K130" s="6" t="str">
        <f t="shared" si="4"/>
        <v>unknown</v>
      </c>
      <c r="L130" s="6" t="str">
        <f t="shared" si="5"/>
        <v>Lu</v>
      </c>
      <c r="M130" s="6" t="str">
        <f t="shared" si="6"/>
        <v>Véritable Petit Beurre</v>
      </c>
      <c r="N130" s="6" t="str">
        <f t="shared" si="7"/>
        <v>France,Switzerland</v>
      </c>
    </row>
    <row r="131" spans="1:14" x14ac:dyDescent="0.25">
      <c r="A131" s="6" t="s">
        <v>395</v>
      </c>
      <c r="B131" s="6">
        <v>11785</v>
      </c>
      <c r="C131" s="6" t="s">
        <v>7052</v>
      </c>
      <c r="D131" s="7" t="s">
        <v>7017</v>
      </c>
      <c r="E131" s="6" t="s">
        <v>396</v>
      </c>
      <c r="F131" s="6" t="s">
        <v>213</v>
      </c>
      <c r="G131" s="8">
        <v>45712</v>
      </c>
      <c r="H131" s="6">
        <v>6.11</v>
      </c>
      <c r="I131" s="6" cm="1">
        <f t="array" ref="I131">IFERROR(VALUE(TRIM(LEFT(E131,MIN(FIND({" ";"g";"k";"m";"o"},E131&amp;" gkmo"))-1))),0)</f>
        <v>150</v>
      </c>
      <c r="J131" s="6" t="str" cm="1">
        <f t="array" ref="J131">IFERROR(TRIM(MID(E131,MIN(FIND({" ";"g";"k";"m";"o"},E131&amp;" gkmo")),10)),"unknown")</f>
        <v>g â„®</v>
      </c>
      <c r="K131" s="6" t="str">
        <f t="shared" ref="K131:K194" si="8">IF(E131="","unknown",IF(OR(J131="g",LEFT(J131,1)="g"),"g",IF(OR(LEFT(J131,2)="kg",LEFT(J131,2)="ki"),"kg",IF(OR(LEFT(J131,2)="ml",LEFT(J131,1)="m"),"ml",IF(LEFT(J131,1)="l","l",IF(ISNUMBER(SEARCH("g",E131)),"g",IF(ISNUMBER(SEARCH("kg",E131)),"kg",IF(ISNUMBER(SEARCH("ml",E131)),"ml","unknown"))))))))</f>
        <v>g</v>
      </c>
      <c r="L131" s="6" t="str">
        <f t="shared" ref="L131:L194" si="9">IF(D131="","Unknown",PROPER(TRIM(D131)))</f>
        <v>Unknown</v>
      </c>
      <c r="M131" s="6" t="str">
        <f t="shared" ref="M131:M194" si="10">IF(C131="Unknown","Unknown",PROPER(TRIM(C131)))</f>
        <v>Sweet &amp; Salty Nut Chocolat Noir Et Mélange De Noix, 5 Barres De 30 G</v>
      </c>
      <c r="N131" s="6" t="str">
        <f t="shared" ref="N131:N194" si="11">IF(F131="","Unknown",PROPER(TRIM(F131)))</f>
        <v>Belgium,France</v>
      </c>
    </row>
    <row r="132" spans="1:14" x14ac:dyDescent="0.25">
      <c r="A132" s="6" t="s">
        <v>397</v>
      </c>
      <c r="B132" s="6">
        <v>9726</v>
      </c>
      <c r="C132" s="6" t="s">
        <v>398</v>
      </c>
      <c r="D132" s="7" t="s">
        <v>399</v>
      </c>
      <c r="E132" s="6" t="s">
        <v>151</v>
      </c>
      <c r="F132" s="6" t="s">
        <v>400</v>
      </c>
      <c r="G132" s="8">
        <v>45593</v>
      </c>
      <c r="H132" s="6">
        <v>11.21</v>
      </c>
      <c r="I132" s="6" cm="1">
        <f t="array" ref="I132">IFERROR(VALUE(TRIM(LEFT(E132,MIN(FIND({" ";"g";"k";"m";"o"},E132&amp;" gkmo"))-1))),0)</f>
        <v>200</v>
      </c>
      <c r="J132" s="6" t="str" cm="1">
        <f t="array" ref="J132">IFERROR(TRIM(MID(E132,MIN(FIND({" ";"g";"k";"m";"o"},E132&amp;" gkmo")),10)),"unknown")</f>
        <v>g</v>
      </c>
      <c r="K132" s="6" t="str">
        <f t="shared" si="8"/>
        <v>g</v>
      </c>
      <c r="L132" s="6" t="str">
        <f t="shared" si="9"/>
        <v>Nairn'S</v>
      </c>
      <c r="M132" s="6" t="str">
        <f t="shared" si="10"/>
        <v>Cheese Oatcakes</v>
      </c>
      <c r="N132" s="6" t="str">
        <f t="shared" si="11"/>
        <v>France,United Kingdom</v>
      </c>
    </row>
    <row r="133" spans="1:14" x14ac:dyDescent="0.25">
      <c r="A133" s="6" t="s">
        <v>401</v>
      </c>
      <c r="B133" s="6">
        <v>12015</v>
      </c>
      <c r="C133" s="6" t="s">
        <v>175</v>
      </c>
      <c r="D133" s="7" t="s">
        <v>7053</v>
      </c>
      <c r="E133" s="6" t="s">
        <v>18</v>
      </c>
      <c r="F133" s="6" t="s">
        <v>402</v>
      </c>
      <c r="G133" s="8">
        <v>46051</v>
      </c>
      <c r="H133" s="6">
        <v>17.47</v>
      </c>
      <c r="I133" s="6" cm="1">
        <f t="array" ref="I133">IFERROR(VALUE(TRIM(LEFT(E133,MIN(FIND({" ";"g";"k";"m";"o"},E133&amp;" gkmo"))-1))),0)</f>
        <v>100</v>
      </c>
      <c r="J133" s="6" t="str" cm="1">
        <f t="array" ref="J133">IFERROR(TRIM(MID(E133,MIN(FIND({" ";"g";"k";"m";"o"},E133&amp;" gkmo")),10)),"unknown")</f>
        <v>g</v>
      </c>
      <c r="K133" s="6" t="str">
        <f t="shared" si="8"/>
        <v>g</v>
      </c>
      <c r="L133" s="6" t="str">
        <f t="shared" si="9"/>
        <v>Fin Carré</v>
      </c>
      <c r="M133" s="6" t="str">
        <f t="shared" si="10"/>
        <v>Dark Chocolate</v>
      </c>
      <c r="N133" s="6" t="str">
        <f t="shared" si="11"/>
        <v>Finland,France,Germany,Italy,Latvia,Switzerland,United Kingdom,United States,Czech Republic</v>
      </c>
    </row>
    <row r="134" spans="1:14" x14ac:dyDescent="0.25">
      <c r="A134" s="6" t="s">
        <v>403</v>
      </c>
      <c r="B134" s="6">
        <v>12675</v>
      </c>
      <c r="C134" s="6" t="s">
        <v>404</v>
      </c>
      <c r="D134" s="7" t="s">
        <v>405</v>
      </c>
      <c r="E134" s="6" t="s">
        <v>406</v>
      </c>
      <c r="F134" s="6" t="s">
        <v>407</v>
      </c>
      <c r="G134" s="8">
        <v>45675</v>
      </c>
      <c r="H134" s="6">
        <v>9.6999999999999993</v>
      </c>
      <c r="I134" s="6" cm="1">
        <f t="array" ref="I134">IFERROR(VALUE(TRIM(LEFT(E134,MIN(FIND({" ";"g";"k";"m";"o"},E134&amp;" gkmo"))-1))),0)</f>
        <v>720</v>
      </c>
      <c r="J134" s="6" t="str" cm="1">
        <f t="array" ref="J134">IFERROR(TRIM(MID(E134,MIN(FIND({" ";"g";"k";"m";"o"},E134&amp;" gkmo")),10)),"unknown")</f>
        <v>g - 36</v>
      </c>
      <c r="K134" s="6" t="str">
        <f t="shared" si="8"/>
        <v>g</v>
      </c>
      <c r="L134" s="6" t="str">
        <f t="shared" si="9"/>
        <v>Crownfield - Lidl</v>
      </c>
      <c r="M134" s="6" t="str">
        <f t="shared" si="10"/>
        <v>Wholegrain Wheat Bixies</v>
      </c>
      <c r="N134" s="6" t="str">
        <f t="shared" si="11"/>
        <v>Ireland, Malta</v>
      </c>
    </row>
    <row r="135" spans="1:14" x14ac:dyDescent="0.25">
      <c r="A135" s="6" t="s">
        <v>408</v>
      </c>
      <c r="B135" s="6">
        <v>9652</v>
      </c>
      <c r="C135" s="6" t="s">
        <v>409</v>
      </c>
      <c r="D135" s="7" t="s">
        <v>13</v>
      </c>
      <c r="E135" s="6" t="s">
        <v>410</v>
      </c>
      <c r="F135" s="6" t="s">
        <v>139</v>
      </c>
      <c r="G135" s="8">
        <v>45583</v>
      </c>
      <c r="H135" s="6">
        <v>1.26</v>
      </c>
      <c r="I135" s="6" cm="1">
        <f t="array" ref="I135">IFERROR(VALUE(TRIM(LEFT(E135,MIN(FIND({" ";"g";"k";"m";"o"},E135&amp;" gkmo"))-1))),0)</f>
        <v>184</v>
      </c>
      <c r="J135" s="6" t="str" cm="1">
        <f t="array" ref="J135">IFERROR(TRIM(MID(E135,MIN(FIND({" ";"g";"k";"m";"o"},E135&amp;" gkmo")),10)),"unknown")</f>
        <v>g</v>
      </c>
      <c r="K135" s="6" t="str">
        <f t="shared" si="8"/>
        <v>g</v>
      </c>
      <c r="L135" s="6" t="str">
        <f t="shared" si="9"/>
        <v>Lu</v>
      </c>
      <c r="M135" s="6" t="str">
        <f t="shared" si="10"/>
        <v>Granola Lu</v>
      </c>
      <c r="N135" s="6" t="str">
        <f t="shared" si="11"/>
        <v>France</v>
      </c>
    </row>
    <row r="136" spans="1:14" x14ac:dyDescent="0.25">
      <c r="A136" s="6" t="s">
        <v>411</v>
      </c>
      <c r="B136" s="6">
        <v>14293</v>
      </c>
      <c r="C136" s="6" t="s">
        <v>412</v>
      </c>
      <c r="D136" s="7" t="s">
        <v>1355</v>
      </c>
      <c r="E136" s="6" t="s">
        <v>197</v>
      </c>
      <c r="F136" s="6" t="s">
        <v>8446</v>
      </c>
      <c r="G136" s="8">
        <v>45543</v>
      </c>
      <c r="H136" s="6">
        <v>13.16</v>
      </c>
      <c r="I136" s="6" cm="1">
        <f t="array" ref="I136">IFERROR(VALUE(TRIM(LEFT(E136,MIN(FIND({" ";"g";"k";"m";"o"},E136&amp;" gkmo"))-1))),0)</f>
        <v>130</v>
      </c>
      <c r="J136" s="6" t="str" cm="1">
        <f t="array" ref="J136">IFERROR(TRIM(MID(E136,MIN(FIND({" ";"g";"k";"m";"o"},E136&amp;" gkmo")),10)),"unknown")</f>
        <v>g</v>
      </c>
      <c r="K136" s="6" t="str">
        <f t="shared" si="8"/>
        <v>g</v>
      </c>
      <c r="L136" s="6" t="str">
        <f t="shared" si="9"/>
        <v>Lay'S</v>
      </c>
      <c r="M136" s="6" t="str">
        <f t="shared" si="10"/>
        <v>Cuites Au Four Nature</v>
      </c>
      <c r="N136" s="6" t="str">
        <f t="shared" si="11"/>
        <v>Belgium,France,Reunion</v>
      </c>
    </row>
    <row r="137" spans="1:14" x14ac:dyDescent="0.25">
      <c r="A137" s="6" t="s">
        <v>413</v>
      </c>
      <c r="B137" s="6">
        <v>5950</v>
      </c>
      <c r="C137" s="6" t="s">
        <v>414</v>
      </c>
      <c r="D137" s="7" t="s">
        <v>112</v>
      </c>
      <c r="E137" s="6" t="s">
        <v>415</v>
      </c>
      <c r="F137" s="6" t="s">
        <v>7924</v>
      </c>
      <c r="G137" s="8">
        <v>45929</v>
      </c>
      <c r="H137" s="6">
        <v>11.05</v>
      </c>
      <c r="I137" s="6" cm="1">
        <f t="array" ref="I137">IFERROR(VALUE(TRIM(LEFT(E137,MIN(FIND({" ";"g";"k";"m";"o"},E137&amp;" gkmo"))-1))),0)</f>
        <v>185</v>
      </c>
      <c r="J137" s="6" t="str" cm="1">
        <f t="array" ref="J137">IFERROR(TRIM(MID(E137,MIN(FIND({" ";"g";"k";"m";"o"},E137&amp;" gkmo")),10)),"unknown")</f>
        <v>g</v>
      </c>
      <c r="K137" s="6" t="str">
        <f t="shared" si="8"/>
        <v>g</v>
      </c>
      <c r="L137" s="6" t="str">
        <f t="shared" si="9"/>
        <v>Pringles</v>
      </c>
      <c r="M137" s="6" t="str">
        <f t="shared" si="10"/>
        <v>Sour Cream &amp; Onion Chips</v>
      </c>
      <c r="N137" s="6" t="str">
        <f t="shared" si="11"/>
        <v>France, Germany, Spain, Switzerland, United Kingdom, Austria</v>
      </c>
    </row>
    <row r="138" spans="1:14" x14ac:dyDescent="0.25">
      <c r="A138" s="6" t="s">
        <v>416</v>
      </c>
      <c r="B138" s="6">
        <v>9071</v>
      </c>
      <c r="C138" s="6" t="s">
        <v>7455</v>
      </c>
      <c r="D138" s="7" t="s">
        <v>306</v>
      </c>
      <c r="E138" s="6" t="s">
        <v>417</v>
      </c>
      <c r="F138" s="6" t="s">
        <v>8472</v>
      </c>
      <c r="G138" s="8">
        <v>45491</v>
      </c>
      <c r="H138" s="6">
        <v>24.59</v>
      </c>
      <c r="I138" s="6" cm="1">
        <f t="array" ref="I138">IFERROR(VALUE(TRIM(LEFT(E138,MIN(FIND({" ";"g";"k";"m";"o"},E138&amp;" gkmo"))-1))),0)</f>
        <v>400</v>
      </c>
      <c r="J138" s="6" t="str" cm="1">
        <f t="array" ref="J138">IFERROR(TRIM(MID(E138,MIN(FIND({" ";"g";"k";"m";"o"},E138&amp;" gkmo")),10)),"unknown")</f>
        <v>gram</v>
      </c>
      <c r="K138" s="6" t="str">
        <f t="shared" si="8"/>
        <v>g</v>
      </c>
      <c r="L138" s="6" t="str">
        <f t="shared" si="9"/>
        <v>Lu</v>
      </c>
      <c r="M138" s="6" t="str">
        <f t="shared" si="10"/>
        <v>Belvita Brut &amp; 5 Céréales Complètes</v>
      </c>
      <c r="N138" s="6" t="str">
        <f t="shared" si="11"/>
        <v>Belgium,France,Luxembourg,New Caledonia,Switzerland</v>
      </c>
    </row>
    <row r="139" spans="1:14" x14ac:dyDescent="0.25">
      <c r="A139" s="6" t="s">
        <v>418</v>
      </c>
      <c r="B139" s="6">
        <v>13641</v>
      </c>
      <c r="C139" s="6" t="s">
        <v>7017</v>
      </c>
      <c r="D139" s="7" t="s">
        <v>419</v>
      </c>
      <c r="E139" s="6" t="s">
        <v>420</v>
      </c>
      <c r="F139" s="6" t="s">
        <v>8208</v>
      </c>
      <c r="G139" s="8">
        <v>45794</v>
      </c>
      <c r="H139" s="6">
        <v>13.16</v>
      </c>
      <c r="I139" s="6" cm="1">
        <f t="array" ref="I139">IFERROR(VALUE(TRIM(LEFT(E139,MIN(FIND({" ";"g";"k";"m";"o"},E139&amp;" gkmo"))-1))),0)</f>
        <v>1.5</v>
      </c>
      <c r="J139" s="6" t="str" cm="1">
        <f t="array" ref="J139">IFERROR(TRIM(MID(E139,MIN(FIND({" ";"g";"k";"m";"o"},E139&amp;" gkmo")),10)),"unknown")</f>
        <v>g</v>
      </c>
      <c r="K139" s="6" t="str">
        <f t="shared" si="8"/>
        <v>g</v>
      </c>
      <c r="L139" s="6" t="str">
        <f t="shared" si="9"/>
        <v>Clorets</v>
      </c>
      <c r="M139" s="6" t="str">
        <f t="shared" si="10"/>
        <v>Unknown</v>
      </c>
      <c r="N139" s="6" t="str">
        <f t="shared" si="11"/>
        <v>Morocco,France</v>
      </c>
    </row>
    <row r="140" spans="1:14" x14ac:dyDescent="0.25">
      <c r="A140" s="6" t="s">
        <v>421</v>
      </c>
      <c r="B140" s="6">
        <v>11499</v>
      </c>
      <c r="C140" s="6" t="s">
        <v>422</v>
      </c>
      <c r="D140" s="7" t="s">
        <v>27</v>
      </c>
      <c r="E140" s="6" t="s">
        <v>423</v>
      </c>
      <c r="F140" s="6" t="s">
        <v>424</v>
      </c>
      <c r="G140" s="8">
        <v>46030</v>
      </c>
      <c r="H140" s="6">
        <v>2.66</v>
      </c>
      <c r="I140" s="6" cm="1">
        <f t="array" ref="I140">IFERROR(VALUE(TRIM(LEFT(E140,MIN(FIND({" ";"g";"k";"m";"o"},E140&amp;" gkmo"))-1))),0)</f>
        <v>125</v>
      </c>
      <c r="J140" s="6" t="str" cm="1">
        <f t="array" ref="J140">IFERROR(TRIM(MID(E140,MIN(FIND({" ";"g";"k";"m";"o"},E140&amp;" gkmo")),10)),"unknown")</f>
        <v>g</v>
      </c>
      <c r="K140" s="6" t="str">
        <f t="shared" si="8"/>
        <v>g</v>
      </c>
      <c r="L140" s="6" t="str">
        <f t="shared" si="9"/>
        <v>J. D. Gross</v>
      </c>
      <c r="M140" s="6" t="str">
        <f t="shared" si="10"/>
        <v>Chocolate Negro 95% Cacao</v>
      </c>
      <c r="N140" s="6" t="str">
        <f t="shared" si="11"/>
        <v>Francuska,NjemaäKa,Å Panjolska,Hrvatska,Slovenija,GräKa,Cipar</v>
      </c>
    </row>
    <row r="141" spans="1:14" x14ac:dyDescent="0.25">
      <c r="A141" s="6" t="s">
        <v>425</v>
      </c>
      <c r="B141" s="6">
        <v>10355</v>
      </c>
      <c r="C141" s="6" t="s">
        <v>7580</v>
      </c>
      <c r="D141" s="7" t="s">
        <v>7030</v>
      </c>
      <c r="E141" s="6" t="s">
        <v>297</v>
      </c>
      <c r="F141" s="6" t="s">
        <v>8447</v>
      </c>
      <c r="G141" s="8">
        <v>45379</v>
      </c>
      <c r="H141" s="6">
        <v>8.33</v>
      </c>
      <c r="I141" s="6" cm="1">
        <f t="array" ref="I141">IFERROR(VALUE(TRIM(LEFT(E141,MIN(FIND({" ";"g";"k";"m";"o"},E141&amp;" gkmo"))-1))),0)</f>
        <v>360</v>
      </c>
      <c r="J141" s="6" t="str" cm="1">
        <f t="array" ref="J141">IFERROR(TRIM(MID(E141,MIN(FIND({" ";"g";"k";"m";"o"},E141&amp;" gkmo")),10)),"unknown")</f>
        <v>g</v>
      </c>
      <c r="K141" s="6" t="str">
        <f t="shared" si="8"/>
        <v>g</v>
      </c>
      <c r="L141" s="6" t="str">
        <f t="shared" si="9"/>
        <v>Gerblé</v>
      </c>
      <c r="M141" s="6" t="str">
        <f t="shared" si="10"/>
        <v>Goà»Ter Aux Raisins</v>
      </c>
      <c r="N141" s="6" t="str">
        <f t="shared" si="11"/>
        <v>Belgium,France,La Reunion,Switzerland</v>
      </c>
    </row>
    <row r="142" spans="1:14" x14ac:dyDescent="0.25">
      <c r="A142" s="6" t="s">
        <v>426</v>
      </c>
      <c r="B142" s="6">
        <v>6562</v>
      </c>
      <c r="C142" s="6" t="s">
        <v>427</v>
      </c>
      <c r="D142" s="7" t="s">
        <v>261</v>
      </c>
      <c r="E142" s="6" t="s">
        <v>276</v>
      </c>
      <c r="F142" s="6" t="s">
        <v>8389</v>
      </c>
      <c r="G142" s="8">
        <v>45587</v>
      </c>
      <c r="H142" s="6">
        <v>23.61</v>
      </c>
      <c r="I142" s="6" cm="1">
        <f t="array" ref="I142">IFERROR(VALUE(TRIM(LEFT(E142,MIN(FIND({" ";"g";"k";"m";"o"},E142&amp;" gkmo"))-1))),0)</f>
        <v>40</v>
      </c>
      <c r="J142" s="6" t="str" cm="1">
        <f t="array" ref="J142">IFERROR(TRIM(MID(E142,MIN(FIND({" ";"g";"k";"m";"o"},E142&amp;" gkmo")),10)),"unknown")</f>
        <v>g</v>
      </c>
      <c r="K142" s="6" t="str">
        <f t="shared" si="8"/>
        <v>g</v>
      </c>
      <c r="L142" s="6" t="str">
        <f t="shared" si="9"/>
        <v>Pringles,Kellogg'S</v>
      </c>
      <c r="M142" s="6" t="str">
        <f t="shared" si="10"/>
        <v>Pringles Sour Cream &amp; Onion</v>
      </c>
      <c r="N142" s="6" t="str">
        <f t="shared" si="11"/>
        <v>Austria,Belgium,France,Germany,Marruecos,Paà­Ses Bajos,Espaà±A,Switzerland,United Kingdom</v>
      </c>
    </row>
    <row r="143" spans="1:14" x14ac:dyDescent="0.25">
      <c r="A143" s="6" t="s">
        <v>428</v>
      </c>
      <c r="B143" s="6">
        <v>13557</v>
      </c>
      <c r="C143" s="6" t="s">
        <v>7054</v>
      </c>
      <c r="D143" s="7" t="s">
        <v>429</v>
      </c>
      <c r="E143" s="6" t="s">
        <v>430</v>
      </c>
      <c r="F143" s="6" t="s">
        <v>1181</v>
      </c>
      <c r="G143" s="8">
        <v>45673</v>
      </c>
      <c r="H143" s="6">
        <v>5.67</v>
      </c>
      <c r="I143" s="6" cm="1">
        <f t="array" ref="I143">IFERROR(VALUE(TRIM(LEFT(E143,MIN(FIND({" ";"g";"k";"m";"o"},E143&amp;" gkmo"))-1))),0)</f>
        <v>276</v>
      </c>
      <c r="J143" s="6" t="str" cm="1">
        <f t="array" ref="J143">IFERROR(TRIM(MID(E143,MIN(FIND({" ";"g";"k";"m";"o"},E143&amp;" gkmo")),10)),"unknown")</f>
        <v>g</v>
      </c>
      <c r="K143" s="6" t="str">
        <f t="shared" si="8"/>
        <v>g</v>
      </c>
      <c r="L143" s="6" t="str">
        <f t="shared" si="9"/>
        <v>Granola,Lu,Mondelez</v>
      </c>
      <c r="M143" s="6" t="str">
        <f t="shared" si="10"/>
        <v>Granola L'Original Gros Éclats De Chocolat</v>
      </c>
      <c r="N143" s="6" t="str">
        <f t="shared" si="11"/>
        <v>France,Switzerland</v>
      </c>
    </row>
    <row r="144" spans="1:14" x14ac:dyDescent="0.25">
      <c r="A144" s="6" t="s">
        <v>431</v>
      </c>
      <c r="B144" s="6">
        <v>8300</v>
      </c>
      <c r="C144" s="6" t="s">
        <v>432</v>
      </c>
      <c r="D144" s="7" t="s">
        <v>433</v>
      </c>
      <c r="E144" s="6" t="s">
        <v>18</v>
      </c>
      <c r="F144" s="6" t="s">
        <v>8390</v>
      </c>
      <c r="G144" s="8">
        <v>45388</v>
      </c>
      <c r="H144" s="6">
        <v>22.51</v>
      </c>
      <c r="I144" s="6" cm="1">
        <f t="array" ref="I144">IFERROR(VALUE(TRIM(LEFT(E144,MIN(FIND({" ";"g";"k";"m";"o"},E144&amp;" gkmo"))-1))),0)</f>
        <v>100</v>
      </c>
      <c r="J144" s="6" t="str" cm="1">
        <f t="array" ref="J144">IFERROR(TRIM(MID(E144,MIN(FIND({" ";"g";"k";"m";"o"},E144&amp;" gkmo")),10)),"unknown")</f>
        <v>g</v>
      </c>
      <c r="K144" s="6" t="str">
        <f t="shared" si="8"/>
        <v>g</v>
      </c>
      <c r="L144" s="6" t="str">
        <f t="shared" si="9"/>
        <v>Toblerone</v>
      </c>
      <c r="M144" s="6" t="str">
        <f t="shared" si="10"/>
        <v>Milk Chocolate With Honey And Almond Nougat</v>
      </c>
      <c r="N144" s="6" t="str">
        <f t="shared" si="11"/>
        <v>Algeria,Australia,Belgium,Bolivia,Bulgaria,Dinamarca,Finlandia,France,Germany,Italia,Marruecos,Noruega,Polonia,Rumania,Espaà±A,Suecia,Switzerland,Tailandia,Ucrania,United Kingdom</v>
      </c>
    </row>
    <row r="145" spans="1:14" x14ac:dyDescent="0.25">
      <c r="A145" s="6" t="s">
        <v>434</v>
      </c>
      <c r="B145" s="6">
        <v>14087</v>
      </c>
      <c r="C145" s="6" t="s">
        <v>435</v>
      </c>
      <c r="D145" s="7" t="s">
        <v>43</v>
      </c>
      <c r="E145" s="6" t="s">
        <v>436</v>
      </c>
      <c r="F145" s="6" t="s">
        <v>7920</v>
      </c>
      <c r="G145" s="8">
        <v>45460</v>
      </c>
      <c r="H145" s="6">
        <v>22.67</v>
      </c>
      <c r="I145" s="6" cm="1">
        <f t="array" ref="I145">IFERROR(VALUE(TRIM(LEFT(E145,MIN(FIND({" ";"g";"k";"m";"o"},E145&amp;" gkmo"))-1))),0)</f>
        <v>90</v>
      </c>
      <c r="J145" s="6" t="str" cm="1">
        <f t="array" ref="J145">IFERROR(TRIM(MID(E145,MIN(FIND({" ";"g";"k";"m";"o"},E145&amp;" gkmo")),10)),"unknown")</f>
        <v>g</v>
      </c>
      <c r="K145" s="6" t="str">
        <f t="shared" si="8"/>
        <v>g</v>
      </c>
      <c r="L145" s="6" t="str">
        <f t="shared" si="9"/>
        <v>Green &amp; Black'S</v>
      </c>
      <c r="M145" s="6" t="str">
        <f t="shared" si="10"/>
        <v>Organic Milk Chocolate</v>
      </c>
      <c r="N145" s="6" t="str">
        <f t="shared" si="11"/>
        <v>United Kingdom, Ireland</v>
      </c>
    </row>
    <row r="146" spans="1:14" x14ac:dyDescent="0.25">
      <c r="A146" s="6" t="s">
        <v>437</v>
      </c>
      <c r="B146" s="6">
        <v>7641</v>
      </c>
      <c r="C146" s="6" t="s">
        <v>438</v>
      </c>
      <c r="D146" s="7" t="s">
        <v>439</v>
      </c>
      <c r="E146" s="6" t="s">
        <v>10</v>
      </c>
      <c r="F146" s="6" t="s">
        <v>511</v>
      </c>
      <c r="G146" s="8">
        <v>46048</v>
      </c>
      <c r="H146" s="6">
        <v>23.04</v>
      </c>
      <c r="I146" s="6" cm="1">
        <f t="array" ref="I146">IFERROR(VALUE(TRIM(LEFT(E146,MIN(FIND({" ";"g";"k";"m";"o"},E146&amp;" gkmo"))-1))),0)</f>
        <v>100</v>
      </c>
      <c r="J146" s="6" t="str" cm="1">
        <f t="array" ref="J146">IFERROR(TRIM(MID(E146,MIN(FIND({" ";"g";"k";"m";"o"},E146&amp;" gkmo")),10)),"unknown")</f>
        <v>g</v>
      </c>
      <c r="K146" s="6" t="str">
        <f t="shared" si="8"/>
        <v>g</v>
      </c>
      <c r="L146" s="6" t="str">
        <f t="shared" si="9"/>
        <v>Poulain</v>
      </c>
      <c r="M146" s="6" t="str">
        <f t="shared" si="10"/>
        <v>Noir Extra</v>
      </c>
      <c r="N146" s="6" t="str">
        <f t="shared" si="11"/>
        <v>France,Morocco</v>
      </c>
    </row>
    <row r="147" spans="1:14" x14ac:dyDescent="0.25">
      <c r="A147" s="6" t="s">
        <v>440</v>
      </c>
      <c r="B147" s="6">
        <v>9230</v>
      </c>
      <c r="C147" s="6" t="s">
        <v>441</v>
      </c>
      <c r="D147" s="7" t="s">
        <v>72</v>
      </c>
      <c r="E147" s="6" t="s">
        <v>151</v>
      </c>
      <c r="F147" s="6" t="s">
        <v>442</v>
      </c>
      <c r="G147" s="8">
        <v>45446</v>
      </c>
      <c r="H147" s="6">
        <v>17.62</v>
      </c>
      <c r="I147" s="6" cm="1">
        <f t="array" ref="I147">IFERROR(VALUE(TRIM(LEFT(E147,MIN(FIND({" ";"g";"k";"m";"o"},E147&amp;" gkmo"))-1))),0)</f>
        <v>200</v>
      </c>
      <c r="J147" s="6" t="str" cm="1">
        <f t="array" ref="J147">IFERROR(TRIM(MID(E147,MIN(FIND({" ";"g";"k";"m";"o"},E147&amp;" gkmo")),10)),"unknown")</f>
        <v>g</v>
      </c>
      <c r="K147" s="6" t="str">
        <f t="shared" si="8"/>
        <v>g</v>
      </c>
      <c r="L147" s="6" t="str">
        <f t="shared" si="9"/>
        <v>Bjorg</v>
      </c>
      <c r="M147" s="6" t="str">
        <f t="shared" si="10"/>
        <v>Le Cookie Chocolat Noisette</v>
      </c>
      <c r="N147" s="6" t="str">
        <f t="shared" si="11"/>
        <v>Frankreich</v>
      </c>
    </row>
    <row r="148" spans="1:14" x14ac:dyDescent="0.25">
      <c r="A148" s="6" t="s">
        <v>443</v>
      </c>
      <c r="B148" s="6">
        <v>6586</v>
      </c>
      <c r="C148" s="6" t="s">
        <v>20</v>
      </c>
      <c r="D148" s="7" t="s">
        <v>294</v>
      </c>
      <c r="E148" s="6" t="s">
        <v>444</v>
      </c>
      <c r="F148" s="6" t="s">
        <v>8209</v>
      </c>
      <c r="G148" s="8">
        <v>45664</v>
      </c>
      <c r="H148" s="6">
        <v>21.63</v>
      </c>
      <c r="I148" s="6" cm="1">
        <f t="array" ref="I148">IFERROR(VALUE(TRIM(LEFT(E148,MIN(FIND({" ";"g";"k";"m";"o"},E148&amp;" gkmo"))-1))),0)</f>
        <v>121</v>
      </c>
      <c r="J148" s="6" t="str" cm="1">
        <f t="array" ref="J148">IFERROR(TRIM(MID(E148,MIN(FIND({" ";"g";"k";"m";"o"},E148&amp;" gkmo")),10)),"unknown")</f>
        <v>g</v>
      </c>
      <c r="K148" s="6" t="str">
        <f t="shared" si="8"/>
        <v>g</v>
      </c>
      <c r="L148" s="6" t="str">
        <f t="shared" si="9"/>
        <v>Bimo</v>
      </c>
      <c r="M148" s="6" t="str">
        <f t="shared" si="10"/>
        <v>Tonik</v>
      </c>
      <c r="N148" s="6" t="str">
        <f t="shared" si="11"/>
        <v>France,Morocco,Morocco,</v>
      </c>
    </row>
    <row r="149" spans="1:14" x14ac:dyDescent="0.25">
      <c r="A149" s="6" t="s">
        <v>445</v>
      </c>
      <c r="B149" s="6">
        <v>8105</v>
      </c>
      <c r="C149" s="6" t="s">
        <v>7055</v>
      </c>
      <c r="D149" s="7" t="s">
        <v>7456</v>
      </c>
      <c r="E149" s="6" t="s">
        <v>446</v>
      </c>
      <c r="F149" s="6" t="s">
        <v>139</v>
      </c>
      <c r="G149" s="8">
        <v>46027</v>
      </c>
      <c r="H149" s="6">
        <v>13.16</v>
      </c>
      <c r="I149" s="6" cm="1">
        <f t="array" ref="I149">IFERROR(VALUE(TRIM(LEFT(E149,MIN(FIND({" ";"g";"k";"m";"o"},E149&amp;" gkmo"))-1))),0)</f>
        <v>450</v>
      </c>
      <c r="J149" s="6" t="str" cm="1">
        <f t="array" ref="J149">IFERROR(TRIM(MID(E149,MIN(FIND({" ";"g";"k";"m";"o"},E149&amp;" gkmo")),10)),"unknown")</f>
        <v>g</v>
      </c>
      <c r="K149" s="6" t="str">
        <f t="shared" si="8"/>
        <v>g</v>
      </c>
      <c r="L149" s="6" t="str">
        <f t="shared" si="9"/>
        <v>La Boulangère</v>
      </c>
      <c r="M149" s="6" t="str">
        <f t="shared" si="10"/>
        <v>Tartines Céréales 450G</v>
      </c>
      <c r="N149" s="6" t="str">
        <f t="shared" si="11"/>
        <v>France</v>
      </c>
    </row>
    <row r="150" spans="1:14" x14ac:dyDescent="0.25">
      <c r="A150" s="6" t="s">
        <v>447</v>
      </c>
      <c r="B150" s="6">
        <v>7206</v>
      </c>
      <c r="C150" s="6" t="s">
        <v>448</v>
      </c>
      <c r="D150" s="7" t="s">
        <v>449</v>
      </c>
      <c r="E150" s="6" t="s">
        <v>123</v>
      </c>
      <c r="F150" s="6" t="s">
        <v>511</v>
      </c>
      <c r="G150" s="8">
        <v>45616</v>
      </c>
      <c r="H150" s="6">
        <v>16.28</v>
      </c>
      <c r="I150" s="6" cm="1">
        <f t="array" ref="I150">IFERROR(VALUE(TRIM(LEFT(E150,MIN(FIND({" ";"g";"k";"m";"o"},E150&amp;" gkmo"))-1))),0)</f>
        <v>50</v>
      </c>
      <c r="J150" s="6" t="str" cm="1">
        <f t="array" ref="J150">IFERROR(TRIM(MID(E150,MIN(FIND({" ";"g";"k";"m";"o"},E150&amp;" gkmo")),10)),"unknown")</f>
        <v>g</v>
      </c>
      <c r="K150" s="6" t="str">
        <f t="shared" si="8"/>
        <v>g</v>
      </c>
      <c r="L150" s="6" t="str">
        <f t="shared" si="9"/>
        <v>Henry'S</v>
      </c>
      <c r="M150" s="6" t="str">
        <f t="shared" si="10"/>
        <v>Spofy</v>
      </c>
      <c r="N150" s="6" t="str">
        <f t="shared" si="11"/>
        <v>France,Morocco</v>
      </c>
    </row>
    <row r="151" spans="1:14" x14ac:dyDescent="0.25">
      <c r="A151" s="6" t="s">
        <v>450</v>
      </c>
      <c r="B151" s="6">
        <v>9909</v>
      </c>
      <c r="C151" s="6" t="s">
        <v>451</v>
      </c>
      <c r="D151" s="7" t="s">
        <v>452</v>
      </c>
      <c r="E151" s="6"/>
      <c r="F151" s="6" t="s">
        <v>7573</v>
      </c>
      <c r="G151" s="8">
        <v>45900</v>
      </c>
      <c r="H151" s="6">
        <v>8.32</v>
      </c>
      <c r="I151" s="6" cm="1">
        <f t="array" ref="I151">IFERROR(VALUE(TRIM(LEFT(E151,MIN(FIND({" ";"g";"k";"m";"o"},E151&amp;" gkmo"))-1))),0)</f>
        <v>0</v>
      </c>
      <c r="J151" s="6" t="str" cm="1">
        <f t="array" ref="J151">IFERROR(TRIM(MID(E151,MIN(FIND({" ";"g";"k";"m";"o"},E151&amp;" gkmo")),10)),"unknown")</f>
        <v/>
      </c>
      <c r="K151" s="6" t="str">
        <f t="shared" si="8"/>
        <v>unknown</v>
      </c>
      <c r="L151" s="6" t="str">
        <f t="shared" si="9"/>
        <v>Hacendado</v>
      </c>
      <c r="M151" s="6" t="str">
        <f t="shared" si="10"/>
        <v>Digestive Avena</v>
      </c>
      <c r="N151" s="6" t="str">
        <f t="shared" si="11"/>
        <v>Portugal,Espaà±A</v>
      </c>
    </row>
    <row r="152" spans="1:14" x14ac:dyDescent="0.25">
      <c r="A152" s="6" t="s">
        <v>453</v>
      </c>
      <c r="B152" s="6">
        <v>8890</v>
      </c>
      <c r="C152" s="6" t="s">
        <v>454</v>
      </c>
      <c r="D152" s="7" t="s">
        <v>455</v>
      </c>
      <c r="E152" s="6" t="s">
        <v>197</v>
      </c>
      <c r="F152" s="6" t="s">
        <v>456</v>
      </c>
      <c r="G152" s="8">
        <v>45425</v>
      </c>
      <c r="H152" s="6">
        <v>10.36</v>
      </c>
      <c r="I152" s="6" cm="1">
        <f t="array" ref="I152">IFERROR(VALUE(TRIM(LEFT(E152,MIN(FIND({" ";"g";"k";"m";"o"},E152&amp;" gkmo"))-1))),0)</f>
        <v>130</v>
      </c>
      <c r="J152" s="6" t="str" cm="1">
        <f t="array" ref="J152">IFERROR(TRIM(MID(E152,MIN(FIND({" ";"g";"k";"m";"o"},E152&amp;" gkmo")),10)),"unknown")</f>
        <v>g</v>
      </c>
      <c r="K152" s="6" t="str">
        <f t="shared" si="8"/>
        <v>g</v>
      </c>
      <c r="L152" s="6" t="str">
        <f t="shared" si="9"/>
        <v>St Michel</v>
      </c>
      <c r="M152" s="6" t="str">
        <f t="shared" si="10"/>
        <v>Galettes St Michel Au Beurre 4X5 - 130G</v>
      </c>
      <c r="N152" s="6" t="str">
        <f t="shared" si="11"/>
        <v>Belgien, Frankreich, Guadeloupe, Italien, Martinique, Marokko, Schweiz, Germany</v>
      </c>
    </row>
    <row r="153" spans="1:14" x14ac:dyDescent="0.25">
      <c r="A153" s="6" t="s">
        <v>457</v>
      </c>
      <c r="B153" s="6">
        <v>12868</v>
      </c>
      <c r="C153" s="6" t="s">
        <v>458</v>
      </c>
      <c r="D153" s="7" t="s">
        <v>459</v>
      </c>
      <c r="E153" s="6"/>
      <c r="F153" s="6" t="s">
        <v>139</v>
      </c>
      <c r="G153" s="8">
        <v>46017</v>
      </c>
      <c r="H153" s="6">
        <v>4.41</v>
      </c>
      <c r="I153" s="6" cm="1">
        <f t="array" ref="I153">IFERROR(VALUE(TRIM(LEFT(E153,MIN(FIND({" ";"g";"k";"m";"o"},E153&amp;" gkmo"))-1))),0)</f>
        <v>0</v>
      </c>
      <c r="J153" s="6" t="str" cm="1">
        <f t="array" ref="J153">IFERROR(TRIM(MID(E153,MIN(FIND({" ";"g";"k";"m";"o"},E153&amp;" gkmo")),10)),"unknown")</f>
        <v/>
      </c>
      <c r="K153" s="6" t="str">
        <f t="shared" si="8"/>
        <v>unknown</v>
      </c>
      <c r="L153" s="6" t="str">
        <f t="shared" si="9"/>
        <v>Brun,Mondelez</v>
      </c>
      <c r="M153" s="6" t="str">
        <f t="shared" si="10"/>
        <v>Petit Brun Extra</v>
      </c>
      <c r="N153" s="6" t="str">
        <f t="shared" si="11"/>
        <v>France</v>
      </c>
    </row>
    <row r="154" spans="1:14" x14ac:dyDescent="0.25">
      <c r="A154" s="6" t="s">
        <v>460</v>
      </c>
      <c r="B154" s="6">
        <v>8081</v>
      </c>
      <c r="C154" s="6" t="s">
        <v>461</v>
      </c>
      <c r="D154" s="7" t="s">
        <v>199</v>
      </c>
      <c r="E154" s="6" t="s">
        <v>138</v>
      </c>
      <c r="F154" s="6" t="s">
        <v>139</v>
      </c>
      <c r="G154" s="8">
        <v>45566</v>
      </c>
      <c r="H154" s="6">
        <v>1.85</v>
      </c>
      <c r="I154" s="6" cm="1">
        <f t="array" ref="I154">IFERROR(VALUE(TRIM(LEFT(E154,MIN(FIND({" ";"g";"k";"m";"o"},E154&amp;" gkmo"))-1))),0)</f>
        <v>400</v>
      </c>
      <c r="J154" s="6" t="str" cm="1">
        <f t="array" ref="J154">IFERROR(TRIM(MID(E154,MIN(FIND({" ";"g";"k";"m";"o"},E154&amp;" gkmo")),10)),"unknown")</f>
        <v>g</v>
      </c>
      <c r="K154" s="6" t="str">
        <f t="shared" si="8"/>
        <v>g</v>
      </c>
      <c r="L154" s="6" t="str">
        <f t="shared" si="9"/>
        <v>Bn</v>
      </c>
      <c r="M154" s="6" t="str">
        <f t="shared" si="10"/>
        <v>Bn - Casse Croute Biscuits, 375G</v>
      </c>
      <c r="N154" s="6" t="str">
        <f t="shared" si="11"/>
        <v>France</v>
      </c>
    </row>
    <row r="155" spans="1:14" x14ac:dyDescent="0.25">
      <c r="A155" s="6" t="s">
        <v>462</v>
      </c>
      <c r="B155" s="6">
        <v>13160</v>
      </c>
      <c r="C155" s="6" t="s">
        <v>7581</v>
      </c>
      <c r="D155" s="7" t="s">
        <v>7030</v>
      </c>
      <c r="E155" s="6" t="s">
        <v>297</v>
      </c>
      <c r="F155" s="6" t="s">
        <v>139</v>
      </c>
      <c r="G155" s="8">
        <v>45976</v>
      </c>
      <c r="H155" s="6">
        <v>5.87</v>
      </c>
      <c r="I155" s="6" cm="1">
        <f t="array" ref="I155">IFERROR(VALUE(TRIM(LEFT(E155,MIN(FIND({" ";"g";"k";"m";"o"},E155&amp;" gkmo"))-1))),0)</f>
        <v>360</v>
      </c>
      <c r="J155" s="6" t="str" cm="1">
        <f t="array" ref="J155">IFERROR(TRIM(MID(E155,MIN(FIND({" ";"g";"k";"m";"o"},E155&amp;" gkmo")),10)),"unknown")</f>
        <v>g</v>
      </c>
      <c r="K155" s="6" t="str">
        <f t="shared" si="8"/>
        <v>g</v>
      </c>
      <c r="L155" s="6" t="str">
        <f t="shared" si="9"/>
        <v>Gerblé</v>
      </c>
      <c r="M155" s="6" t="str">
        <f t="shared" si="10"/>
        <v>Goà»Ter Aux Écorces Confites</v>
      </c>
      <c r="N155" s="6" t="str">
        <f t="shared" si="11"/>
        <v>France</v>
      </c>
    </row>
    <row r="156" spans="1:14" x14ac:dyDescent="0.25">
      <c r="A156" s="6" t="s">
        <v>463</v>
      </c>
      <c r="B156" s="6">
        <v>14348</v>
      </c>
      <c r="C156" s="6" t="s">
        <v>464</v>
      </c>
      <c r="D156" s="7" t="s">
        <v>465</v>
      </c>
      <c r="E156" s="6" t="s">
        <v>423</v>
      </c>
      <c r="F156" s="6" t="s">
        <v>8367</v>
      </c>
      <c r="G156" s="8">
        <v>45623</v>
      </c>
      <c r="H156" s="6">
        <v>13.16</v>
      </c>
      <c r="I156" s="6" cm="1">
        <f t="array" ref="I156">IFERROR(VALUE(TRIM(LEFT(E156,MIN(FIND({" ";"g";"k";"m";"o"},E156&amp;" gkmo"))-1))),0)</f>
        <v>125</v>
      </c>
      <c r="J156" s="6" t="str" cm="1">
        <f t="array" ref="J156">IFERROR(TRIM(MID(E156,MIN(FIND({" ";"g";"k";"m";"o"},E156&amp;" gkmo")),10)),"unknown")</f>
        <v>g</v>
      </c>
      <c r="K156" s="6" t="str">
        <f t="shared" si="8"/>
        <v>g</v>
      </c>
      <c r="L156" s="6" t="str">
        <f t="shared" si="9"/>
        <v>J.D. Gross</v>
      </c>
      <c r="M156" s="6" t="str">
        <f t="shared" si="10"/>
        <v>Ð¨Ð¾Ðºð¾Ð»Ð°Ð´ Ñ 6% Ð¿Ð°Ñ€Ñ‡Ðµð½Ñ†Ð° Ð¼Ð°Ð»Ð¸Ð½Ð¸</v>
      </c>
      <c r="N156" s="6" t="str">
        <f t="shared" si="11"/>
        <v>Bulgarie,France,Italie,Portugal,Spain,Switzerland,United Kingdom</v>
      </c>
    </row>
    <row r="157" spans="1:14" x14ac:dyDescent="0.25">
      <c r="A157" s="6" t="s">
        <v>466</v>
      </c>
      <c r="B157" s="6">
        <v>5600</v>
      </c>
      <c r="C157" s="6" t="s">
        <v>467</v>
      </c>
      <c r="D157" s="7" t="s">
        <v>468</v>
      </c>
      <c r="E157" s="6" t="s">
        <v>18</v>
      </c>
      <c r="F157" s="6" t="s">
        <v>7925</v>
      </c>
      <c r="G157" s="8">
        <v>45866</v>
      </c>
      <c r="H157" s="6">
        <v>18.95</v>
      </c>
      <c r="I157" s="6" cm="1">
        <f t="array" ref="I157">IFERROR(VALUE(TRIM(LEFT(E157,MIN(FIND({" ";"g";"k";"m";"o"},E157&amp;" gkmo"))-1))),0)</f>
        <v>100</v>
      </c>
      <c r="J157" s="6" t="str" cm="1">
        <f t="array" ref="J157">IFERROR(TRIM(MID(E157,MIN(FIND({" ";"g";"k";"m";"o"},E157&amp;" gkmo")),10)),"unknown")</f>
        <v>g</v>
      </c>
      <c r="K157" s="6" t="str">
        <f t="shared" si="8"/>
        <v>g</v>
      </c>
      <c r="L157" s="6" t="str">
        <f t="shared" si="9"/>
        <v>Milka, Mondelez</v>
      </c>
      <c r="M157" s="6" t="str">
        <f t="shared" si="10"/>
        <v>Milka Tablette Noisette</v>
      </c>
      <c r="N157" s="6" t="str">
        <f t="shared" si="11"/>
        <v>Algeria, Austria, Czech Republic, France, Germany, Morocco, Switzerland, Slovakia</v>
      </c>
    </row>
    <row r="158" spans="1:14" x14ac:dyDescent="0.25">
      <c r="A158" s="6" t="s">
        <v>469</v>
      </c>
      <c r="B158" s="6">
        <v>14640</v>
      </c>
      <c r="C158" s="6" t="s">
        <v>7056</v>
      </c>
      <c r="D158" s="7" t="s">
        <v>7030</v>
      </c>
      <c r="E158" s="6" t="s">
        <v>470</v>
      </c>
      <c r="F158" s="6" t="s">
        <v>8298</v>
      </c>
      <c r="G158" s="8">
        <v>45732</v>
      </c>
      <c r="H158" s="6">
        <v>13.36</v>
      </c>
      <c r="I158" s="6" cm="1">
        <f t="array" ref="I158">IFERROR(VALUE(TRIM(LEFT(E158,MIN(FIND({" ";"g";"k";"m";"o"},E158&amp;" gkmo"))-1))),0)</f>
        <v>132</v>
      </c>
      <c r="J158" s="6" t="str" cm="1">
        <f t="array" ref="J158">IFERROR(TRIM(MID(E158,MIN(FIND({" ";"g";"k";"m";"o"},E158&amp;" gkmo")),10)),"unknown")</f>
        <v>g</v>
      </c>
      <c r="K158" s="6" t="str">
        <f t="shared" si="8"/>
        <v>g</v>
      </c>
      <c r="L158" s="6" t="str">
        <f t="shared" si="9"/>
        <v>Gerblé</v>
      </c>
      <c r="M158" s="6" t="str">
        <f t="shared" si="10"/>
        <v>Sablé Saveur Coco</v>
      </c>
      <c r="N158" s="6" t="str">
        <f t="shared" si="11"/>
        <v>Belgium,France,Thaà¯Lande</v>
      </c>
    </row>
    <row r="159" spans="1:14" x14ac:dyDescent="0.25">
      <c r="A159" s="6" t="s">
        <v>471</v>
      </c>
      <c r="B159" s="6">
        <v>8062</v>
      </c>
      <c r="C159" s="6" t="s">
        <v>472</v>
      </c>
      <c r="D159" s="7" t="s">
        <v>473</v>
      </c>
      <c r="E159" s="6" t="s">
        <v>335</v>
      </c>
      <c r="F159" s="6" t="s">
        <v>8448</v>
      </c>
      <c r="G159" s="8">
        <v>45407</v>
      </c>
      <c r="H159" s="6">
        <v>16.82</v>
      </c>
      <c r="I159" s="6" cm="1">
        <f t="array" ref="I159">IFERROR(VALUE(TRIM(LEFT(E159,MIN(FIND({" ";"g";"k";"m";"o"},E159&amp;" gkmo"))-1))),0)</f>
        <v>250</v>
      </c>
      <c r="J159" s="6" t="str" cm="1">
        <f t="array" ref="J159">IFERROR(TRIM(MID(E159,MIN(FIND({" ";"g";"k";"m";"o"},E159&amp;" gkmo")),10)),"unknown")</f>
        <v>g</v>
      </c>
      <c r="K159" s="6" t="str">
        <f t="shared" si="8"/>
        <v>g</v>
      </c>
      <c r="L159" s="6" t="str">
        <f t="shared" si="9"/>
        <v>Belvita, Lu, Mondelez International</v>
      </c>
      <c r="M159" s="6" t="str">
        <f t="shared" si="10"/>
        <v>Moelleux Chocolat</v>
      </c>
      <c r="N159" s="6" t="str">
        <f t="shared" si="11"/>
        <v>Belgium,France,Morocco,La Reunion,Switzerland</v>
      </c>
    </row>
    <row r="160" spans="1:14" x14ac:dyDescent="0.25">
      <c r="A160" s="6" t="s">
        <v>474</v>
      </c>
      <c r="B160" s="6">
        <v>14012</v>
      </c>
      <c r="C160" s="6" t="s">
        <v>475</v>
      </c>
      <c r="D160" s="7" t="s">
        <v>7017</v>
      </c>
      <c r="E160" s="6" t="s">
        <v>476</v>
      </c>
      <c r="F160" s="6" t="s">
        <v>860</v>
      </c>
      <c r="G160" s="8">
        <v>45715</v>
      </c>
      <c r="H160" s="6">
        <v>13.16</v>
      </c>
      <c r="I160" s="6" cm="1">
        <f t="array" ref="I160">IFERROR(VALUE(TRIM(LEFT(E160,MIN(FIND({" ";"g";"k";"m";"o"},E160&amp;" gkmo"))-1))),0)</f>
        <v>45</v>
      </c>
      <c r="J160" s="6" t="str" cm="1">
        <f t="array" ref="J160">IFERROR(TRIM(MID(E160,MIN(FIND({" ";"g";"k";"m";"o"},E160&amp;" gkmo")),10)),"unknown")</f>
        <v>g</v>
      </c>
      <c r="K160" s="6" t="str">
        <f t="shared" si="8"/>
        <v>g</v>
      </c>
      <c r="L160" s="6" t="str">
        <f t="shared" si="9"/>
        <v>Unknown</v>
      </c>
      <c r="M160" s="6" t="str">
        <f t="shared" si="10"/>
        <v>Capri Choco</v>
      </c>
      <c r="N160" s="6" t="str">
        <f t="shared" si="11"/>
        <v>Ma</v>
      </c>
    </row>
    <row r="161" spans="1:14" x14ac:dyDescent="0.25">
      <c r="A161" s="6" t="s">
        <v>477</v>
      </c>
      <c r="B161" s="6">
        <v>12873</v>
      </c>
      <c r="C161" s="6" t="s">
        <v>478</v>
      </c>
      <c r="D161" s="7" t="s">
        <v>287</v>
      </c>
      <c r="E161" s="6" t="s">
        <v>479</v>
      </c>
      <c r="F161" s="6" t="s">
        <v>8254</v>
      </c>
      <c r="G161" s="8">
        <v>45649</v>
      </c>
      <c r="H161" s="6">
        <v>24.19</v>
      </c>
      <c r="I161" s="6" cm="1">
        <f t="array" ref="I161">IFERROR(VALUE(TRIM(LEFT(E161,MIN(FIND({" ";"g";"k";"m";"o"},E161&amp;" gkmo"))-1))),0)</f>
        <v>375</v>
      </c>
      <c r="J161" s="6" t="str" cm="1">
        <f t="array" ref="J161">IFERROR(TRIM(MID(E161,MIN(FIND({" ";"g";"k";"m";"o"},E161&amp;" gkmo")),10)),"unknown")</f>
        <v>g</v>
      </c>
      <c r="K161" s="6" t="str">
        <f t="shared" si="8"/>
        <v>g</v>
      </c>
      <c r="L161" s="6" t="str">
        <f t="shared" si="9"/>
        <v>Ferrero</v>
      </c>
      <c r="M161" s="6" t="str">
        <f t="shared" si="10"/>
        <v>Ferrero Rocher</v>
      </c>
      <c r="N161" s="6" t="str">
        <f t="shared" si="11"/>
        <v>Algeria,France,Germany,Irlande,Morocco</v>
      </c>
    </row>
    <row r="162" spans="1:14" x14ac:dyDescent="0.25">
      <c r="A162" s="6" t="s">
        <v>480</v>
      </c>
      <c r="B162" s="6">
        <v>11952</v>
      </c>
      <c r="C162" s="6" t="s">
        <v>481</v>
      </c>
      <c r="D162" s="7" t="s">
        <v>27</v>
      </c>
      <c r="E162" s="6" t="s">
        <v>423</v>
      </c>
      <c r="F162" s="6" t="s">
        <v>482</v>
      </c>
      <c r="G162" s="8">
        <v>45505</v>
      </c>
      <c r="H162" s="6">
        <v>1.32</v>
      </c>
      <c r="I162" s="6" cm="1">
        <f t="array" ref="I162">IFERROR(VALUE(TRIM(LEFT(E162,MIN(FIND({" ";"g";"k";"m";"o"},E162&amp;" gkmo"))-1))),0)</f>
        <v>125</v>
      </c>
      <c r="J162" s="6" t="str" cm="1">
        <f t="array" ref="J162">IFERROR(TRIM(MID(E162,MIN(FIND({" ";"g";"k";"m";"o"},E162&amp;" gkmo")),10)),"unknown")</f>
        <v>g</v>
      </c>
      <c r="K162" s="6" t="str">
        <f t="shared" si="8"/>
        <v>g</v>
      </c>
      <c r="L162" s="6" t="str">
        <f t="shared" si="9"/>
        <v>J. D. Gross</v>
      </c>
      <c r="M162" s="6" t="str">
        <f t="shared" si="10"/>
        <v>Noir Degustation 70% Caramel</v>
      </c>
      <c r="N162" s="6" t="str">
        <f t="shared" si="11"/>
        <v>France,Germany,Italy,Spain,United Kingdom</v>
      </c>
    </row>
    <row r="163" spans="1:14" x14ac:dyDescent="0.25">
      <c r="A163" s="6" t="s">
        <v>483</v>
      </c>
      <c r="B163" s="6">
        <v>9846</v>
      </c>
      <c r="C163" s="6" t="s">
        <v>7057</v>
      </c>
      <c r="D163" s="7" t="s">
        <v>484</v>
      </c>
      <c r="E163" s="6" t="s">
        <v>18</v>
      </c>
      <c r="F163" s="6" t="s">
        <v>485</v>
      </c>
      <c r="G163" s="8">
        <v>45433</v>
      </c>
      <c r="H163" s="6">
        <v>20.25</v>
      </c>
      <c r="I163" s="6" cm="1">
        <f t="array" ref="I163">IFERROR(VALUE(TRIM(LEFT(E163,MIN(FIND({" ";"g";"k";"m";"o"},E163&amp;" gkmo"))-1))),0)</f>
        <v>100</v>
      </c>
      <c r="J163" s="6" t="str" cm="1">
        <f t="array" ref="J163">IFERROR(TRIM(MID(E163,MIN(FIND({" ";"g";"k";"m";"o"},E163&amp;" gkmo")),10)),"unknown")</f>
        <v>g</v>
      </c>
      <c r="K163" s="6" t="str">
        <f t="shared" si="8"/>
        <v>g</v>
      </c>
      <c r="L163" s="6" t="str">
        <f t="shared" si="9"/>
        <v>Lindt Excellence</v>
      </c>
      <c r="M163" s="6" t="str">
        <f t="shared" si="10"/>
        <v>Excellence Noir Délicat Doux 85% Cacao</v>
      </c>
      <c r="N163" s="6" t="str">
        <f t="shared" si="11"/>
        <v>Austria,Czech Republic,France,Germany,Morocco</v>
      </c>
    </row>
    <row r="164" spans="1:14" x14ac:dyDescent="0.25">
      <c r="A164" s="6" t="s">
        <v>486</v>
      </c>
      <c r="B164" s="6">
        <v>11322</v>
      </c>
      <c r="C164" s="6" t="s">
        <v>487</v>
      </c>
      <c r="D164" s="7" t="s">
        <v>488</v>
      </c>
      <c r="E164" s="6" t="s">
        <v>489</v>
      </c>
      <c r="F164" s="6" t="s">
        <v>1181</v>
      </c>
      <c r="G164" s="8">
        <v>45798</v>
      </c>
      <c r="H164" s="6">
        <v>16.68</v>
      </c>
      <c r="I164" s="6" cm="1">
        <f t="array" ref="I164">IFERROR(VALUE(TRIM(LEFT(E164,MIN(FIND({" ";"g";"k";"m";"o"},E164&amp;" gkmo"))-1))),0)</f>
        <v>300</v>
      </c>
      <c r="J164" s="6" t="str" cm="1">
        <f t="array" ref="J164">IFERROR(TRIM(MID(E164,MIN(FIND({" ";"g";"k";"m";"o"},E164&amp;" gkmo")),10)),"unknown")</f>
        <v>g (12 sac</v>
      </c>
      <c r="K164" s="6" t="str">
        <f t="shared" si="8"/>
        <v>g</v>
      </c>
      <c r="L164" s="6" t="str">
        <f t="shared" si="9"/>
        <v>Bonne Maman</v>
      </c>
      <c r="M164" s="6" t="str">
        <f t="shared" si="10"/>
        <v>La Madeleine Pur Beurre</v>
      </c>
      <c r="N164" s="6" t="str">
        <f t="shared" si="11"/>
        <v>France,Switzerland</v>
      </c>
    </row>
    <row r="165" spans="1:14" x14ac:dyDescent="0.25">
      <c r="A165" s="6" t="s">
        <v>490</v>
      </c>
      <c r="B165" s="6">
        <v>13882</v>
      </c>
      <c r="C165" s="6" t="s">
        <v>7017</v>
      </c>
      <c r="D165" s="7" t="s">
        <v>294</v>
      </c>
      <c r="E165" s="6" t="s">
        <v>491</v>
      </c>
      <c r="F165" s="6" t="s">
        <v>48</v>
      </c>
      <c r="G165" s="8">
        <v>45796</v>
      </c>
      <c r="H165" s="6">
        <v>13.16</v>
      </c>
      <c r="I165" s="6" cm="1">
        <f t="array" ref="I165">IFERROR(VALUE(TRIM(LEFT(E165,MIN(FIND({" ";"g";"k";"m";"o"},E165&amp;" gkmo"))-1))),0)</f>
        <v>41</v>
      </c>
      <c r="J165" s="6" t="str" cm="1">
        <f t="array" ref="J165">IFERROR(TRIM(MID(E165,MIN(FIND({" ";"g";"k";"m";"o"},E165&amp;" gkmo")),10)),"unknown")</f>
        <v>g</v>
      </c>
      <c r="K165" s="6" t="str">
        <f t="shared" si="8"/>
        <v>g</v>
      </c>
      <c r="L165" s="6" t="str">
        <f t="shared" si="9"/>
        <v>Bimo</v>
      </c>
      <c r="M165" s="6" t="str">
        <f t="shared" si="10"/>
        <v>Unknown</v>
      </c>
      <c r="N165" s="6" t="str">
        <f t="shared" si="11"/>
        <v>Morocco</v>
      </c>
    </row>
    <row r="166" spans="1:14" x14ac:dyDescent="0.25">
      <c r="A166" s="6" t="s">
        <v>492</v>
      </c>
      <c r="B166" s="6">
        <v>7254</v>
      </c>
      <c r="C166" s="6" t="s">
        <v>493</v>
      </c>
      <c r="D166" s="7" t="s">
        <v>494</v>
      </c>
      <c r="E166" s="6" t="s">
        <v>495</v>
      </c>
      <c r="F166" s="6" t="s">
        <v>177</v>
      </c>
      <c r="G166" s="8">
        <v>45535</v>
      </c>
      <c r="H166" s="6">
        <v>20.63</v>
      </c>
      <c r="I166" s="6" cm="1">
        <f t="array" ref="I166">IFERROR(VALUE(TRIM(LEFT(E166,MIN(FIND({" ";"g";"k";"m";"o"},E166&amp;" gkmo"))-1))),0)</f>
        <v>35</v>
      </c>
      <c r="J166" s="6" t="str" cm="1">
        <f t="array" ref="J166">IFERROR(TRIM(MID(E166,MIN(FIND({" ";"g";"k";"m";"o"},E166&amp;" gkmo")),10)),"unknown")</f>
        <v>g</v>
      </c>
      <c r="K166" s="6" t="str">
        <f t="shared" si="8"/>
        <v>g</v>
      </c>
      <c r="L166" s="6" t="str">
        <f t="shared" si="9"/>
        <v>NäKd</v>
      </c>
      <c r="M166" s="6" t="str">
        <f t="shared" si="10"/>
        <v>Blueberry Muffin Raw Fruit &amp; Nut Bar</v>
      </c>
      <c r="N166" s="6" t="str">
        <f t="shared" si="11"/>
        <v>United Kingdom</v>
      </c>
    </row>
    <row r="167" spans="1:14" x14ac:dyDescent="0.25">
      <c r="A167" s="6" t="s">
        <v>496</v>
      </c>
      <c r="B167" s="6">
        <v>14014</v>
      </c>
      <c r="C167" s="6" t="s">
        <v>497</v>
      </c>
      <c r="D167" s="7" t="s">
        <v>498</v>
      </c>
      <c r="E167" s="6" t="s">
        <v>499</v>
      </c>
      <c r="F167" s="6" t="s">
        <v>500</v>
      </c>
      <c r="G167" s="8">
        <v>45580</v>
      </c>
      <c r="H167" s="6">
        <v>13.24</v>
      </c>
      <c r="I167" s="6" cm="1">
        <f t="array" ref="I167">IFERROR(VALUE(TRIM(LEFT(E167,MIN(FIND({" ";"g";"k";"m";"o"},E167&amp;" gkmo"))-1))),0)</f>
        <v>154</v>
      </c>
      <c r="J167" s="6" t="str" cm="1">
        <f t="array" ref="J167">IFERROR(TRIM(MID(E167,MIN(FIND({" ";"g";"k";"m";"o"},E167&amp;" gkmo")),10)),"unknown")</f>
        <v>g</v>
      </c>
      <c r="K167" s="6" t="str">
        <f t="shared" si="8"/>
        <v>g</v>
      </c>
      <c r="L167" s="6" t="str">
        <f t="shared" si="9"/>
        <v>Oreo</v>
      </c>
      <c r="M167" s="6" t="str">
        <f t="shared" si="10"/>
        <v>Oreo Original</v>
      </c>
      <c r="N167" s="6" t="str">
        <f t="shared" si="11"/>
        <v>Austria,Belgium,Finland,France,Germany,Greece,Italy,Netherlands,Norway,Sweden,Switzerland</v>
      </c>
    </row>
    <row r="168" spans="1:14" x14ac:dyDescent="0.25">
      <c r="A168" s="6" t="s">
        <v>501</v>
      </c>
      <c r="B168" s="6">
        <v>6203</v>
      </c>
      <c r="C168" s="6" t="s">
        <v>502</v>
      </c>
      <c r="D168" s="7" t="s">
        <v>503</v>
      </c>
      <c r="E168" s="6" t="s">
        <v>504</v>
      </c>
      <c r="F168" s="6" t="s">
        <v>139</v>
      </c>
      <c r="G168" s="8">
        <v>45631</v>
      </c>
      <c r="H168" s="6">
        <v>1.1399999999999999</v>
      </c>
      <c r="I168" s="6" cm="1">
        <f t="array" ref="I168">IFERROR(VALUE(TRIM(LEFT(E168,MIN(FIND({" ";"g";"k";"m";"o"},E168&amp;" gkmo"))-1))),0)</f>
        <v>400</v>
      </c>
      <c r="J168" s="6" t="str" cm="1">
        <f t="array" ref="J168">IFERROR(TRIM(MID(E168,MIN(FIND({" ";"g";"k";"m";"o"},E168&amp;" gkmo")),10)),"unknown")</f>
        <v>g</v>
      </c>
      <c r="K168" s="6" t="str">
        <f t="shared" si="8"/>
        <v>g</v>
      </c>
      <c r="L168" s="6" t="str">
        <f t="shared" si="9"/>
        <v>Benco</v>
      </c>
      <c r="M168" s="6" t="str">
        <f t="shared" si="10"/>
        <v>Benco Original</v>
      </c>
      <c r="N168" s="6" t="str">
        <f t="shared" si="11"/>
        <v>France</v>
      </c>
    </row>
    <row r="169" spans="1:14" x14ac:dyDescent="0.25">
      <c r="A169" s="6" t="s">
        <v>505</v>
      </c>
      <c r="B169" s="6">
        <v>10212</v>
      </c>
      <c r="C169" s="6" t="s">
        <v>506</v>
      </c>
      <c r="D169" s="7" t="s">
        <v>261</v>
      </c>
      <c r="E169" s="6" t="s">
        <v>262</v>
      </c>
      <c r="F169" s="6" t="s">
        <v>8391</v>
      </c>
      <c r="G169" s="8">
        <v>45389</v>
      </c>
      <c r="H169" s="6">
        <v>18.43</v>
      </c>
      <c r="I169" s="6" cm="1">
        <f t="array" ref="I169">IFERROR(VALUE(TRIM(LEFT(E169,MIN(FIND({" ";"g";"k";"m";"o"},E169&amp;" gkmo"))-1))),0)</f>
        <v>165</v>
      </c>
      <c r="J169" s="6" t="str" cm="1">
        <f t="array" ref="J169">IFERROR(TRIM(MID(E169,MIN(FIND({" ";"g";"k";"m";"o"},E169&amp;" gkmo")),10)),"unknown")</f>
        <v>g</v>
      </c>
      <c r="K169" s="6" t="str">
        <f t="shared" si="8"/>
        <v>g</v>
      </c>
      <c r="L169" s="6" t="str">
        <f t="shared" si="9"/>
        <v>Pringles,Kellogg'S</v>
      </c>
      <c r="M169" s="6" t="str">
        <f t="shared" si="10"/>
        <v>Pringles Sour Cream</v>
      </c>
      <c r="N169" s="6" t="str">
        <f t="shared" si="11"/>
        <v>Belgium,Germany,Irlanda,Marruecos,Paà­Ses Bajos,Espaà±A,United Kingdom</v>
      </c>
    </row>
    <row r="170" spans="1:14" x14ac:dyDescent="0.25">
      <c r="A170" s="6" t="s">
        <v>507</v>
      </c>
      <c r="B170" s="6">
        <v>10985</v>
      </c>
      <c r="C170" s="6" t="s">
        <v>508</v>
      </c>
      <c r="D170" s="7" t="s">
        <v>509</v>
      </c>
      <c r="E170" s="6" t="s">
        <v>510</v>
      </c>
      <c r="F170" s="6" t="s">
        <v>511</v>
      </c>
      <c r="G170" s="8">
        <v>45395</v>
      </c>
      <c r="H170" s="6">
        <v>2.57</v>
      </c>
      <c r="I170" s="6" cm="1">
        <f t="array" ref="I170">IFERROR(VALUE(TRIM(LEFT(E170,MIN(FIND({" ";"g";"k";"m";"o"},E170&amp;" gkmo"))-1))),0)</f>
        <v>32</v>
      </c>
      <c r="J170" s="6" t="str" cm="1">
        <f t="array" ref="J170">IFERROR(TRIM(MID(E170,MIN(FIND({" ";"g";"k";"m";"o"},E170&amp;" gkmo")),10)),"unknown")</f>
        <v>g</v>
      </c>
      <c r="K170" s="6" t="str">
        <f t="shared" si="8"/>
        <v>g</v>
      </c>
      <c r="L170" s="6" t="str">
        <f t="shared" si="9"/>
        <v>Cheetos</v>
      </c>
      <c r="M170" s="6" t="str">
        <f t="shared" si="10"/>
        <v>Pelotazos Futebolas</v>
      </c>
      <c r="N170" s="6" t="str">
        <f t="shared" si="11"/>
        <v>France,Morocco</v>
      </c>
    </row>
    <row r="171" spans="1:14" x14ac:dyDescent="0.25">
      <c r="A171" s="6" t="s">
        <v>512</v>
      </c>
      <c r="B171" s="6">
        <v>11633</v>
      </c>
      <c r="C171" s="6" t="s">
        <v>513</v>
      </c>
      <c r="D171" s="7" t="s">
        <v>514</v>
      </c>
      <c r="E171" s="6" t="s">
        <v>515</v>
      </c>
      <c r="F171" s="6" t="s">
        <v>7926</v>
      </c>
      <c r="G171" s="8">
        <v>45343</v>
      </c>
      <c r="H171" s="6">
        <v>13.16</v>
      </c>
      <c r="I171" s="6" cm="1">
        <f t="array" ref="I171">IFERROR(VALUE(TRIM(LEFT(E171,MIN(FIND({" ";"g";"k";"m";"o"},E171&amp;" gkmo"))-1))),0)</f>
        <v>3</v>
      </c>
      <c r="J171" s="6" t="str" cm="1">
        <f t="array" ref="J171">IFERROR(TRIM(MID(E171,MIN(FIND({" ";"g";"k";"m";"o"},E171&amp;" gkmo")),10)),"unknown")</f>
        <v>x 50g</v>
      </c>
      <c r="K171" s="6" t="str">
        <f t="shared" si="8"/>
        <v>g</v>
      </c>
      <c r="L171" s="6" t="str">
        <f t="shared" si="9"/>
        <v>Deliciously Ella</v>
      </c>
      <c r="M171" s="6" t="str">
        <f t="shared" si="10"/>
        <v>Apple &amp; Raisin Oat Bars</v>
      </c>
      <c r="N171" s="6" t="str">
        <f t="shared" si="11"/>
        <v>France, United-Kingdom</v>
      </c>
    </row>
    <row r="172" spans="1:14" x14ac:dyDescent="0.25">
      <c r="A172" s="6" t="s">
        <v>516</v>
      </c>
      <c r="B172" s="6">
        <v>8352</v>
      </c>
      <c r="C172" s="6" t="s">
        <v>517</v>
      </c>
      <c r="D172" s="7" t="s">
        <v>7017</v>
      </c>
      <c r="E172" s="6" t="s">
        <v>117</v>
      </c>
      <c r="F172" s="6" t="s">
        <v>8368</v>
      </c>
      <c r="G172" s="8">
        <v>45789</v>
      </c>
      <c r="H172" s="6">
        <v>9.32</v>
      </c>
      <c r="I172" s="6" cm="1">
        <f t="array" ref="I172">IFERROR(VALUE(TRIM(LEFT(E172,MIN(FIND({" ";"g";"k";"m";"o"},E172&amp;" gkmo"))-1))),0)</f>
        <v>42</v>
      </c>
      <c r="J172" s="6" t="str" cm="1">
        <f t="array" ref="J172">IFERROR(TRIM(MID(E172,MIN(FIND({" ";"g";"k";"m";"o"},E172&amp;" gkmo")),10)),"unknown")</f>
        <v>g</v>
      </c>
      <c r="K172" s="6" t="str">
        <f t="shared" si="8"/>
        <v>g</v>
      </c>
      <c r="L172" s="6" t="str">
        <f t="shared" si="9"/>
        <v>Unknown</v>
      </c>
      <c r="M172" s="6" t="str">
        <f t="shared" si="10"/>
        <v>Crunchy Oats And Dark Chocolate, 2 Barres De 21 G</v>
      </c>
      <c r="N172" s="6" t="str">
        <f t="shared" si="11"/>
        <v>Belgium,France,Germany,Irlande,Spain,United Kingdom</v>
      </c>
    </row>
    <row r="173" spans="1:14" x14ac:dyDescent="0.25">
      <c r="A173" s="6" t="s">
        <v>518</v>
      </c>
      <c r="B173" s="6">
        <v>9309</v>
      </c>
      <c r="C173" s="6" t="s">
        <v>519</v>
      </c>
      <c r="D173" s="7" t="s">
        <v>72</v>
      </c>
      <c r="E173" s="6" t="s">
        <v>520</v>
      </c>
      <c r="F173" s="6" t="s">
        <v>139</v>
      </c>
      <c r="G173" s="8">
        <v>45470</v>
      </c>
      <c r="H173" s="6">
        <v>13.16</v>
      </c>
      <c r="I173" s="6" cm="1">
        <f t="array" ref="I173">IFERROR(VALUE(TRIM(LEFT(E173,MIN(FIND({" ";"g";"k";"m";"o"},E173&amp;" gkmo"))-1))),0)</f>
        <v>130</v>
      </c>
      <c r="J173" s="6" t="str" cm="1">
        <f t="array" ref="J173">IFERROR(TRIM(MID(E173,MIN(FIND({" ";"g";"k";"m";"o"},E173&amp;" gkmo")),10)),"unknown")</f>
        <v>g (3 x 4</v>
      </c>
      <c r="K173" s="6" t="str">
        <f t="shared" si="8"/>
        <v>g</v>
      </c>
      <c r="L173" s="6" t="str">
        <f t="shared" si="9"/>
        <v>Bjorg</v>
      </c>
      <c r="M173" s="6" t="str">
        <f t="shared" si="10"/>
        <v>Nutri+ Avoine Complet</v>
      </c>
      <c r="N173" s="6" t="str">
        <f t="shared" si="11"/>
        <v>France</v>
      </c>
    </row>
    <row r="174" spans="1:14" x14ac:dyDescent="0.25">
      <c r="A174" s="6" t="s">
        <v>521</v>
      </c>
      <c r="B174" s="6">
        <v>6897</v>
      </c>
      <c r="C174" s="6" t="s">
        <v>522</v>
      </c>
      <c r="D174" s="7" t="s">
        <v>7017</v>
      </c>
      <c r="E174" s="6"/>
      <c r="F174" s="6" t="s">
        <v>523</v>
      </c>
      <c r="G174" s="8">
        <v>46047</v>
      </c>
      <c r="H174" s="6">
        <v>20.18</v>
      </c>
      <c r="I174" s="6" cm="1">
        <f t="array" ref="I174">IFERROR(VALUE(TRIM(LEFT(E174,MIN(FIND({" ";"g";"k";"m";"o"},E174&amp;" gkmo"))-1))),0)</f>
        <v>0</v>
      </c>
      <c r="J174" s="6" t="str" cm="1">
        <f t="array" ref="J174">IFERROR(TRIM(MID(E174,MIN(FIND({" ";"g";"k";"m";"o"},E174&amp;" gkmo")),10)),"unknown")</f>
        <v/>
      </c>
      <c r="K174" s="6" t="str">
        <f t="shared" si="8"/>
        <v>unknown</v>
      </c>
      <c r="L174" s="6" t="str">
        <f t="shared" si="9"/>
        <v>Unknown</v>
      </c>
      <c r="M174" s="6" t="str">
        <f t="shared" si="10"/>
        <v>Peter'S Yard Original Sourdough Crackers</v>
      </c>
      <c r="N174" s="6" t="str">
        <f t="shared" si="11"/>
        <v>France,United States,Ireland,United Kingdom</v>
      </c>
    </row>
    <row r="175" spans="1:14" x14ac:dyDescent="0.25">
      <c r="A175" s="6" t="s">
        <v>524</v>
      </c>
      <c r="B175" s="6">
        <v>13792</v>
      </c>
      <c r="C175" s="6" t="s">
        <v>7017</v>
      </c>
      <c r="D175" s="7" t="s">
        <v>525</v>
      </c>
      <c r="E175" s="6"/>
      <c r="F175" s="6" t="s">
        <v>511</v>
      </c>
      <c r="G175" s="8">
        <v>45391</v>
      </c>
      <c r="H175" s="6">
        <v>13.16</v>
      </c>
      <c r="I175" s="6" cm="1">
        <f t="array" ref="I175">IFERROR(VALUE(TRIM(LEFT(E175,MIN(FIND({" ";"g";"k";"m";"o"},E175&amp;" gkmo"))-1))),0)</f>
        <v>0</v>
      </c>
      <c r="J175" s="6" t="str" cm="1">
        <f t="array" ref="J175">IFERROR(TRIM(MID(E175,MIN(FIND({" ";"g";"k";"m";"o"},E175&amp;" gkmo")),10)),"unknown")</f>
        <v/>
      </c>
      <c r="K175" s="6" t="str">
        <f t="shared" si="8"/>
        <v>unknown</v>
      </c>
      <c r="L175" s="6" t="str">
        <f t="shared" si="9"/>
        <v>Aiguebelle</v>
      </c>
      <c r="M175" s="6" t="str">
        <f t="shared" si="10"/>
        <v>Unknown</v>
      </c>
      <c r="N175" s="6" t="str">
        <f t="shared" si="11"/>
        <v>France,Morocco</v>
      </c>
    </row>
    <row r="176" spans="1:14" x14ac:dyDescent="0.25">
      <c r="A176" s="6" t="s">
        <v>526</v>
      </c>
      <c r="B176" s="6">
        <v>10530</v>
      </c>
      <c r="C176" s="6" t="s">
        <v>527</v>
      </c>
      <c r="D176" s="7" t="s">
        <v>7017</v>
      </c>
      <c r="E176" s="6" t="s">
        <v>528</v>
      </c>
      <c r="F176" s="6" t="s">
        <v>511</v>
      </c>
      <c r="G176" s="8">
        <v>45950</v>
      </c>
      <c r="H176" s="6">
        <v>6.38</v>
      </c>
      <c r="I176" s="6" cm="1">
        <f t="array" ref="I176">IFERROR(VALUE(TRIM(LEFT(E176,MIN(FIND({" ";"g";"k";"m";"o"},E176&amp;" gkmo"))-1))),0)</f>
        <v>200</v>
      </c>
      <c r="J176" s="6" t="str" cm="1">
        <f t="array" ref="J176">IFERROR(TRIM(MID(E176,MIN(FIND({" ";"g";"k";"m";"o"},E176&amp;" gkmo")),10)),"unknown")</f>
        <v>g</v>
      </c>
      <c r="K176" s="6" t="str">
        <f t="shared" si="8"/>
        <v>g</v>
      </c>
      <c r="L176" s="6" t="str">
        <f t="shared" si="9"/>
        <v>Unknown</v>
      </c>
      <c r="M176" s="6" t="str">
        <f t="shared" si="10"/>
        <v>Cuetara Digesta Light 200G Marie Cookies</v>
      </c>
      <c r="N176" s="6" t="str">
        <f t="shared" si="11"/>
        <v>France,Morocco</v>
      </c>
    </row>
    <row r="177" spans="1:14" x14ac:dyDescent="0.25">
      <c r="A177" s="6" t="s">
        <v>529</v>
      </c>
      <c r="B177" s="6">
        <v>14380</v>
      </c>
      <c r="C177" s="6" t="s">
        <v>530</v>
      </c>
      <c r="D177" s="7" t="s">
        <v>531</v>
      </c>
      <c r="E177" s="6" t="s">
        <v>320</v>
      </c>
      <c r="F177" s="6" t="s">
        <v>8327</v>
      </c>
      <c r="G177" s="8">
        <v>46039</v>
      </c>
      <c r="H177" s="6">
        <v>7.07</v>
      </c>
      <c r="I177" s="6" cm="1">
        <f t="array" ref="I177">IFERROR(VALUE(TRIM(LEFT(E177,MIN(FIND({" ";"g";"k";"m";"o"},E177&amp;" gkmo"))-1))),0)</f>
        <v>39</v>
      </c>
      <c r="J177" s="6" t="str" cm="1">
        <f t="array" ref="J177">IFERROR(TRIM(MID(E177,MIN(FIND({" ";"g";"k";"m";"o"},E177&amp;" gkmo")),10)),"unknown")</f>
        <v>g</v>
      </c>
      <c r="K177" s="6" t="str">
        <f t="shared" si="8"/>
        <v>g</v>
      </c>
      <c r="L177" s="6" t="str">
        <f t="shared" si="9"/>
        <v>Lactel</v>
      </c>
      <c r="M177" s="6" t="str">
        <f t="shared" si="10"/>
        <v>Cacao</v>
      </c>
      <c r="N177" s="6" t="str">
        <f t="shared" si="11"/>
        <v>Belgium,Bulgarie,France,Germany,Hongrie,Italie,Mexique,Morocco,Portugal,Roumanie,Spain,Switzerland</v>
      </c>
    </row>
    <row r="178" spans="1:14" x14ac:dyDescent="0.25">
      <c r="A178" s="6" t="s">
        <v>532</v>
      </c>
      <c r="B178" s="6">
        <v>9297</v>
      </c>
      <c r="C178" s="6" t="s">
        <v>7582</v>
      </c>
      <c r="D178" s="7" t="s">
        <v>7578</v>
      </c>
      <c r="E178" s="6" t="s">
        <v>423</v>
      </c>
      <c r="F178" s="6" t="s">
        <v>7573</v>
      </c>
      <c r="G178" s="8">
        <v>45776</v>
      </c>
      <c r="H178" s="6">
        <v>13.16</v>
      </c>
      <c r="I178" s="6" cm="1">
        <f t="array" ref="I178">IFERROR(VALUE(TRIM(LEFT(E178,MIN(FIND({" ";"g";"k";"m";"o"},E178&amp;" gkmo"))-1))),0)</f>
        <v>125</v>
      </c>
      <c r="J178" s="6" t="str" cm="1">
        <f t="array" ref="J178">IFERROR(TRIM(MID(E178,MIN(FIND({" ";"g";"k";"m";"o"},E178&amp;" gkmo")),10)),"unknown")</f>
        <v>g</v>
      </c>
      <c r="K178" s="6" t="str">
        <f t="shared" si="8"/>
        <v>g</v>
      </c>
      <c r="L178" s="6" t="str">
        <f t="shared" si="9"/>
        <v>Gullà³N</v>
      </c>
      <c r="M178" s="6" t="str">
        <f t="shared" si="10"/>
        <v>Chip Choco Zero Sin Azàºcares</v>
      </c>
      <c r="N178" s="6" t="str">
        <f t="shared" si="11"/>
        <v>Portugal,Espaà±A</v>
      </c>
    </row>
    <row r="179" spans="1:14" x14ac:dyDescent="0.25">
      <c r="A179" s="6" t="s">
        <v>533</v>
      </c>
      <c r="B179" s="6">
        <v>12237</v>
      </c>
      <c r="C179" s="6" t="s">
        <v>534</v>
      </c>
      <c r="D179" s="7" t="s">
        <v>7030</v>
      </c>
      <c r="E179" s="6" t="s">
        <v>470</v>
      </c>
      <c r="F179" s="6" t="s">
        <v>8449</v>
      </c>
      <c r="G179" s="8">
        <v>45983</v>
      </c>
      <c r="H179" s="6">
        <v>24.85</v>
      </c>
      <c r="I179" s="6" cm="1">
        <f t="array" ref="I179">IFERROR(VALUE(TRIM(LEFT(E179,MIN(FIND({" ";"g";"k";"m";"o"},E179&amp;" gkmo"))-1))),0)</f>
        <v>132</v>
      </c>
      <c r="J179" s="6" t="str" cm="1">
        <f t="array" ref="J179">IFERROR(TRIM(MID(E179,MIN(FIND({" ";"g";"k";"m";"o"},E179&amp;" gkmo")),10)),"unknown")</f>
        <v>g</v>
      </c>
      <c r="K179" s="6" t="str">
        <f t="shared" si="8"/>
        <v>g</v>
      </c>
      <c r="L179" s="6" t="str">
        <f t="shared" si="9"/>
        <v>Gerblé</v>
      </c>
      <c r="M179" s="6" t="str">
        <f t="shared" si="10"/>
        <v>Gingembre Saveur Citron Ðÿ‹</v>
      </c>
      <c r="N179" s="6" t="str">
        <f t="shared" si="11"/>
        <v>France,La Reunion</v>
      </c>
    </row>
    <row r="180" spans="1:14" x14ac:dyDescent="0.25">
      <c r="A180" s="6" t="s">
        <v>535</v>
      </c>
      <c r="B180" s="6">
        <v>6457</v>
      </c>
      <c r="C180" s="6" t="s">
        <v>7017</v>
      </c>
      <c r="D180" s="7" t="s">
        <v>7017</v>
      </c>
      <c r="E180" s="6"/>
      <c r="F180" s="6" t="s">
        <v>48</v>
      </c>
      <c r="G180" s="8">
        <v>45879</v>
      </c>
      <c r="H180" s="6">
        <v>13.16</v>
      </c>
      <c r="I180" s="6" cm="1">
        <f t="array" ref="I180">IFERROR(VALUE(TRIM(LEFT(E180,MIN(FIND({" ";"g";"k";"m";"o"},E180&amp;" gkmo"))-1))),0)</f>
        <v>0</v>
      </c>
      <c r="J180" s="6" t="str" cm="1">
        <f t="array" ref="J180">IFERROR(TRIM(MID(E180,MIN(FIND({" ";"g";"k";"m";"o"},E180&amp;" gkmo")),10)),"unknown")</f>
        <v/>
      </c>
      <c r="K180" s="6" t="str">
        <f t="shared" si="8"/>
        <v>unknown</v>
      </c>
      <c r="L180" s="6" t="str">
        <f t="shared" si="9"/>
        <v>Unknown</v>
      </c>
      <c r="M180" s="6" t="str">
        <f t="shared" si="10"/>
        <v>Unknown</v>
      </c>
      <c r="N180" s="6" t="str">
        <f t="shared" si="11"/>
        <v>Morocco</v>
      </c>
    </row>
    <row r="181" spans="1:14" x14ac:dyDescent="0.25">
      <c r="A181" s="6" t="s">
        <v>536</v>
      </c>
      <c r="B181" s="6">
        <v>10104</v>
      </c>
      <c r="C181" s="6" t="s">
        <v>537</v>
      </c>
      <c r="D181" s="7" t="s">
        <v>538</v>
      </c>
      <c r="E181" s="6" t="s">
        <v>539</v>
      </c>
      <c r="F181" s="6" t="s">
        <v>8328</v>
      </c>
      <c r="G181" s="8">
        <v>45522</v>
      </c>
      <c r="H181" s="6">
        <v>19.95</v>
      </c>
      <c r="I181" s="6" cm="1">
        <f t="array" ref="I181">IFERROR(VALUE(TRIM(LEFT(E181,MIN(FIND({" ";"g";"k";"m";"o"},E181&amp;" gkmo"))-1))),0)</f>
        <v>211.5</v>
      </c>
      <c r="J181" s="6" t="str" cm="1">
        <f t="array" ref="J181">IFERROR(TRIM(MID(E181,MIN(FIND({" ";"g";"k";"m";"o"},E181&amp;" gkmo")),10)),"unknown")</f>
        <v>g</v>
      </c>
      <c r="K181" s="6" t="str">
        <f t="shared" si="8"/>
        <v>g</v>
      </c>
      <c r="L181" s="6" t="str">
        <f t="shared" si="9"/>
        <v>Kinder, Ferrero</v>
      </c>
      <c r="M181" s="6" t="str">
        <f t="shared" si="10"/>
        <v>Kinder Country</v>
      </c>
      <c r="N181" s="6" t="str">
        <f t="shared" si="11"/>
        <v>Autriche,France,Germany,Italie,Switzerland</v>
      </c>
    </row>
    <row r="182" spans="1:14" x14ac:dyDescent="0.25">
      <c r="A182" s="6" t="s">
        <v>540</v>
      </c>
      <c r="B182" s="6">
        <v>7998</v>
      </c>
      <c r="C182" s="6" t="s">
        <v>541</v>
      </c>
      <c r="D182" s="7" t="s">
        <v>542</v>
      </c>
      <c r="E182" s="6" t="s">
        <v>543</v>
      </c>
      <c r="F182" s="6" t="s">
        <v>177</v>
      </c>
      <c r="G182" s="8">
        <v>45921</v>
      </c>
      <c r="H182" s="6">
        <v>16.02</v>
      </c>
      <c r="I182" s="6" cm="1">
        <f t="array" ref="I182">IFERROR(VALUE(TRIM(LEFT(E182,MIN(FIND({" ";"g";"k";"m";"o"},E182&amp;" gkmo"))-1))),0)</f>
        <v>14</v>
      </c>
      <c r="J182" s="6" t="str" cm="1">
        <f t="array" ref="J182">IFERROR(TRIM(MID(E182,MIN(FIND({" ";"g";"k";"m";"o"},E182&amp;" gkmo")),10)),"unknown")</f>
        <v>g</v>
      </c>
      <c r="K182" s="6" t="str">
        <f t="shared" si="8"/>
        <v>g</v>
      </c>
      <c r="L182" s="6" t="str">
        <f t="shared" si="9"/>
        <v>Proper Corn</v>
      </c>
      <c r="M182" s="6" t="str">
        <f t="shared" si="10"/>
        <v>Sweet &amp; Salty Popcorn</v>
      </c>
      <c r="N182" s="6" t="str">
        <f t="shared" si="11"/>
        <v>United Kingdom</v>
      </c>
    </row>
    <row r="183" spans="1:14" x14ac:dyDescent="0.25">
      <c r="A183" s="6" t="s">
        <v>544</v>
      </c>
      <c r="B183" s="6">
        <v>13965</v>
      </c>
      <c r="C183" s="6" t="s">
        <v>545</v>
      </c>
      <c r="D183" s="7" t="s">
        <v>546</v>
      </c>
      <c r="E183" s="6" t="s">
        <v>156</v>
      </c>
      <c r="F183" s="6" t="s">
        <v>547</v>
      </c>
      <c r="G183" s="8">
        <v>45957</v>
      </c>
      <c r="H183" s="6">
        <v>17.3</v>
      </c>
      <c r="I183" s="6" cm="1">
        <f t="array" ref="I183">IFERROR(VALUE(TRIM(LEFT(E183,MIN(FIND({" ";"g";"k";"m";"o"},E183&amp;" gkmo"))-1))),0)</f>
        <v>500</v>
      </c>
      <c r="J183" s="6" t="str" cm="1">
        <f t="array" ref="J183">IFERROR(TRIM(MID(E183,MIN(FIND({" ";"g";"k";"m";"o"},E183&amp;" gkmo")),10)),"unknown")</f>
        <v>g</v>
      </c>
      <c r="K183" s="6" t="str">
        <f t="shared" si="8"/>
        <v>g</v>
      </c>
      <c r="L183" s="6" t="str">
        <f t="shared" si="9"/>
        <v>Pavesi</v>
      </c>
      <c r="M183" s="6" t="str">
        <f t="shared" si="10"/>
        <v>Gocciole Classiche Pav 500 Gr</v>
      </c>
      <c r="N183" s="6" t="str">
        <f t="shared" si="11"/>
        <v>Belgium,France,Germany,Italy,Switzerland</v>
      </c>
    </row>
    <row r="184" spans="1:14" x14ac:dyDescent="0.25">
      <c r="A184" s="6" t="s">
        <v>548</v>
      </c>
      <c r="B184" s="6">
        <v>7075</v>
      </c>
      <c r="C184" s="6" t="s">
        <v>7457</v>
      </c>
      <c r="D184" s="7" t="s">
        <v>116</v>
      </c>
      <c r="E184" s="6" t="s">
        <v>549</v>
      </c>
      <c r="F184" s="6" t="s">
        <v>139</v>
      </c>
      <c r="G184" s="8">
        <v>45886</v>
      </c>
      <c r="H184" s="6">
        <v>17.22</v>
      </c>
      <c r="I184" s="6" cm="1">
        <f t="array" ref="I184">IFERROR(VALUE(TRIM(LEFT(E184,MIN(FIND({" ";"g";"k";"m";"o"},E184&amp;" gkmo"))-1))),0)</f>
        <v>160</v>
      </c>
      <c r="J184" s="6" t="str" cm="1">
        <f t="array" ref="J184">IFERROR(TRIM(MID(E184,MIN(FIND({" ";"g";"k";"m";"o"},E184&amp;" gkmo")),10)),"unknown")</f>
        <v>g â„®, 4</v>
      </c>
      <c r="K184" s="6" t="str">
        <f t="shared" si="8"/>
        <v>g</v>
      </c>
      <c r="L184" s="6" t="str">
        <f t="shared" si="9"/>
        <v>Nature Valley</v>
      </c>
      <c r="M184" s="6" t="str">
        <f t="shared" si="10"/>
        <v>Protein Caramel Salé Cacahuètes</v>
      </c>
      <c r="N184" s="6" t="str">
        <f t="shared" si="11"/>
        <v>France</v>
      </c>
    </row>
    <row r="185" spans="1:14" x14ac:dyDescent="0.25">
      <c r="A185" s="6" t="s">
        <v>550</v>
      </c>
      <c r="B185" s="6">
        <v>8875</v>
      </c>
      <c r="C185" s="6" t="s">
        <v>551</v>
      </c>
      <c r="D185" s="7" t="s">
        <v>552</v>
      </c>
      <c r="E185" s="6" t="s">
        <v>423</v>
      </c>
      <c r="F185" s="6" t="s">
        <v>553</v>
      </c>
      <c r="G185" s="8">
        <v>45839</v>
      </c>
      <c r="H185" s="6">
        <v>18.29</v>
      </c>
      <c r="I185" s="6" cm="1">
        <f t="array" ref="I185">IFERROR(VALUE(TRIM(LEFT(E185,MIN(FIND({" ";"g";"k";"m";"o"},E185&amp;" gkmo"))-1))),0)</f>
        <v>125</v>
      </c>
      <c r="J185" s="6" t="str" cm="1">
        <f t="array" ref="J185">IFERROR(TRIM(MID(E185,MIN(FIND({" ";"g";"k";"m";"o"},E185&amp;" gkmo")),10)),"unknown")</f>
        <v>g</v>
      </c>
      <c r="K185" s="6" t="str">
        <f t="shared" si="8"/>
        <v>g</v>
      </c>
      <c r="L185" s="6" t="str">
        <f t="shared" si="9"/>
        <v>Moser Roth</v>
      </c>
      <c r="M185" s="6" t="str">
        <f t="shared" si="10"/>
        <v>85% Cocoa - Dark Chocolate</v>
      </c>
      <c r="N185" s="6" t="str">
        <f t="shared" si="11"/>
        <v>United Kingdom,Ireland</v>
      </c>
    </row>
    <row r="186" spans="1:14" x14ac:dyDescent="0.25">
      <c r="A186" s="6" t="s">
        <v>554</v>
      </c>
      <c r="B186" s="6">
        <v>6547</v>
      </c>
      <c r="C186" s="6" t="s">
        <v>7058</v>
      </c>
      <c r="D186" s="7" t="s">
        <v>555</v>
      </c>
      <c r="E186" s="6" t="s">
        <v>556</v>
      </c>
      <c r="F186" s="6" t="s">
        <v>557</v>
      </c>
      <c r="G186" s="8">
        <v>45869</v>
      </c>
      <c r="H186" s="6">
        <v>1.22</v>
      </c>
      <c r="I186" s="6" cm="1">
        <f t="array" ref="I186">IFERROR(VALUE(TRIM(LEFT(E186,MIN(FIND({" ";"g";"k";"m";"o"},E186&amp;" gkmo"))-1))),0)</f>
        <v>100</v>
      </c>
      <c r="J186" s="6" t="str" cm="1">
        <f t="array" ref="J186">IFERROR(TRIM(MID(E186,MIN(FIND({" ";"g";"k";"m";"o"},E186&amp;" gkmo")),10)),"unknown")</f>
        <v>g e</v>
      </c>
      <c r="K186" s="6" t="str">
        <f t="shared" si="8"/>
        <v>g</v>
      </c>
      <c r="L186" s="6" t="str">
        <f t="shared" si="9"/>
        <v>Alter Eco</v>
      </c>
      <c r="M186" s="6" t="str">
        <f t="shared" si="10"/>
        <v>Noir Equitable 85% Pérou</v>
      </c>
      <c r="N186" s="6" t="str">
        <f t="shared" si="11"/>
        <v>Belgium,France,Switzerland</v>
      </c>
    </row>
    <row r="187" spans="1:14" x14ac:dyDescent="0.25">
      <c r="A187" s="6" t="s">
        <v>558</v>
      </c>
      <c r="B187" s="6">
        <v>5654</v>
      </c>
      <c r="C187" s="6" t="s">
        <v>559</v>
      </c>
      <c r="D187" s="7" t="s">
        <v>560</v>
      </c>
      <c r="E187" s="6" t="s">
        <v>561</v>
      </c>
      <c r="F187" s="6" t="s">
        <v>562</v>
      </c>
      <c r="G187" s="8">
        <v>45477</v>
      </c>
      <c r="H187" s="6">
        <v>13.84</v>
      </c>
      <c r="I187" s="6" cm="1">
        <f t="array" ref="I187">IFERROR(VALUE(TRIM(LEFT(E187,MIN(FIND({" ";"g";"k";"m";"o"},E187&amp;" gkmo"))-1))),0)</f>
        <v>825</v>
      </c>
      <c r="J187" s="6" t="str" cm="1">
        <f t="array" ref="J187">IFERROR(TRIM(MID(E187,MIN(FIND({" ";"g";"k";"m";"o"},E187&amp;" gkmo")),10)),"unknown")</f>
        <v>g</v>
      </c>
      <c r="K187" s="6" t="str">
        <f t="shared" si="8"/>
        <v>g</v>
      </c>
      <c r="L187" s="6" t="str">
        <f t="shared" si="9"/>
        <v>Ferrero,Nutella</v>
      </c>
      <c r="M187" s="6" t="str">
        <f t="shared" si="10"/>
        <v>Nutella</v>
      </c>
      <c r="N187" s="6" t="str">
        <f t="shared" si="11"/>
        <v>Deutschland,Marokko</v>
      </c>
    </row>
    <row r="188" spans="1:14" x14ac:dyDescent="0.25">
      <c r="A188" s="6" t="s">
        <v>563</v>
      </c>
      <c r="B188" s="6">
        <v>5174</v>
      </c>
      <c r="C188" s="6" t="s">
        <v>564</v>
      </c>
      <c r="D188" s="7" t="s">
        <v>7017</v>
      </c>
      <c r="E188" s="6" t="s">
        <v>565</v>
      </c>
      <c r="F188" s="6" t="s">
        <v>7927</v>
      </c>
      <c r="G188" s="8">
        <v>45475</v>
      </c>
      <c r="H188" s="6">
        <v>13.15</v>
      </c>
      <c r="I188" s="6" cm="1">
        <f t="array" ref="I188">IFERROR(VALUE(TRIM(LEFT(E188,MIN(FIND({" ";"g";"k";"m";"o"},E188&amp;" gkmo"))-1))),0)</f>
        <v>24</v>
      </c>
      <c r="J188" s="6" t="str" cm="1">
        <f t="array" ref="J188">IFERROR(TRIM(MID(E188,MIN(FIND({" ";"g";"k";"m";"o"},E188&amp;" gkmo")),10)),"unknown")</f>
        <v>biscuits</v>
      </c>
      <c r="K188" s="6" t="str">
        <f t="shared" si="8"/>
        <v>unknown</v>
      </c>
      <c r="L188" s="6" t="str">
        <f t="shared" si="9"/>
        <v>Unknown</v>
      </c>
      <c r="M188" s="6" t="str">
        <f t="shared" si="10"/>
        <v>Oatibix</v>
      </c>
      <c r="N188" s="6" t="str">
        <f t="shared" si="11"/>
        <v>France, Spain, United Kingdom, Ireland</v>
      </c>
    </row>
    <row r="189" spans="1:14" x14ac:dyDescent="0.25">
      <c r="A189" s="6" t="s">
        <v>566</v>
      </c>
      <c r="B189" s="6">
        <v>14784</v>
      </c>
      <c r="C189" s="6" t="s">
        <v>567</v>
      </c>
      <c r="D189" s="7" t="s">
        <v>568</v>
      </c>
      <c r="E189" s="6" t="s">
        <v>569</v>
      </c>
      <c r="F189" s="6" t="s">
        <v>7583</v>
      </c>
      <c r="G189" s="8">
        <v>46008</v>
      </c>
      <c r="H189" s="6">
        <v>10.3</v>
      </c>
      <c r="I189" s="6" cm="1">
        <f t="array" ref="I189">IFERROR(VALUE(TRIM(LEFT(E189,MIN(FIND({" ";"g";"k";"m";"o"},E189&amp;" gkmo"))-1))),0)</f>
        <v>128</v>
      </c>
      <c r="J189" s="6" t="str" cm="1">
        <f t="array" ref="J189">IFERROR(TRIM(MID(E189,MIN(FIND({" ";"g";"k";"m";"o"},E189&amp;" gkmo")),10)),"unknown")</f>
        <v>g</v>
      </c>
      <c r="K189" s="6" t="str">
        <f t="shared" si="8"/>
        <v>g</v>
      </c>
      <c r="L189" s="6" t="str">
        <f t="shared" si="9"/>
        <v>Ferrero,Kinder</v>
      </c>
      <c r="M189" s="6" t="str">
        <f t="shared" si="10"/>
        <v>Kinder Cards</v>
      </c>
      <c r="N189" s="6" t="str">
        <f t="shared" si="11"/>
        <v>Belgien,Bulgarien,Finnland,Frankreich,Deutschland,Ungarn,Italien,Luxemburg,Marokko,Rumà¤Nien,Spanien,Schweden,Schweiz</v>
      </c>
    </row>
    <row r="190" spans="1:14" x14ac:dyDescent="0.25">
      <c r="A190" s="6" t="s">
        <v>570</v>
      </c>
      <c r="B190" s="6">
        <v>9187</v>
      </c>
      <c r="C190" s="6" t="s">
        <v>7059</v>
      </c>
      <c r="D190" s="7" t="s">
        <v>310</v>
      </c>
      <c r="E190" s="6" t="s">
        <v>138</v>
      </c>
      <c r="F190" s="6" t="s">
        <v>1181</v>
      </c>
      <c r="G190" s="8">
        <v>45900</v>
      </c>
      <c r="H190" s="6">
        <v>11.68</v>
      </c>
      <c r="I190" s="6" cm="1">
        <f t="array" ref="I190">IFERROR(VALUE(TRIM(LEFT(E190,MIN(FIND({" ";"g";"k";"m";"o"},E190&amp;" gkmo"))-1))),0)</f>
        <v>400</v>
      </c>
      <c r="J190" s="6" t="str" cm="1">
        <f t="array" ref="J190">IFERROR(TRIM(MID(E190,MIN(FIND({" ";"g";"k";"m";"o"},E190&amp;" gkmo")),10)),"unknown")</f>
        <v>g</v>
      </c>
      <c r="K190" s="6" t="str">
        <f t="shared" si="8"/>
        <v>g</v>
      </c>
      <c r="L190" s="6" t="str">
        <f t="shared" si="9"/>
        <v>St Michel</v>
      </c>
      <c r="M190" s="6" t="str">
        <f t="shared" si="10"/>
        <v>Petites Madeleines Pépites Chocolat</v>
      </c>
      <c r="N190" s="6" t="str">
        <f t="shared" si="11"/>
        <v>France,Switzerland</v>
      </c>
    </row>
    <row r="191" spans="1:14" x14ac:dyDescent="0.25">
      <c r="A191" s="6" t="s">
        <v>571</v>
      </c>
      <c r="B191" s="6">
        <v>5318</v>
      </c>
      <c r="C191" s="6" t="s">
        <v>572</v>
      </c>
      <c r="D191" s="7" t="s">
        <v>7017</v>
      </c>
      <c r="E191" s="6" t="s">
        <v>573</v>
      </c>
      <c r="F191" s="6" t="s">
        <v>139</v>
      </c>
      <c r="G191" s="8">
        <v>45708</v>
      </c>
      <c r="H191" s="6">
        <v>21.26</v>
      </c>
      <c r="I191" s="6" cm="1">
        <f t="array" ref="I191">IFERROR(VALUE(TRIM(LEFT(E191,MIN(FIND({" ";"g";"k";"m";"o"},E191&amp;" gkmo"))-1))),0)</f>
        <v>280</v>
      </c>
      <c r="J191" s="6" t="str" cm="1">
        <f t="array" ref="J191">IFERROR(TRIM(MID(E191,MIN(FIND({" ";"g";"k";"m";"o"},E191&amp;" gkmo")),10)),"unknown")</f>
        <v>g</v>
      </c>
      <c r="K191" s="6" t="str">
        <f t="shared" si="8"/>
        <v>g</v>
      </c>
      <c r="L191" s="6" t="str">
        <f t="shared" si="9"/>
        <v>Unknown</v>
      </c>
      <c r="M191" s="6" t="str">
        <f t="shared" si="10"/>
        <v>8 Pains Au Lait Frais Bio 280G</v>
      </c>
      <c r="N191" s="6" t="str">
        <f t="shared" si="11"/>
        <v>France</v>
      </c>
    </row>
    <row r="192" spans="1:14" x14ac:dyDescent="0.25">
      <c r="A192" s="6" t="s">
        <v>574</v>
      </c>
      <c r="B192" s="6">
        <v>10469</v>
      </c>
      <c r="C192" s="6" t="s">
        <v>7017</v>
      </c>
      <c r="D192" s="7" t="s">
        <v>294</v>
      </c>
      <c r="E192" s="6" t="s">
        <v>575</v>
      </c>
      <c r="F192" s="6" t="s">
        <v>48</v>
      </c>
      <c r="G192" s="8">
        <v>45427</v>
      </c>
      <c r="H192" s="6">
        <v>13.16</v>
      </c>
      <c r="I192" s="6" cm="1">
        <f t="array" ref="I192">IFERROR(VALUE(TRIM(LEFT(E192,MIN(FIND({" ";"g";"k";"m";"o"},E192&amp;" gkmo"))-1))),0)</f>
        <v>21</v>
      </c>
      <c r="J192" s="6" t="str" cm="1">
        <f t="array" ref="J192">IFERROR(TRIM(MID(E192,MIN(FIND({" ";"g";"k";"m";"o"},E192&amp;" gkmo")),10)),"unknown")</f>
        <v>g</v>
      </c>
      <c r="K192" s="6" t="str">
        <f t="shared" si="8"/>
        <v>g</v>
      </c>
      <c r="L192" s="6" t="str">
        <f t="shared" si="9"/>
        <v>Bimo</v>
      </c>
      <c r="M192" s="6" t="str">
        <f t="shared" si="10"/>
        <v>Unknown</v>
      </c>
      <c r="N192" s="6" t="str">
        <f t="shared" si="11"/>
        <v>Morocco</v>
      </c>
    </row>
    <row r="193" spans="1:14" x14ac:dyDescent="0.25">
      <c r="A193" s="6" t="s">
        <v>576</v>
      </c>
      <c r="B193" s="6">
        <v>6223</v>
      </c>
      <c r="C193" s="6" t="s">
        <v>577</v>
      </c>
      <c r="D193" s="7" t="s">
        <v>578</v>
      </c>
      <c r="E193" s="6" t="s">
        <v>18</v>
      </c>
      <c r="F193" s="6" t="s">
        <v>220</v>
      </c>
      <c r="G193" s="8">
        <v>45663</v>
      </c>
      <c r="H193" s="6">
        <v>21.81</v>
      </c>
      <c r="I193" s="6" cm="1">
        <f t="array" ref="I193">IFERROR(VALUE(TRIM(LEFT(E193,MIN(FIND({" ";"g";"k";"m";"o"},E193&amp;" gkmo"))-1))),0)</f>
        <v>100</v>
      </c>
      <c r="J193" s="6" t="str" cm="1">
        <f t="array" ref="J193">IFERROR(TRIM(MID(E193,MIN(FIND({" ";"g";"k";"m";"o"},E193&amp;" gkmo")),10)),"unknown")</f>
        <v>g</v>
      </c>
      <c r="K193" s="6" t="str">
        <f t="shared" si="8"/>
        <v>g</v>
      </c>
      <c r="L193" s="6" t="str">
        <f t="shared" si="9"/>
        <v>Marks &amp; Spencer</v>
      </c>
      <c r="M193" s="6" t="str">
        <f t="shared" si="10"/>
        <v>Single Origin Milk Chocolate</v>
      </c>
      <c r="N193" s="6" t="str">
        <f t="shared" si="11"/>
        <v>France, United Kingdom</v>
      </c>
    </row>
    <row r="194" spans="1:14" x14ac:dyDescent="0.25">
      <c r="A194" s="6" t="s">
        <v>579</v>
      </c>
      <c r="B194" s="6">
        <v>6066</v>
      </c>
      <c r="C194" s="6" t="s">
        <v>7060</v>
      </c>
      <c r="D194" s="7" t="s">
        <v>488</v>
      </c>
      <c r="E194" s="6" t="s">
        <v>580</v>
      </c>
      <c r="F194" s="6" t="s">
        <v>7928</v>
      </c>
      <c r="G194" s="8">
        <v>45490</v>
      </c>
      <c r="H194" s="6">
        <v>5.73</v>
      </c>
      <c r="I194" s="6" cm="1">
        <f t="array" ref="I194">IFERROR(VALUE(TRIM(LEFT(E194,MIN(FIND({" ";"g";"k";"m";"o"},E194&amp;" gkmo"))-1))),0)</f>
        <v>250</v>
      </c>
      <c r="J194" s="6" t="str" cm="1">
        <f t="array" ref="J194">IFERROR(TRIM(MID(E194,MIN(FIND({" ";"g";"k";"m";"o"},E194&amp;" gkmo")),10)),"unknown")</f>
        <v>g</v>
      </c>
      <c r="K194" s="6" t="str">
        <f t="shared" si="8"/>
        <v>g</v>
      </c>
      <c r="L194" s="6" t="str">
        <f t="shared" si="9"/>
        <v>Bonne Maman</v>
      </c>
      <c r="M194" s="6" t="str">
        <f t="shared" si="10"/>
        <v>Petit Cookies Pépites De Chocolat</v>
      </c>
      <c r="N194" s="6" t="str">
        <f t="shared" si="11"/>
        <v>Belgium, France, Luxembourg, Switzerland, United-Kingdom</v>
      </c>
    </row>
    <row r="195" spans="1:14" x14ac:dyDescent="0.25">
      <c r="A195" s="6" t="s">
        <v>581</v>
      </c>
      <c r="B195" s="6">
        <v>8833</v>
      </c>
      <c r="C195" s="6" t="s">
        <v>7061</v>
      </c>
      <c r="D195" s="7" t="s">
        <v>13</v>
      </c>
      <c r="E195" s="6" t="s">
        <v>39</v>
      </c>
      <c r="F195" s="6" t="s">
        <v>8450</v>
      </c>
      <c r="G195" s="8">
        <v>45532</v>
      </c>
      <c r="H195" s="6">
        <v>6.15</v>
      </c>
      <c r="I195" s="6" cm="1">
        <f t="array" ref="I195">IFERROR(VALUE(TRIM(LEFT(E195,MIN(FIND({" ";"g";"k";"m";"o"},E195&amp;" gkmo"))-1))),0)</f>
        <v>150</v>
      </c>
      <c r="J195" s="6" t="str" cm="1">
        <f t="array" ref="J195">IFERROR(TRIM(MID(E195,MIN(FIND({" ";"g";"k";"m";"o"},E195&amp;" gkmo")),10)),"unknown")</f>
        <v>g</v>
      </c>
      <c r="K195" s="6" t="str">
        <f t="shared" ref="K195:K258" si="12">IF(E195="","unknown",IF(OR(J195="g",LEFT(J195,1)="g"),"g",IF(OR(LEFT(J195,2)="kg",LEFT(J195,2)="ki"),"kg",IF(OR(LEFT(J195,2)="ml",LEFT(J195,1)="m"),"ml",IF(LEFT(J195,1)="l","l",IF(ISNUMBER(SEARCH("g",E195)),"g",IF(ISNUMBER(SEARCH("kg",E195)),"kg",IF(ISNUMBER(SEARCH("ml",E195)),"ml","unknown"))))))))</f>
        <v>g</v>
      </c>
      <c r="L195" s="6" t="str">
        <f t="shared" ref="L195:L258" si="13">IF(D195="","Unknown",PROPER(TRIM(D195)))</f>
        <v>Lu</v>
      </c>
      <c r="M195" s="6" t="str">
        <f t="shared" ref="M195:M258" si="14">IF(C195="Unknown","Unknown",PROPER(TRIM(C195)))</f>
        <v>Petit Écolier Chocolat Noir Pur Beurre De Cacao</v>
      </c>
      <c r="N195" s="6" t="str">
        <f t="shared" ref="N195:N258" si="15">IF(F195="","Unknown",PROPER(TRIM(F195)))</f>
        <v>Canada,Frankrijk,Duitsland,Marokko,Reunion,Spanje,Zwitserland</v>
      </c>
    </row>
    <row r="196" spans="1:14" x14ac:dyDescent="0.25">
      <c r="A196" s="6" t="s">
        <v>582</v>
      </c>
      <c r="B196" s="6">
        <v>10797</v>
      </c>
      <c r="C196" s="6" t="s">
        <v>583</v>
      </c>
      <c r="D196" s="7" t="s">
        <v>542</v>
      </c>
      <c r="E196" s="6" t="s">
        <v>584</v>
      </c>
      <c r="F196" s="6" t="s">
        <v>177</v>
      </c>
      <c r="G196" s="8">
        <v>45418</v>
      </c>
      <c r="H196" s="6">
        <v>3.61</v>
      </c>
      <c r="I196" s="6" cm="1">
        <f t="array" ref="I196">IFERROR(VALUE(TRIM(LEFT(E196,MIN(FIND({" ";"g";"k";"m";"o"},E196&amp;" gkmo"))-1))),0)</f>
        <v>84</v>
      </c>
      <c r="J196" s="6" t="str" cm="1">
        <f t="array" ref="J196">IFERROR(TRIM(MID(E196,MIN(FIND({" ";"g";"k";"m";"o"},E196&amp;" gkmo")),10)),"unknown")</f>
        <v>g</v>
      </c>
      <c r="K196" s="6" t="str">
        <f t="shared" si="12"/>
        <v>g</v>
      </c>
      <c r="L196" s="6" t="str">
        <f t="shared" si="13"/>
        <v>Proper Corn</v>
      </c>
      <c r="M196" s="6" t="str">
        <f t="shared" si="14"/>
        <v>Sweet &amp; Salty Popcorn</v>
      </c>
      <c r="N196" s="6" t="str">
        <f t="shared" si="15"/>
        <v>United Kingdom</v>
      </c>
    </row>
    <row r="197" spans="1:14" x14ac:dyDescent="0.25">
      <c r="A197" s="6" t="s">
        <v>585</v>
      </c>
      <c r="B197" s="6">
        <v>11805</v>
      </c>
      <c r="C197" s="6" t="s">
        <v>586</v>
      </c>
      <c r="D197" s="7" t="s">
        <v>587</v>
      </c>
      <c r="E197" s="6" t="s">
        <v>588</v>
      </c>
      <c r="F197" s="6" t="s">
        <v>400</v>
      </c>
      <c r="G197" s="8">
        <v>45493</v>
      </c>
      <c r="H197" s="6">
        <v>14</v>
      </c>
      <c r="I197" s="6" cm="1">
        <f t="array" ref="I197">IFERROR(VALUE(TRIM(LEFT(E197,MIN(FIND({" ";"g";"k";"m";"o"},E197&amp;" gkmo"))-1))),0)</f>
        <v>4</v>
      </c>
      <c r="J197" s="6" t="str" cm="1">
        <f t="array" ref="J197">IFERROR(TRIM(MID(E197,MIN(FIND({" ";"g";"k";"m";"o"},E197&amp;" gkmo")),10)),"unknown")</f>
        <v>x 30 g</v>
      </c>
      <c r="K197" s="6" t="str">
        <f t="shared" si="12"/>
        <v>g</v>
      </c>
      <c r="L197" s="6" t="str">
        <f t="shared" si="13"/>
        <v>Graze</v>
      </c>
      <c r="M197" s="6" t="str">
        <f t="shared" si="14"/>
        <v>Cocoa Vanilla Oat Boosts</v>
      </c>
      <c r="N197" s="6" t="str">
        <f t="shared" si="15"/>
        <v>France,United Kingdom</v>
      </c>
    </row>
    <row r="198" spans="1:14" x14ac:dyDescent="0.25">
      <c r="A198" s="6" t="s">
        <v>589</v>
      </c>
      <c r="B198" s="6">
        <v>5140</v>
      </c>
      <c r="C198" s="6" t="s">
        <v>590</v>
      </c>
      <c r="D198" s="7" t="s">
        <v>591</v>
      </c>
      <c r="E198" s="6" t="s">
        <v>592</v>
      </c>
      <c r="F198" s="6" t="s">
        <v>593</v>
      </c>
      <c r="G198" s="8">
        <v>45440</v>
      </c>
      <c r="H198" s="6">
        <v>18.21</v>
      </c>
      <c r="I198" s="6" cm="1">
        <f t="array" ref="I198">IFERROR(VALUE(TRIM(LEFT(E198,MIN(FIND({" ";"g";"k";"m";"o"},E198&amp;" gkmo"))-1))),0)</f>
        <v>500</v>
      </c>
      <c r="J198" s="6" t="str" cm="1">
        <f t="array" ref="J198">IFERROR(TRIM(MID(E198,MIN(FIND({" ";"g";"k";"m";"o"},E198&amp;" gkmo")),10)),"unknown")</f>
        <v>g</v>
      </c>
      <c r="K198" s="6" t="str">
        <f t="shared" si="12"/>
        <v>g</v>
      </c>
      <c r="L198" s="6" t="str">
        <f t="shared" si="13"/>
        <v>Arluy</v>
      </c>
      <c r="M198" s="6" t="str">
        <f t="shared" si="14"/>
        <v>Megachok</v>
      </c>
      <c r="N198" s="6" t="str">
        <f t="shared" si="15"/>
        <v>France,Morocco,New Caledonia</v>
      </c>
    </row>
    <row r="199" spans="1:14" x14ac:dyDescent="0.25">
      <c r="A199" s="6" t="s">
        <v>594</v>
      </c>
      <c r="B199" s="6">
        <v>7396</v>
      </c>
      <c r="C199" s="6" t="s">
        <v>595</v>
      </c>
      <c r="D199" s="7" t="s">
        <v>7030</v>
      </c>
      <c r="E199" s="6" t="s">
        <v>7584</v>
      </c>
      <c r="F199" s="6" t="s">
        <v>8451</v>
      </c>
      <c r="G199" s="8">
        <v>45789</v>
      </c>
      <c r="H199" s="6">
        <v>9.15</v>
      </c>
      <c r="I199" s="6" cm="1">
        <f t="array" ref="I199">IFERROR(VALUE(TRIM(LEFT(E199,MIN(FIND({" ";"g";"k";"m";"o"},E199&amp;" gkmo"))-1))),0)</f>
        <v>132</v>
      </c>
      <c r="J199" s="6" t="str" cm="1">
        <f t="array" ref="J199">IFERROR(TRIM(MID(E199,MIN(FIND({" ";"g";"k";"m";"o"},E199&amp;" gkmo")),10)),"unknown")</f>
        <v>g (4 à— 3</v>
      </c>
      <c r="K199" s="6" t="str">
        <f t="shared" si="12"/>
        <v>g</v>
      </c>
      <c r="L199" s="6" t="str">
        <f t="shared" si="13"/>
        <v>Gerblé</v>
      </c>
      <c r="M199" s="6" t="str">
        <f t="shared" si="14"/>
        <v>Cranberry Saveur Amande</v>
      </c>
      <c r="N199" s="6" t="str">
        <f t="shared" si="15"/>
        <v>Frankrijk,Reunion</v>
      </c>
    </row>
    <row r="200" spans="1:14" x14ac:dyDescent="0.25">
      <c r="A200" s="6" t="s">
        <v>596</v>
      </c>
      <c r="B200" s="6">
        <v>10860</v>
      </c>
      <c r="C200" s="6" t="s">
        <v>7062</v>
      </c>
      <c r="D200" s="7" t="s">
        <v>7017</v>
      </c>
      <c r="E200" s="6" t="s">
        <v>597</v>
      </c>
      <c r="F200" s="6" t="s">
        <v>8449</v>
      </c>
      <c r="G200" s="8">
        <v>45505</v>
      </c>
      <c r="H200" s="6">
        <v>21.57</v>
      </c>
      <c r="I200" s="6" cm="1">
        <f t="array" ref="I200">IFERROR(VALUE(TRIM(LEFT(E200,MIN(FIND({" ";"g";"k";"m";"o"},E200&amp;" gkmo"))-1))),0)</f>
        <v>132</v>
      </c>
      <c r="J200" s="6" t="str" cm="1">
        <f t="array" ref="J200">IFERROR(TRIM(MID(E200,MIN(FIND({" ";"g";"k";"m";"o"},E200&amp;" gkmo")),10)),"unknown")</f>
        <v>g, 4 sach</v>
      </c>
      <c r="K200" s="6" t="str">
        <f t="shared" si="12"/>
        <v>g</v>
      </c>
      <c r="L200" s="6" t="str">
        <f t="shared" si="13"/>
        <v>Unknown</v>
      </c>
      <c r="M200" s="6" t="str">
        <f t="shared" si="14"/>
        <v>Biscuits 3 Graines Kasha, Sésame, Pavot</v>
      </c>
      <c r="N200" s="6" t="str">
        <f t="shared" si="15"/>
        <v>France,La Reunion</v>
      </c>
    </row>
    <row r="201" spans="1:14" x14ac:dyDescent="0.25">
      <c r="A201" s="6" t="s">
        <v>598</v>
      </c>
      <c r="B201" s="6">
        <v>14834</v>
      </c>
      <c r="C201" s="6" t="s">
        <v>599</v>
      </c>
      <c r="D201" s="7" t="s">
        <v>600</v>
      </c>
      <c r="E201" s="6" t="s">
        <v>10</v>
      </c>
      <c r="F201" s="6" t="s">
        <v>601</v>
      </c>
      <c r="G201" s="8">
        <v>45766</v>
      </c>
      <c r="H201" s="6">
        <v>7.05</v>
      </c>
      <c r="I201" s="6" cm="1">
        <f t="array" ref="I201">IFERROR(VALUE(TRIM(LEFT(E201,MIN(FIND({" ";"g";"k";"m";"o"},E201&amp;" gkmo"))-1))),0)</f>
        <v>100</v>
      </c>
      <c r="J201" s="6" t="str" cm="1">
        <f t="array" ref="J201">IFERROR(TRIM(MID(E201,MIN(FIND({" ";"g";"k";"m";"o"},E201&amp;" gkmo")),10)),"unknown")</f>
        <v>g</v>
      </c>
      <c r="K201" s="6" t="str">
        <f t="shared" si="12"/>
        <v>g</v>
      </c>
      <c r="L201" s="6" t="str">
        <f t="shared" si="13"/>
        <v>Ethiquable</v>
      </c>
      <c r="M201" s="6" t="str">
        <f t="shared" si="14"/>
        <v>Chocolat Noir 85% Madagascar</v>
      </c>
      <c r="N201" s="6" t="str">
        <f t="shared" si="15"/>
        <v>France,Spain</v>
      </c>
    </row>
    <row r="202" spans="1:14" x14ac:dyDescent="0.25">
      <c r="A202" s="6" t="s">
        <v>602</v>
      </c>
      <c r="B202" s="6">
        <v>13161</v>
      </c>
      <c r="C202" s="6" t="s">
        <v>7063</v>
      </c>
      <c r="D202" s="7" t="s">
        <v>603</v>
      </c>
      <c r="E202" s="6" t="s">
        <v>168</v>
      </c>
      <c r="F202" s="6" t="s">
        <v>8452</v>
      </c>
      <c r="G202" s="8">
        <v>45499</v>
      </c>
      <c r="H202" s="6">
        <v>19.29</v>
      </c>
      <c r="I202" s="6" cm="1">
        <f t="array" ref="I202">IFERROR(VALUE(TRIM(LEFT(E202,MIN(FIND({" ";"g";"k";"m";"o"},E202&amp;" gkmo"))-1))),0)</f>
        <v>200</v>
      </c>
      <c r="J202" s="6" t="str" cm="1">
        <f t="array" ref="J202">IFERROR(TRIM(MID(E202,MIN(FIND({" ";"g";"k";"m";"o"},E202&amp;" gkmo")),10)),"unknown")</f>
        <v>g e</v>
      </c>
      <c r="K202" s="6" t="str">
        <f t="shared" si="12"/>
        <v>g</v>
      </c>
      <c r="L202" s="6" t="str">
        <f t="shared" si="13"/>
        <v>Lu, Mondelez, Mondelez International</v>
      </c>
      <c r="M202" s="6" t="str">
        <f t="shared" si="14"/>
        <v>Véritable Petit Beurre</v>
      </c>
      <c r="N202" s="6" t="str">
        <f t="shared" si="15"/>
        <v>France,Guadeloupe,La Reunion,Switzerland</v>
      </c>
    </row>
    <row r="203" spans="1:14" x14ac:dyDescent="0.25">
      <c r="A203" s="6" t="s">
        <v>604</v>
      </c>
      <c r="B203" s="6">
        <v>11117</v>
      </c>
      <c r="C203" s="6" t="s">
        <v>605</v>
      </c>
      <c r="D203" s="7" t="s">
        <v>606</v>
      </c>
      <c r="E203" s="6"/>
      <c r="F203" s="6" t="s">
        <v>607</v>
      </c>
      <c r="G203" s="8">
        <v>45353</v>
      </c>
      <c r="H203" s="6">
        <v>3.96</v>
      </c>
      <c r="I203" s="6" cm="1">
        <f t="array" ref="I203">IFERROR(VALUE(TRIM(LEFT(E203,MIN(FIND({" ";"g";"k";"m";"o"},E203&amp;" gkmo"))-1))),0)</f>
        <v>0</v>
      </c>
      <c r="J203" s="6" t="str" cm="1">
        <f t="array" ref="J203">IFERROR(TRIM(MID(E203,MIN(FIND({" ";"g";"k";"m";"o"},E203&amp;" gkmo")),10)),"unknown")</f>
        <v/>
      </c>
      <c r="K203" s="6" t="str">
        <f t="shared" si="12"/>
        <v>unknown</v>
      </c>
      <c r="L203" s="6" t="str">
        <f t="shared" si="13"/>
        <v>Pringles</v>
      </c>
      <c r="M203" s="6" t="str">
        <f t="shared" si="14"/>
        <v>Texas Bbq Sauce</v>
      </c>
      <c r="N203" s="6" t="str">
        <f t="shared" si="15"/>
        <v>Belgium,Bulgaria,Germany,Ireland,Morocco,Romania,United Kingdom,Libya</v>
      </c>
    </row>
    <row r="204" spans="1:14" x14ac:dyDescent="0.25">
      <c r="A204" s="6" t="s">
        <v>608</v>
      </c>
      <c r="B204" s="6">
        <v>5039</v>
      </c>
      <c r="C204" s="6" t="s">
        <v>609</v>
      </c>
      <c r="D204" s="7" t="s">
        <v>47</v>
      </c>
      <c r="E204" s="6"/>
      <c r="F204" s="6" t="s">
        <v>48</v>
      </c>
      <c r="G204" s="8">
        <v>45948</v>
      </c>
      <c r="H204" s="6">
        <v>23.56</v>
      </c>
      <c r="I204" s="6" cm="1">
        <f t="array" ref="I204">IFERROR(VALUE(TRIM(LEFT(E204,MIN(FIND({" ";"g";"k";"m";"o"},E204&amp;" gkmo"))-1))),0)</f>
        <v>0</v>
      </c>
      <c r="J204" s="6" t="str" cm="1">
        <f t="array" ref="J204">IFERROR(TRIM(MID(E204,MIN(FIND({" ";"g";"k";"m";"o"},E204&amp;" gkmo")),10)),"unknown")</f>
        <v/>
      </c>
      <c r="K204" s="6" t="str">
        <f t="shared" si="12"/>
        <v>unknown</v>
      </c>
      <c r="L204" s="6" t="str">
        <f t="shared" si="13"/>
        <v>Excelo</v>
      </c>
      <c r="M204" s="6" t="str">
        <f t="shared" si="14"/>
        <v>Extrem</v>
      </c>
      <c r="N204" s="6" t="str">
        <f t="shared" si="15"/>
        <v>Morocco</v>
      </c>
    </row>
    <row r="205" spans="1:14" x14ac:dyDescent="0.25">
      <c r="A205" s="6" t="s">
        <v>610</v>
      </c>
      <c r="B205" s="6">
        <v>10029</v>
      </c>
      <c r="C205" s="6" t="s">
        <v>7064</v>
      </c>
      <c r="D205" s="7" t="s">
        <v>204</v>
      </c>
      <c r="E205" s="6" t="s">
        <v>14</v>
      </c>
      <c r="F205" s="6" t="s">
        <v>139</v>
      </c>
      <c r="G205" s="8">
        <v>45754</v>
      </c>
      <c r="H205" s="6">
        <v>1.73</v>
      </c>
      <c r="I205" s="6" cm="1">
        <f t="array" ref="I205">IFERROR(VALUE(TRIM(LEFT(E205,MIN(FIND({" ";"g";"k";"m";"o"},E205&amp;" gkmo"))-1))),0)</f>
        <v>300</v>
      </c>
      <c r="J205" s="6" t="str" cm="1">
        <f t="array" ref="J205">IFERROR(TRIM(MID(E205,MIN(FIND({" ";"g";"k";"m";"o"},E205&amp;" gkmo")),10)),"unknown")</f>
        <v>g</v>
      </c>
      <c r="K205" s="6" t="str">
        <f t="shared" si="12"/>
        <v>g</v>
      </c>
      <c r="L205" s="6" t="str">
        <f t="shared" si="13"/>
        <v>Mcvitie'S</v>
      </c>
      <c r="M205" s="6" t="str">
        <f t="shared" si="14"/>
        <v>Sablés Chocolat</v>
      </c>
      <c r="N205" s="6" t="str">
        <f t="shared" si="15"/>
        <v>France</v>
      </c>
    </row>
    <row r="206" spans="1:14" x14ac:dyDescent="0.25">
      <c r="A206" s="6" t="s">
        <v>611</v>
      </c>
      <c r="B206" s="6">
        <v>9793</v>
      </c>
      <c r="C206" s="6" t="s">
        <v>612</v>
      </c>
      <c r="D206" s="7" t="s">
        <v>613</v>
      </c>
      <c r="E206" s="6" t="s">
        <v>614</v>
      </c>
      <c r="F206" s="6" t="s">
        <v>7929</v>
      </c>
      <c r="G206" s="8">
        <v>45476</v>
      </c>
      <c r="H206" s="6">
        <v>13.16</v>
      </c>
      <c r="I206" s="6" cm="1">
        <f t="array" ref="I206">IFERROR(VALUE(TRIM(LEFT(E206,MIN(FIND({" ";"g";"k";"m";"o"},E206&amp;" gkmo"))-1))),0)</f>
        <v>45</v>
      </c>
      <c r="J206" s="6" t="str" cm="1">
        <f t="array" ref="J206">IFERROR(TRIM(MID(E206,MIN(FIND({" ";"g";"k";"m";"o"},E206&amp;" gkmo")),10)),"unknown")</f>
        <v>g</v>
      </c>
      <c r="K206" s="6" t="str">
        <f t="shared" si="12"/>
        <v>g</v>
      </c>
      <c r="L206" s="6" t="str">
        <f t="shared" si="13"/>
        <v>Nakd</v>
      </c>
      <c r="M206" s="6" t="str">
        <f t="shared" si="14"/>
        <v>Nakd Protein - Cacao Noisette - 45G (16X1P)</v>
      </c>
      <c r="N206" s="6" t="str">
        <f t="shared" si="15"/>
        <v>France, United Kingdom, Switzerland</v>
      </c>
    </row>
    <row r="207" spans="1:14" x14ac:dyDescent="0.25">
      <c r="A207" s="6" t="s">
        <v>615</v>
      </c>
      <c r="B207" s="6">
        <v>14206</v>
      </c>
      <c r="C207" s="6" t="s">
        <v>172</v>
      </c>
      <c r="D207" s="7" t="s">
        <v>173</v>
      </c>
      <c r="E207" s="6" t="s">
        <v>616</v>
      </c>
      <c r="F207" s="6" t="s">
        <v>8423</v>
      </c>
      <c r="G207" s="8">
        <v>45657</v>
      </c>
      <c r="H207" s="6">
        <v>10.66</v>
      </c>
      <c r="I207" s="6" cm="1">
        <f t="array" ref="I207">IFERROR(VALUE(TRIM(LEFT(E207,MIN(FIND({" ";"g";"k";"m";"o"},E207&amp;" gkmo"))-1))),0)</f>
        <v>43</v>
      </c>
      <c r="J207" s="6" t="str" cm="1">
        <f t="array" ref="J207">IFERROR(TRIM(MID(E207,MIN(FIND({" ";"g";"k";"m";"o"},E207&amp;" gkmo")),10)),"unknown")</f>
        <v>g</v>
      </c>
      <c r="K207" s="6" t="str">
        <f t="shared" si="12"/>
        <v>g</v>
      </c>
      <c r="L207" s="6" t="str">
        <f t="shared" si="13"/>
        <v>Kinder</v>
      </c>
      <c r="M207" s="6" t="str">
        <f t="shared" si="14"/>
        <v>Kinder Bueno</v>
      </c>
      <c r="N207" s="6" t="str">
        <f t="shared" si="15"/>
        <v>Algeria,Belgium,Germany,Italie,Morocco,Spain,Switzerland,Tunisia,United Kingdom,États-Unis,France</v>
      </c>
    </row>
    <row r="208" spans="1:14" x14ac:dyDescent="0.25">
      <c r="A208" s="6" t="s">
        <v>617</v>
      </c>
      <c r="B208" s="6">
        <v>11642</v>
      </c>
      <c r="C208" s="6" t="s">
        <v>299</v>
      </c>
      <c r="D208" s="7" t="s">
        <v>618</v>
      </c>
      <c r="E208" s="6"/>
      <c r="F208" s="6" t="s">
        <v>2973</v>
      </c>
      <c r="G208" s="8">
        <v>45403</v>
      </c>
      <c r="H208" s="6">
        <v>23.04</v>
      </c>
      <c r="I208" s="6" cm="1">
        <f t="array" ref="I208">IFERROR(VALUE(TRIM(LEFT(E208,MIN(FIND({" ";"g";"k";"m";"o"},E208&amp;" gkmo"))-1))),0)</f>
        <v>0</v>
      </c>
      <c r="J208" s="6" t="str" cm="1">
        <f t="array" ref="J208">IFERROR(TRIM(MID(E208,MIN(FIND({" ";"g";"k";"m";"o"},E208&amp;" gkmo")),10)),"unknown")</f>
        <v/>
      </c>
      <c r="K208" s="6" t="str">
        <f t="shared" si="12"/>
        <v>unknown</v>
      </c>
      <c r="L208" s="6" t="str">
        <f t="shared" si="13"/>
        <v>By Sainsbury'S</v>
      </c>
      <c r="M208" s="6" t="str">
        <f t="shared" si="14"/>
        <v>Wheat Biscuits</v>
      </c>
      <c r="N208" s="6" t="str">
        <f t="shared" si="15"/>
        <v>Gb</v>
      </c>
    </row>
    <row r="209" spans="1:14" x14ac:dyDescent="0.25">
      <c r="A209" s="6" t="s">
        <v>619</v>
      </c>
      <c r="B209" s="6">
        <v>14425</v>
      </c>
      <c r="C209" s="6" t="s">
        <v>620</v>
      </c>
      <c r="D209" s="7" t="s">
        <v>6021</v>
      </c>
      <c r="E209" s="6" t="s">
        <v>621</v>
      </c>
      <c r="F209" s="6" t="s">
        <v>177</v>
      </c>
      <c r="G209" s="8">
        <v>45916</v>
      </c>
      <c r="H209" s="6">
        <v>1.6</v>
      </c>
      <c r="I209" s="6" cm="1">
        <f t="array" ref="I209">IFERROR(VALUE(TRIM(LEFT(E209,MIN(FIND({" ";"g";"k";"m";"o"},E209&amp;" gkmo"))-1))),0)</f>
        <v>160</v>
      </c>
      <c r="J209" s="6" t="str" cm="1">
        <f t="array" ref="J209">IFERROR(TRIM(MID(E209,MIN(FIND({" ";"g";"k";"m";"o"},E209&amp;" gkmo")),10)),"unknown")</f>
        <v>g</v>
      </c>
      <c r="K209" s="6" t="str">
        <f t="shared" si="12"/>
        <v>g</v>
      </c>
      <c r="L209" s="6" t="str">
        <f t="shared" si="13"/>
        <v>Walker'S</v>
      </c>
      <c r="M209" s="6" t="str">
        <f t="shared" si="14"/>
        <v>Shortbread Fingers</v>
      </c>
      <c r="N209" s="6" t="str">
        <f t="shared" si="15"/>
        <v>United Kingdom</v>
      </c>
    </row>
    <row r="210" spans="1:14" x14ac:dyDescent="0.25">
      <c r="A210" s="6" t="s">
        <v>622</v>
      </c>
      <c r="B210" s="6">
        <v>7176</v>
      </c>
      <c r="C210" s="6" t="s">
        <v>623</v>
      </c>
      <c r="D210" s="7" t="s">
        <v>624</v>
      </c>
      <c r="E210" s="6" t="s">
        <v>423</v>
      </c>
      <c r="F210" s="6" t="s">
        <v>7919</v>
      </c>
      <c r="G210" s="8">
        <v>45589</v>
      </c>
      <c r="H210" s="6">
        <v>21.83</v>
      </c>
      <c r="I210" s="6" cm="1">
        <f t="array" ref="I210">IFERROR(VALUE(TRIM(LEFT(E210,MIN(FIND({" ";"g";"k";"m";"o"},E210&amp;" gkmo"))-1))),0)</f>
        <v>125</v>
      </c>
      <c r="J210" s="6" t="str" cm="1">
        <f t="array" ref="J210">IFERROR(TRIM(MID(E210,MIN(FIND({" ";"g";"k";"m";"o"},E210&amp;" gkmo")),10)),"unknown")</f>
        <v>g</v>
      </c>
      <c r="K210" s="6" t="str">
        <f t="shared" si="12"/>
        <v>g</v>
      </c>
      <c r="L210" s="6" t="str">
        <f t="shared" si="13"/>
        <v>Brets</v>
      </c>
      <c r="M210" s="6" t="str">
        <f t="shared" si="14"/>
        <v>Chips Saveur Fromage Du Jura</v>
      </c>
      <c r="N210" s="6" t="str">
        <f t="shared" si="15"/>
        <v>France, Morocco</v>
      </c>
    </row>
    <row r="211" spans="1:14" x14ac:dyDescent="0.25">
      <c r="A211" s="6" t="s">
        <v>625</v>
      </c>
      <c r="B211" s="6">
        <v>12754</v>
      </c>
      <c r="C211" s="6" t="s">
        <v>626</v>
      </c>
      <c r="D211" s="7" t="s">
        <v>47</v>
      </c>
      <c r="E211" s="6" t="s">
        <v>627</v>
      </c>
      <c r="F211" s="6" t="s">
        <v>48</v>
      </c>
      <c r="G211" s="8">
        <v>45673</v>
      </c>
      <c r="H211" s="6">
        <v>13.16</v>
      </c>
      <c r="I211" s="6" cm="1">
        <f t="array" ref="I211">IFERROR(VALUE(TRIM(LEFT(E211,MIN(FIND({" ";"g";"k";"m";"o"},E211&amp;" gkmo"))-1))),0)</f>
        <v>28</v>
      </c>
      <c r="J211" s="6" t="str" cm="1">
        <f t="array" ref="J211">IFERROR(TRIM(MID(E211,MIN(FIND({" ";"g";"k";"m";"o"},E211&amp;" gkmo")),10)),"unknown")</f>
        <v>g</v>
      </c>
      <c r="K211" s="6" t="str">
        <f t="shared" si="12"/>
        <v>g</v>
      </c>
      <c r="L211" s="6" t="str">
        <f t="shared" si="13"/>
        <v>Excelo</v>
      </c>
      <c r="M211" s="6" t="str">
        <f t="shared" si="14"/>
        <v>Top Cookies</v>
      </c>
      <c r="N211" s="6" t="str">
        <f t="shared" si="15"/>
        <v>Morocco</v>
      </c>
    </row>
    <row r="212" spans="1:14" x14ac:dyDescent="0.25">
      <c r="A212" s="6" t="s">
        <v>628</v>
      </c>
      <c r="B212" s="6">
        <v>14155</v>
      </c>
      <c r="C212" s="6" t="s">
        <v>629</v>
      </c>
      <c r="D212" s="7" t="s">
        <v>630</v>
      </c>
      <c r="E212" s="6"/>
      <c r="F212" s="6" t="s">
        <v>48</v>
      </c>
      <c r="G212" s="8">
        <v>45728</v>
      </c>
      <c r="H212" s="6">
        <v>14.76</v>
      </c>
      <c r="I212" s="6" cm="1">
        <f t="array" ref="I212">IFERROR(VALUE(TRIM(LEFT(E212,MIN(FIND({" ";"g";"k";"m";"o"},E212&amp;" gkmo"))-1))),0)</f>
        <v>0</v>
      </c>
      <c r="J212" s="6" t="str" cm="1">
        <f t="array" ref="J212">IFERROR(TRIM(MID(E212,MIN(FIND({" ";"g";"k";"m";"o"},E212&amp;" gkmo")),10)),"unknown")</f>
        <v/>
      </c>
      <c r="K212" s="6" t="str">
        <f t="shared" si="12"/>
        <v>unknown</v>
      </c>
      <c r="L212" s="6" t="str">
        <f t="shared" si="13"/>
        <v>Be</v>
      </c>
      <c r="M212" s="6" t="str">
        <f t="shared" si="14"/>
        <v>Cooky Original Chocolate Chips</v>
      </c>
      <c r="N212" s="6" t="str">
        <f t="shared" si="15"/>
        <v>Morocco</v>
      </c>
    </row>
    <row r="213" spans="1:14" x14ac:dyDescent="0.25">
      <c r="A213" s="6" t="s">
        <v>631</v>
      </c>
      <c r="B213" s="6">
        <v>13315</v>
      </c>
      <c r="C213" s="6" t="s">
        <v>632</v>
      </c>
      <c r="D213" s="7" t="s">
        <v>633</v>
      </c>
      <c r="E213" s="6" t="s">
        <v>634</v>
      </c>
      <c r="F213" s="6" t="s">
        <v>635</v>
      </c>
      <c r="G213" s="8">
        <v>45646</v>
      </c>
      <c r="H213" s="6">
        <v>4.83</v>
      </c>
      <c r="I213" s="6" cm="1">
        <f t="array" ref="I213">IFERROR(VALUE(TRIM(LEFT(E213,MIN(FIND({" ";"g";"k";"m";"o"},E213&amp;" gkmo"))-1))),0)</f>
        <v>218</v>
      </c>
      <c r="J213" s="6" t="str" cm="1">
        <f t="array" ref="J213">IFERROR(TRIM(MID(E213,MIN(FIND({" ";"g";"k";"m";"o"},E213&amp;" gkmo")),10)),"unknown")</f>
        <v>g</v>
      </c>
      <c r="K213" s="6" t="str">
        <f t="shared" si="12"/>
        <v>g</v>
      </c>
      <c r="L213" s="6" t="str">
        <f t="shared" si="13"/>
        <v>Nairn'S</v>
      </c>
      <c r="M213" s="6" t="str">
        <f t="shared" si="14"/>
        <v>Fine Milled Oatcakes</v>
      </c>
      <c r="N213" s="6" t="str">
        <f t="shared" si="15"/>
        <v>Frankrijk,Verenigd Koninkrijk</v>
      </c>
    </row>
    <row r="214" spans="1:14" x14ac:dyDescent="0.25">
      <c r="A214" s="6" t="s">
        <v>636</v>
      </c>
      <c r="B214" s="6">
        <v>8454</v>
      </c>
      <c r="C214" s="6" t="s">
        <v>637</v>
      </c>
      <c r="D214" s="7" t="s">
        <v>7017</v>
      </c>
      <c r="E214" s="6" t="s">
        <v>84</v>
      </c>
      <c r="F214" s="6" t="s">
        <v>139</v>
      </c>
      <c r="G214" s="8">
        <v>45975</v>
      </c>
      <c r="H214" s="6">
        <v>7.7</v>
      </c>
      <c r="I214" s="6" cm="1">
        <f t="array" ref="I214">IFERROR(VALUE(TRIM(LEFT(E214,MIN(FIND({" ";"g";"k";"m";"o"},E214&amp;" gkmo"))-1))),0)</f>
        <v>85</v>
      </c>
      <c r="J214" s="6" t="str" cm="1">
        <f t="array" ref="J214">IFERROR(TRIM(MID(E214,MIN(FIND({" ";"g";"k";"m";"o"},E214&amp;" gkmo")),10)),"unknown")</f>
        <v>g</v>
      </c>
      <c r="K214" s="6" t="str">
        <f t="shared" si="12"/>
        <v>g</v>
      </c>
      <c r="L214" s="6" t="str">
        <f t="shared" si="13"/>
        <v>Unknown</v>
      </c>
      <c r="M214" s="6" t="str">
        <f t="shared" si="14"/>
        <v>Chips De Lentilles Saveur Tomate Mozza</v>
      </c>
      <c r="N214" s="6" t="str">
        <f t="shared" si="15"/>
        <v>France</v>
      </c>
    </row>
    <row r="215" spans="1:14" x14ac:dyDescent="0.25">
      <c r="A215" s="6" t="s">
        <v>638</v>
      </c>
      <c r="B215" s="6">
        <v>8042</v>
      </c>
      <c r="C215" s="6" t="s">
        <v>639</v>
      </c>
      <c r="D215" s="7" t="s">
        <v>633</v>
      </c>
      <c r="E215" s="6"/>
      <c r="F215" s="6" t="s">
        <v>7930</v>
      </c>
      <c r="G215" s="8">
        <v>45623</v>
      </c>
      <c r="H215" s="6">
        <v>3.52</v>
      </c>
      <c r="I215" s="6" cm="1">
        <f t="array" ref="I215">IFERROR(VALUE(TRIM(LEFT(E215,MIN(FIND({" ";"g";"k";"m";"o"},E215&amp;" gkmo"))-1))),0)</f>
        <v>0</v>
      </c>
      <c r="J215" s="6" t="str" cm="1">
        <f t="array" ref="J215">IFERROR(TRIM(MID(E215,MIN(FIND({" ";"g";"k";"m";"o"},E215&amp;" gkmo")),10)),"unknown")</f>
        <v/>
      </c>
      <c r="K215" s="6" t="str">
        <f t="shared" si="12"/>
        <v>unknown</v>
      </c>
      <c r="L215" s="6" t="str">
        <f t="shared" si="13"/>
        <v>Nairn'S</v>
      </c>
      <c r="M215" s="6" t="str">
        <f t="shared" si="14"/>
        <v>Fruit &amp; Seed Oatcakes</v>
      </c>
      <c r="N215" s="6" t="str">
        <f t="shared" si="15"/>
        <v>France,United Kingdom,United States,United-Kingdom</v>
      </c>
    </row>
    <row r="216" spans="1:14" x14ac:dyDescent="0.25">
      <c r="A216" s="6" t="s">
        <v>640</v>
      </c>
      <c r="B216" s="6">
        <v>7429</v>
      </c>
      <c r="C216" s="6" t="s">
        <v>641</v>
      </c>
      <c r="D216" s="7" t="s">
        <v>642</v>
      </c>
      <c r="E216" s="6" t="s">
        <v>643</v>
      </c>
      <c r="F216" s="6" t="s">
        <v>8210</v>
      </c>
      <c r="G216" s="8">
        <v>45816</v>
      </c>
      <c r="H216" s="6">
        <v>2.72</v>
      </c>
      <c r="I216" s="6" cm="1">
        <f t="array" ref="I216">IFERROR(VALUE(TRIM(LEFT(E216,MIN(FIND({" ";"g";"k";"m";"o"},E216&amp;" gkmo"))-1))),0)</f>
        <v>25</v>
      </c>
      <c r="J216" s="6" t="str" cm="1">
        <f t="array" ref="J216">IFERROR(TRIM(MID(E216,MIN(FIND({" ";"g";"k";"m";"o"},E216&amp;" gkmo")),10)),"unknown")</f>
        <v>g</v>
      </c>
      <c r="K216" s="6" t="str">
        <f t="shared" si="12"/>
        <v>g</v>
      </c>
      <c r="L216" s="6" t="str">
        <f t="shared" si="13"/>
        <v>Milka Oreo</v>
      </c>
      <c r="M216" s="6" t="str">
        <f t="shared" si="14"/>
        <v>Milka Oreo</v>
      </c>
      <c r="N216" s="6" t="str">
        <f t="shared" si="15"/>
        <v>France,Morocco,Morocco</v>
      </c>
    </row>
    <row r="217" spans="1:14" x14ac:dyDescent="0.25">
      <c r="A217" s="6" t="s">
        <v>644</v>
      </c>
      <c r="B217" s="6">
        <v>8897</v>
      </c>
      <c r="C217" s="6" t="s">
        <v>645</v>
      </c>
      <c r="D217" s="7" t="s">
        <v>646</v>
      </c>
      <c r="E217" s="6" t="s">
        <v>10</v>
      </c>
      <c r="F217" s="6" t="s">
        <v>7931</v>
      </c>
      <c r="G217" s="8">
        <v>45744</v>
      </c>
      <c r="H217" s="6">
        <v>9.67</v>
      </c>
      <c r="I217" s="6" cm="1">
        <f t="array" ref="I217">IFERROR(VALUE(TRIM(LEFT(E217,MIN(FIND({" ";"g";"k";"m";"o"},E217&amp;" gkmo"))-1))),0)</f>
        <v>100</v>
      </c>
      <c r="J217" s="6" t="str" cm="1">
        <f t="array" ref="J217">IFERROR(TRIM(MID(E217,MIN(FIND({" ";"g";"k";"m";"o"},E217&amp;" gkmo")),10)),"unknown")</f>
        <v>g</v>
      </c>
      <c r="K217" s="6" t="str">
        <f t="shared" si="12"/>
        <v>g</v>
      </c>
      <c r="L217" s="6" t="str">
        <f t="shared" si="13"/>
        <v>Carrefour Bio, Carrefour</v>
      </c>
      <c r="M217" s="6" t="str">
        <f t="shared" si="14"/>
        <v>Chocolate Negro</v>
      </c>
      <c r="N217" s="6" t="str">
        <f t="shared" si="15"/>
        <v>Belgium, France, French Polynesia, Italy, Spain, Morocco</v>
      </c>
    </row>
    <row r="218" spans="1:14" x14ac:dyDescent="0.25">
      <c r="A218" s="6" t="s">
        <v>647</v>
      </c>
      <c r="B218" s="6">
        <v>7517</v>
      </c>
      <c r="C218" s="6" t="s">
        <v>648</v>
      </c>
      <c r="D218" s="7" t="s">
        <v>613</v>
      </c>
      <c r="E218" s="6" t="s">
        <v>649</v>
      </c>
      <c r="F218" s="6" t="s">
        <v>177</v>
      </c>
      <c r="G218" s="8">
        <v>45875</v>
      </c>
      <c r="H218" s="6">
        <v>16.7</v>
      </c>
      <c r="I218" s="6" cm="1">
        <f t="array" ref="I218">IFERROR(VALUE(TRIM(LEFT(E218,MIN(FIND({" ";"g";"k";"m";"o"},E218&amp;" gkmo"))-1))),0)</f>
        <v>35</v>
      </c>
      <c r="J218" s="6" t="str" cm="1">
        <f t="array" ref="J218">IFERROR(TRIM(MID(E218,MIN(FIND({" ";"g";"k";"m";"o"},E218&amp;" gkmo")),10)),"unknown")</f>
        <v>g</v>
      </c>
      <c r="K218" s="6" t="str">
        <f t="shared" si="12"/>
        <v>g</v>
      </c>
      <c r="L218" s="6" t="str">
        <f t="shared" si="13"/>
        <v>Nakd</v>
      </c>
      <c r="M218" s="6" t="str">
        <f t="shared" si="14"/>
        <v>Cocoa Orange</v>
      </c>
      <c r="N218" s="6" t="str">
        <f t="shared" si="15"/>
        <v>United Kingdom</v>
      </c>
    </row>
    <row r="219" spans="1:14" x14ac:dyDescent="0.25">
      <c r="A219" s="6" t="s">
        <v>650</v>
      </c>
      <c r="B219" s="6">
        <v>13137</v>
      </c>
      <c r="C219" s="6" t="s">
        <v>651</v>
      </c>
      <c r="D219" s="7" t="s">
        <v>652</v>
      </c>
      <c r="E219" s="6" t="s">
        <v>653</v>
      </c>
      <c r="F219" s="6" t="s">
        <v>139</v>
      </c>
      <c r="G219" s="8">
        <v>45475</v>
      </c>
      <c r="H219" s="6">
        <v>21.12</v>
      </c>
      <c r="I219" s="6" cm="1">
        <f t="array" ref="I219">IFERROR(VALUE(TRIM(LEFT(E219,MIN(FIND({" ";"g";"k";"m";"o"},E219&amp;" gkmo"))-1))),0)</f>
        <v>310</v>
      </c>
      <c r="J219" s="6" t="str" cm="1">
        <f t="array" ref="J219">IFERROR(TRIM(MID(E219,MIN(FIND({" ";"g";"k";"m";"o"},E219&amp;" gkmo")),10)),"unknown")</f>
        <v>g</v>
      </c>
      <c r="K219" s="6" t="str">
        <f t="shared" si="12"/>
        <v>g</v>
      </c>
      <c r="L219" s="6" t="str">
        <f t="shared" si="13"/>
        <v>Brossard</v>
      </c>
      <c r="M219" s="6" t="str">
        <f t="shared" si="14"/>
        <v>Savane</v>
      </c>
      <c r="N219" s="6" t="str">
        <f t="shared" si="15"/>
        <v>France</v>
      </c>
    </row>
    <row r="220" spans="1:14" x14ac:dyDescent="0.25">
      <c r="A220" s="6" t="s">
        <v>654</v>
      </c>
      <c r="B220" s="6">
        <v>14717</v>
      </c>
      <c r="C220" s="6" t="s">
        <v>655</v>
      </c>
      <c r="D220" s="7" t="s">
        <v>656</v>
      </c>
      <c r="E220" s="6" t="s">
        <v>657</v>
      </c>
      <c r="F220" s="6" t="s">
        <v>48</v>
      </c>
      <c r="G220" s="8">
        <v>45498</v>
      </c>
      <c r="H220" s="6">
        <v>18.46</v>
      </c>
      <c r="I220" s="6" cm="1">
        <f t="array" ref="I220">IFERROR(VALUE(TRIM(LEFT(E220,MIN(FIND({" ";"g";"k";"m";"o"},E220&amp;" gkmo"))-1))),0)</f>
        <v>900</v>
      </c>
      <c r="J220" s="6" t="str" cm="1">
        <f t="array" ref="J220">IFERROR(TRIM(MID(E220,MIN(FIND({" ";"g";"k";"m";"o"},E220&amp;" gkmo")),10)),"unknown")</f>
        <v>g</v>
      </c>
      <c r="K220" s="6" t="str">
        <f t="shared" si="12"/>
        <v>g</v>
      </c>
      <c r="L220" s="6" t="str">
        <f t="shared" si="13"/>
        <v>Null</v>
      </c>
      <c r="M220" s="6" t="str">
        <f t="shared" si="14"/>
        <v>Nutabella</v>
      </c>
      <c r="N220" s="6" t="str">
        <f t="shared" si="15"/>
        <v>Morocco</v>
      </c>
    </row>
    <row r="221" spans="1:14" x14ac:dyDescent="0.25">
      <c r="A221" s="6" t="s">
        <v>658</v>
      </c>
      <c r="B221" s="6">
        <v>13462</v>
      </c>
      <c r="C221" s="6" t="s">
        <v>659</v>
      </c>
      <c r="D221" s="7" t="s">
        <v>660</v>
      </c>
      <c r="E221" s="6" t="s">
        <v>436</v>
      </c>
      <c r="F221" s="6" t="s">
        <v>8392</v>
      </c>
      <c r="G221" s="8">
        <v>45746</v>
      </c>
      <c r="H221" s="6">
        <v>7.04</v>
      </c>
      <c r="I221" s="6" cm="1">
        <f t="array" ref="I221">IFERROR(VALUE(TRIM(LEFT(E221,MIN(FIND({" ";"g";"k";"m";"o"},E221&amp;" gkmo"))-1))),0)</f>
        <v>90</v>
      </c>
      <c r="J221" s="6" t="str" cm="1">
        <f t="array" ref="J221">IFERROR(TRIM(MID(E221,MIN(FIND({" ";"g";"k";"m";"o"},E221&amp;" gkmo")),10)),"unknown")</f>
        <v>g</v>
      </c>
      <c r="K221" s="6" t="str">
        <f t="shared" si="12"/>
        <v>g</v>
      </c>
      <c r="L221" s="6" t="str">
        <f t="shared" si="13"/>
        <v>Montezuma'S</v>
      </c>
      <c r="M221" s="6" t="str">
        <f t="shared" si="14"/>
        <v>Absolute Black Dark Chocolate</v>
      </c>
      <c r="N221" s="6" t="str">
        <f t="shared" si="15"/>
        <v>Espaà±A,United Kingdom</v>
      </c>
    </row>
    <row r="222" spans="1:14" x14ac:dyDescent="0.25">
      <c r="A222" s="6" t="s">
        <v>661</v>
      </c>
      <c r="B222" s="6">
        <v>8527</v>
      </c>
      <c r="C222" s="6" t="s">
        <v>662</v>
      </c>
      <c r="D222" s="7" t="s">
        <v>47</v>
      </c>
      <c r="E222" s="6"/>
      <c r="F222" s="6" t="s">
        <v>7919</v>
      </c>
      <c r="G222" s="8">
        <v>45782</v>
      </c>
      <c r="H222" s="6">
        <v>19.739999999999998</v>
      </c>
      <c r="I222" s="6" cm="1">
        <f t="array" ref="I222">IFERROR(VALUE(TRIM(LEFT(E222,MIN(FIND({" ";"g";"k";"m";"o"},E222&amp;" gkmo"))-1))),0)</f>
        <v>0</v>
      </c>
      <c r="J222" s="6" t="str" cm="1">
        <f t="array" ref="J222">IFERROR(TRIM(MID(E222,MIN(FIND({" ";"g";"k";"m";"o"},E222&amp;" gkmo")),10)),"unknown")</f>
        <v/>
      </c>
      <c r="K222" s="6" t="str">
        <f t="shared" si="12"/>
        <v>unknown</v>
      </c>
      <c r="L222" s="6" t="str">
        <f t="shared" si="13"/>
        <v>Excelo</v>
      </c>
      <c r="M222" s="6" t="str">
        <f t="shared" si="14"/>
        <v>Eyoo</v>
      </c>
      <c r="N222" s="6" t="str">
        <f t="shared" si="15"/>
        <v>France, Morocco</v>
      </c>
    </row>
    <row r="223" spans="1:14" x14ac:dyDescent="0.25">
      <c r="A223" s="6" t="s">
        <v>663</v>
      </c>
      <c r="B223" s="6">
        <v>6870</v>
      </c>
      <c r="C223" s="6" t="s">
        <v>664</v>
      </c>
      <c r="D223" s="7" t="s">
        <v>665</v>
      </c>
      <c r="E223" s="6" t="s">
        <v>666</v>
      </c>
      <c r="F223" s="6" t="s">
        <v>7919</v>
      </c>
      <c r="G223" s="8">
        <v>45496</v>
      </c>
      <c r="H223" s="6">
        <v>17.850000000000001</v>
      </c>
      <c r="I223" s="6" cm="1">
        <f t="array" ref="I223">IFERROR(VALUE(TRIM(LEFT(E223,MIN(FIND({" ";"g";"k";"m";"o"},E223&amp;" gkmo"))-1))),0)</f>
        <v>5</v>
      </c>
      <c r="J223" s="6" t="str" cm="1">
        <f t="array" ref="J223">IFERROR(TRIM(MID(E223,MIN(FIND({" ";"g";"k";"m";"o"},E223&amp;" gkmo")),10)),"unknown")</f>
        <v>pieces /</v>
      </c>
      <c r="K223" s="6" t="str">
        <f t="shared" si="12"/>
        <v>g</v>
      </c>
      <c r="L223" s="6" t="str">
        <f t="shared" si="13"/>
        <v>Flash</v>
      </c>
      <c r="M223" s="6" t="str">
        <f t="shared" si="14"/>
        <v>Flash Wondermint Gum</v>
      </c>
      <c r="N223" s="6" t="str">
        <f t="shared" si="15"/>
        <v>France, Morocco</v>
      </c>
    </row>
    <row r="224" spans="1:14" x14ac:dyDescent="0.25">
      <c r="A224" s="6" t="s">
        <v>667</v>
      </c>
      <c r="B224" s="6">
        <v>13662</v>
      </c>
      <c r="C224" s="6" t="s">
        <v>668</v>
      </c>
      <c r="D224" s="7" t="s">
        <v>7578</v>
      </c>
      <c r="E224" s="6" t="s">
        <v>592</v>
      </c>
      <c r="F224" s="6" t="s">
        <v>8221</v>
      </c>
      <c r="G224" s="8">
        <v>46006</v>
      </c>
      <c r="H224" s="6">
        <v>7.25</v>
      </c>
      <c r="I224" s="6" cm="1">
        <f t="array" ref="I224">IFERROR(VALUE(TRIM(LEFT(E224,MIN(FIND({" ";"g";"k";"m";"o"},E224&amp;" gkmo"))-1))),0)</f>
        <v>500</v>
      </c>
      <c r="J224" s="6" t="str" cm="1">
        <f t="array" ref="J224">IFERROR(TRIM(MID(E224,MIN(FIND({" ";"g";"k";"m";"o"},E224&amp;" gkmo")),10)),"unknown")</f>
        <v>g</v>
      </c>
      <c r="K224" s="6" t="str">
        <f t="shared" si="12"/>
        <v>g</v>
      </c>
      <c r="L224" s="6" t="str">
        <f t="shared" si="13"/>
        <v>Gullà³N</v>
      </c>
      <c r="M224" s="6" t="str">
        <f t="shared" si="14"/>
        <v>Biscuits Mega Duo Imp</v>
      </c>
      <c r="N224" s="6" t="str">
        <f t="shared" si="15"/>
        <v>France,Marruecos,Espaà±A,France</v>
      </c>
    </row>
    <row r="225" spans="1:14" x14ac:dyDescent="0.25">
      <c r="A225" s="6" t="s">
        <v>669</v>
      </c>
      <c r="B225" s="6">
        <v>9147</v>
      </c>
      <c r="C225" s="6" t="s">
        <v>670</v>
      </c>
      <c r="D225" s="7" t="s">
        <v>671</v>
      </c>
      <c r="E225" s="6" t="s">
        <v>18</v>
      </c>
      <c r="F225" s="6" t="s">
        <v>48</v>
      </c>
      <c r="G225" s="8">
        <v>45648</v>
      </c>
      <c r="H225" s="6">
        <v>10.84</v>
      </c>
      <c r="I225" s="6" cm="1">
        <f t="array" ref="I225">IFERROR(VALUE(TRIM(LEFT(E225,MIN(FIND({" ";"g";"k";"m";"o"},E225&amp;" gkmo"))-1))),0)</f>
        <v>100</v>
      </c>
      <c r="J225" s="6" t="str" cm="1">
        <f t="array" ref="J225">IFERROR(TRIM(MID(E225,MIN(FIND({" ";"g";"k";"m";"o"},E225&amp;" gkmo")),10)),"unknown")</f>
        <v>g</v>
      </c>
      <c r="K225" s="6" t="str">
        <f t="shared" si="12"/>
        <v>g</v>
      </c>
      <c r="L225" s="6" t="str">
        <f t="shared" si="13"/>
        <v>Be</v>
      </c>
      <c r="M225" s="6" t="str">
        <f t="shared" si="14"/>
        <v>Cooky</v>
      </c>
      <c r="N225" s="6" t="str">
        <f t="shared" si="15"/>
        <v>Morocco</v>
      </c>
    </row>
    <row r="226" spans="1:14" x14ac:dyDescent="0.25">
      <c r="A226" s="6" t="s">
        <v>672</v>
      </c>
      <c r="B226" s="6">
        <v>14311</v>
      </c>
      <c r="C226" s="6" t="s">
        <v>673</v>
      </c>
      <c r="D226" s="7" t="s">
        <v>633</v>
      </c>
      <c r="E226" s="6" t="s">
        <v>151</v>
      </c>
      <c r="F226" s="6" t="s">
        <v>7932</v>
      </c>
      <c r="G226" s="8">
        <v>45464</v>
      </c>
      <c r="H226" s="6">
        <v>1.2</v>
      </c>
      <c r="I226" s="6" cm="1">
        <f t="array" ref="I226">IFERROR(VALUE(TRIM(LEFT(E226,MIN(FIND({" ";"g";"k";"m";"o"},E226&amp;" gkmo"))-1))),0)</f>
        <v>200</v>
      </c>
      <c r="J226" s="6" t="str" cm="1">
        <f t="array" ref="J226">IFERROR(TRIM(MID(E226,MIN(FIND({" ";"g";"k";"m";"o"},E226&amp;" gkmo")),10)),"unknown")</f>
        <v>g</v>
      </c>
      <c r="K226" s="6" t="str">
        <f t="shared" si="12"/>
        <v>g</v>
      </c>
      <c r="L226" s="6" t="str">
        <f t="shared" si="13"/>
        <v>Nairn'S</v>
      </c>
      <c r="M226" s="6" t="str">
        <f t="shared" si="14"/>
        <v>Dark Chocolate Chip Oat Biscuits</v>
      </c>
      <c r="N226" s="6" t="str">
        <f t="shared" si="15"/>
        <v>France, New Zealand, United Kingdom, Ireland</v>
      </c>
    </row>
    <row r="227" spans="1:14" x14ac:dyDescent="0.25">
      <c r="A227" s="6" t="s">
        <v>674</v>
      </c>
      <c r="B227" s="6">
        <v>14101</v>
      </c>
      <c r="C227" s="6" t="s">
        <v>675</v>
      </c>
      <c r="D227" s="7" t="s">
        <v>7585</v>
      </c>
      <c r="E227" s="6" t="s">
        <v>676</v>
      </c>
      <c r="F227" s="6" t="s">
        <v>7933</v>
      </c>
      <c r="G227" s="8">
        <v>45711</v>
      </c>
      <c r="H227" s="6">
        <v>10.130000000000001</v>
      </c>
      <c r="I227" s="6" cm="1">
        <f t="array" ref="I227">IFERROR(VALUE(TRIM(LEFT(E227,MIN(FIND({" ";"g";"k";"m";"o"},E227&amp;" gkmo"))-1))),0)</f>
        <v>180</v>
      </c>
      <c r="J227" s="6" t="str" cm="1">
        <f t="array" ref="J227">IFERROR(TRIM(MID(E227,MIN(FIND({" ";"g";"k";"m";"o"},E227&amp;" gkmo")),10)),"unknown")</f>
        <v>g</v>
      </c>
      <c r="K227" s="6" t="str">
        <f t="shared" si="12"/>
        <v>g</v>
      </c>
      <c r="L227" s="6" t="str">
        <f t="shared" si="13"/>
        <v>Cà´Te D'Or</v>
      </c>
      <c r="M227" s="6" t="str">
        <f t="shared" si="14"/>
        <v>180G Lt Noisette Cote D Or</v>
      </c>
      <c r="N227" s="6" t="str">
        <f t="shared" si="15"/>
        <v>Algeria, France, Luxembourg, Morocco</v>
      </c>
    </row>
    <row r="228" spans="1:14" x14ac:dyDescent="0.25">
      <c r="A228" s="6" t="s">
        <v>677</v>
      </c>
      <c r="B228" s="6">
        <v>14185</v>
      </c>
      <c r="C228" s="6" t="s">
        <v>175</v>
      </c>
      <c r="D228" s="7" t="s">
        <v>678</v>
      </c>
      <c r="E228" s="6" t="s">
        <v>18</v>
      </c>
      <c r="F228" s="6" t="s">
        <v>7916</v>
      </c>
      <c r="G228" s="8">
        <v>45783</v>
      </c>
      <c r="H228" s="6">
        <v>12.39</v>
      </c>
      <c r="I228" s="6" cm="1">
        <f t="array" ref="I228">IFERROR(VALUE(TRIM(LEFT(E228,MIN(FIND({" ";"g";"k";"m";"o"},E228&amp;" gkmo"))-1))),0)</f>
        <v>100</v>
      </c>
      <c r="J228" s="6" t="str" cm="1">
        <f t="array" ref="J228">IFERROR(TRIM(MID(E228,MIN(FIND({" ";"g";"k";"m";"o"},E228&amp;" gkmo")),10)),"unknown")</f>
        <v>g</v>
      </c>
      <c r="K228" s="6" t="str">
        <f t="shared" si="12"/>
        <v>g</v>
      </c>
      <c r="L228" s="6" t="str">
        <f t="shared" si="13"/>
        <v>Tesco Finest</v>
      </c>
      <c r="M228" s="6" t="str">
        <f t="shared" si="14"/>
        <v>Dark Chocolate</v>
      </c>
      <c r="N228" s="6" t="str">
        <f t="shared" si="15"/>
        <v>United-Kingdom</v>
      </c>
    </row>
    <row r="229" spans="1:14" x14ac:dyDescent="0.25">
      <c r="A229" s="6" t="s">
        <v>679</v>
      </c>
      <c r="B229" s="6">
        <v>10123</v>
      </c>
      <c r="C229" s="6" t="s">
        <v>680</v>
      </c>
      <c r="D229" s="7" t="s">
        <v>681</v>
      </c>
      <c r="E229" s="6" t="s">
        <v>682</v>
      </c>
      <c r="F229" s="6" t="s">
        <v>683</v>
      </c>
      <c r="G229" s="8">
        <v>45458</v>
      </c>
      <c r="H229" s="6">
        <v>13.74</v>
      </c>
      <c r="I229" s="6" cm="1">
        <f t="array" ref="I229">IFERROR(VALUE(TRIM(LEFT(E229,MIN(FIND({" ";"g";"k";"m";"o"},E229&amp;" gkmo"))-1))),0)</f>
        <v>0</v>
      </c>
      <c r="J229" s="6" t="str" cm="1">
        <f t="array" ref="J229">IFERROR(TRIM(MID(E229,MIN(FIND({" ";"g";"k";"m";"o"},E229&amp;" gkmo")),10)),"unknown")</f>
        <v>known</v>
      </c>
      <c r="K229" s="6" t="str">
        <f t="shared" si="12"/>
        <v>unknown</v>
      </c>
      <c r="L229" s="6" t="str">
        <f t="shared" si="13"/>
        <v>Storck</v>
      </c>
      <c r="M229" s="6" t="str">
        <f t="shared" si="14"/>
        <v>Merci Finest Selection Assorted Chocolates</v>
      </c>
      <c r="N229" s="6" t="str">
        <f t="shared" si="15"/>
        <v>Austria,Belgium,Bulgaria,France,Germany,Hungary,Morocco,Netherlands,North Macedonia,Poland,Romania,Sweden,Switzerland,United Kingdom</v>
      </c>
    </row>
    <row r="230" spans="1:14" x14ac:dyDescent="0.25">
      <c r="A230" s="6" t="s">
        <v>684</v>
      </c>
      <c r="B230" s="6">
        <v>5988</v>
      </c>
      <c r="C230" s="6" t="s">
        <v>685</v>
      </c>
      <c r="D230" s="7" t="s">
        <v>686</v>
      </c>
      <c r="E230" s="6" t="s">
        <v>335</v>
      </c>
      <c r="F230" s="6" t="s">
        <v>7934</v>
      </c>
      <c r="G230" s="8">
        <v>45952</v>
      </c>
      <c r="H230" s="6">
        <v>6.98</v>
      </c>
      <c r="I230" s="6" cm="1">
        <f t="array" ref="I230">IFERROR(VALUE(TRIM(LEFT(E230,MIN(FIND({" ";"g";"k";"m";"o"},E230&amp;" gkmo"))-1))),0)</f>
        <v>250</v>
      </c>
      <c r="J230" s="6" t="str" cm="1">
        <f t="array" ref="J230">IFERROR(TRIM(MID(E230,MIN(FIND({" ";"g";"k";"m";"o"},E230&amp;" gkmo")),10)),"unknown")</f>
        <v>g</v>
      </c>
      <c r="K230" s="6" t="str">
        <f t="shared" si="12"/>
        <v>g</v>
      </c>
      <c r="L230" s="6" t="str">
        <f t="shared" si="13"/>
        <v>Lotus Bakeries, Lotus</v>
      </c>
      <c r="M230" s="6" t="str">
        <f t="shared" si="14"/>
        <v>Lotus Biscoff Speculoos Original - 250G (2X125G)</v>
      </c>
      <c r="N230" s="6" t="str">
        <f t="shared" si="15"/>
        <v>Belgium, France, Morocco</v>
      </c>
    </row>
    <row r="231" spans="1:14" x14ac:dyDescent="0.25">
      <c r="A231" s="6" t="s">
        <v>687</v>
      </c>
      <c r="B231" s="6">
        <v>8362</v>
      </c>
      <c r="C231" s="6" t="s">
        <v>688</v>
      </c>
      <c r="D231" s="7" t="s">
        <v>7017</v>
      </c>
      <c r="E231" s="6" t="s">
        <v>10</v>
      </c>
      <c r="F231" s="6" t="s">
        <v>8299</v>
      </c>
      <c r="G231" s="8">
        <v>45709</v>
      </c>
      <c r="H231" s="6">
        <v>23.87</v>
      </c>
      <c r="I231" s="6" cm="1">
        <f t="array" ref="I231">IFERROR(VALUE(TRIM(LEFT(E231,MIN(FIND({" ";"g";"k";"m";"o"},E231&amp;" gkmo"))-1))),0)</f>
        <v>100</v>
      </c>
      <c r="J231" s="6" t="str" cm="1">
        <f t="array" ref="J231">IFERROR(TRIM(MID(E231,MIN(FIND({" ";"g";"k";"m";"o"},E231&amp;" gkmo")),10)),"unknown")</f>
        <v>g</v>
      </c>
      <c r="K231" s="6" t="str">
        <f t="shared" si="12"/>
        <v>g</v>
      </c>
      <c r="L231" s="6" t="str">
        <f t="shared" si="13"/>
        <v>Unknown</v>
      </c>
      <c r="M231" s="6" t="str">
        <f t="shared" si="14"/>
        <v>Noir 70% Intense</v>
      </c>
      <c r="N231" s="6" t="str">
        <f t="shared" si="15"/>
        <v>Belgium,France,Italie,Morocco</v>
      </c>
    </row>
    <row r="232" spans="1:14" x14ac:dyDescent="0.25">
      <c r="A232" s="6" t="s">
        <v>689</v>
      </c>
      <c r="B232" s="6">
        <v>11920</v>
      </c>
      <c r="C232" s="6" t="s">
        <v>7065</v>
      </c>
      <c r="D232" s="7" t="s">
        <v>690</v>
      </c>
      <c r="E232" s="6" t="s">
        <v>691</v>
      </c>
      <c r="F232" s="6" t="s">
        <v>139</v>
      </c>
      <c r="G232" s="8">
        <v>45367</v>
      </c>
      <c r="H232" s="6">
        <v>4.49</v>
      </c>
      <c r="I232" s="6" cm="1">
        <f t="array" ref="I232">IFERROR(VALUE(TRIM(LEFT(E232,MIN(FIND({" ";"g";"k";"m";"o"},E232&amp;" gkmo"))-1))),0)</f>
        <v>200</v>
      </c>
      <c r="J232" s="6" t="str" cm="1">
        <f t="array" ref="J232">IFERROR(TRIM(MID(E232,MIN(FIND({" ";"g";"k";"m";"o"},E232&amp;" gkmo")),10)),"unknown")</f>
        <v>g, 4 poch</v>
      </c>
      <c r="K232" s="6" t="str">
        <f t="shared" si="12"/>
        <v>g</v>
      </c>
      <c r="L232" s="6" t="str">
        <f t="shared" si="13"/>
        <v>Lidl,Sondey</v>
      </c>
      <c r="M232" s="6" t="str">
        <f t="shared" si="14"/>
        <v>Biscuits Germe De Blé Et Pépites De Chocolat</v>
      </c>
      <c r="N232" s="6" t="str">
        <f t="shared" si="15"/>
        <v>France</v>
      </c>
    </row>
    <row r="233" spans="1:14" x14ac:dyDescent="0.25">
      <c r="A233" s="6" t="s">
        <v>692</v>
      </c>
      <c r="B233" s="6">
        <v>14283</v>
      </c>
      <c r="C233" s="6" t="s">
        <v>693</v>
      </c>
      <c r="D233" s="7" t="s">
        <v>135</v>
      </c>
      <c r="E233" s="6"/>
      <c r="F233" s="6" t="s">
        <v>511</v>
      </c>
      <c r="G233" s="8">
        <v>45761</v>
      </c>
      <c r="H233" s="6">
        <v>2.02</v>
      </c>
      <c r="I233" s="6" cm="1">
        <f t="array" ref="I233">IFERROR(VALUE(TRIM(LEFT(E233,MIN(FIND({" ";"g";"k";"m";"o"},E233&amp;" gkmo"))-1))),0)</f>
        <v>0</v>
      </c>
      <c r="J233" s="6" t="str" cm="1">
        <f t="array" ref="J233">IFERROR(TRIM(MID(E233,MIN(FIND({" ";"g";"k";"m";"o"},E233&amp;" gkmo")),10)),"unknown")</f>
        <v/>
      </c>
      <c r="K233" s="6" t="str">
        <f t="shared" si="12"/>
        <v>unknown</v>
      </c>
      <c r="L233" s="6" t="str">
        <f t="shared" si="13"/>
        <v>Milka</v>
      </c>
      <c r="M233" s="6" t="str">
        <f t="shared" si="14"/>
        <v>Milka Wholenut</v>
      </c>
      <c r="N233" s="6" t="str">
        <f t="shared" si="15"/>
        <v>France,Morocco</v>
      </c>
    </row>
    <row r="234" spans="1:14" x14ac:dyDescent="0.25">
      <c r="A234" s="6" t="s">
        <v>694</v>
      </c>
      <c r="B234" s="6">
        <v>13331</v>
      </c>
      <c r="C234" s="6" t="s">
        <v>695</v>
      </c>
      <c r="D234" s="7" t="s">
        <v>613</v>
      </c>
      <c r="E234" s="6" t="s">
        <v>696</v>
      </c>
      <c r="F234" s="6" t="s">
        <v>7935</v>
      </c>
      <c r="G234" s="8">
        <v>45414</v>
      </c>
      <c r="H234" s="6">
        <v>16.100000000000001</v>
      </c>
      <c r="I234" s="6" cm="1">
        <f t="array" ref="I234">IFERROR(VALUE(TRIM(LEFT(E234,MIN(FIND({" ";"g";"k";"m";"o"},E234&amp;" gkmo"))-1))),0)</f>
        <v>3</v>
      </c>
      <c r="J234" s="6" t="str" cm="1">
        <f t="array" ref="J234">IFERROR(TRIM(MID(E234,MIN(FIND({" ";"g";"k";"m";"o"},E234&amp;" gkmo")),10)),"unknown")</f>
        <v>x 45g</v>
      </c>
      <c r="K234" s="6" t="str">
        <f t="shared" si="12"/>
        <v>g</v>
      </c>
      <c r="L234" s="6" t="str">
        <f t="shared" si="13"/>
        <v>Nakd</v>
      </c>
      <c r="M234" s="6" t="str">
        <f t="shared" si="14"/>
        <v>Nakd Peanut Butter Protein Bar</v>
      </c>
      <c r="N234" s="6" t="str">
        <f t="shared" si="15"/>
        <v>France, United Kingdom, Belgium</v>
      </c>
    </row>
    <row r="235" spans="1:14" x14ac:dyDescent="0.25">
      <c r="A235" s="6" t="s">
        <v>697</v>
      </c>
      <c r="B235" s="6">
        <v>13078</v>
      </c>
      <c r="C235" s="6" t="s">
        <v>698</v>
      </c>
      <c r="D235" s="7" t="s">
        <v>699</v>
      </c>
      <c r="E235" s="6" t="s">
        <v>10</v>
      </c>
      <c r="F235" s="6" t="s">
        <v>511</v>
      </c>
      <c r="G235" s="8">
        <v>45874</v>
      </c>
      <c r="H235" s="6">
        <v>17.64</v>
      </c>
      <c r="I235" s="6" cm="1">
        <f t="array" ref="I235">IFERROR(VALUE(TRIM(LEFT(E235,MIN(FIND({" ";"g";"k";"m";"o"},E235&amp;" gkmo"))-1))),0)</f>
        <v>100</v>
      </c>
      <c r="J235" s="6" t="str" cm="1">
        <f t="array" ref="J235">IFERROR(TRIM(MID(E235,MIN(FIND({" ";"g";"k";"m";"o"},E235&amp;" gkmo")),10)),"unknown")</f>
        <v>g</v>
      </c>
      <c r="K235" s="6" t="str">
        <f t="shared" si="12"/>
        <v>g</v>
      </c>
      <c r="L235" s="6" t="str">
        <f t="shared" si="13"/>
        <v>Fine Gourmande,Poulain</v>
      </c>
      <c r="M235" s="6" t="str">
        <f t="shared" si="14"/>
        <v>Fine &amp; Gourmande Noir 70%</v>
      </c>
      <c r="N235" s="6" t="str">
        <f t="shared" si="15"/>
        <v>France,Morocco</v>
      </c>
    </row>
    <row r="236" spans="1:14" x14ac:dyDescent="0.25">
      <c r="A236" s="6" t="s">
        <v>700</v>
      </c>
      <c r="B236" s="6">
        <v>6550</v>
      </c>
      <c r="C236" s="6" t="s">
        <v>7066</v>
      </c>
      <c r="D236" s="7" t="s">
        <v>116</v>
      </c>
      <c r="E236" s="6" t="s">
        <v>99</v>
      </c>
      <c r="F236" s="6" t="s">
        <v>8387</v>
      </c>
      <c r="G236" s="8">
        <v>45799</v>
      </c>
      <c r="H236" s="6">
        <v>3.22</v>
      </c>
      <c r="I236" s="6" cm="1">
        <f t="array" ref="I236">IFERROR(VALUE(TRIM(LEFT(E236,MIN(FIND({" ";"g";"k";"m";"o"},E236&amp;" gkmo"))-1))),0)</f>
        <v>160</v>
      </c>
      <c r="J236" s="6" t="str" cm="1">
        <f t="array" ref="J236">IFERROR(TRIM(MID(E236,MIN(FIND({" ";"g";"k";"m";"o"},E236&amp;" gkmo")),10)),"unknown")</f>
        <v>g</v>
      </c>
      <c r="K236" s="6" t="str">
        <f t="shared" si="12"/>
        <v>g</v>
      </c>
      <c r="L236" s="6" t="str">
        <f t="shared" si="13"/>
        <v>Nature Valley</v>
      </c>
      <c r="M236" s="6" t="str">
        <f t="shared" si="14"/>
        <v>Barre Céréales Protéines Peanut&amp; Chocolatðÿ«</v>
      </c>
      <c r="N236" s="6" t="str">
        <f t="shared" si="15"/>
        <v>Belgium,France,Espaà±A,United Kingdom</v>
      </c>
    </row>
    <row r="237" spans="1:14" x14ac:dyDescent="0.25">
      <c r="A237" s="6" t="s">
        <v>701</v>
      </c>
      <c r="B237" s="6">
        <v>5467</v>
      </c>
      <c r="C237" s="6" t="s">
        <v>702</v>
      </c>
      <c r="D237" s="7" t="s">
        <v>116</v>
      </c>
      <c r="E237" s="6"/>
      <c r="F237" s="6" t="s">
        <v>8393</v>
      </c>
      <c r="G237" s="8">
        <v>45658</v>
      </c>
      <c r="H237" s="6">
        <v>13.98</v>
      </c>
      <c r="I237" s="6" cm="1">
        <f t="array" ref="I237">IFERROR(VALUE(TRIM(LEFT(E237,MIN(FIND({" ";"g";"k";"m";"o"},E237&amp;" gkmo"))-1))),0)</f>
        <v>0</v>
      </c>
      <c r="J237" s="6" t="str" cm="1">
        <f t="array" ref="J237">IFERROR(TRIM(MID(E237,MIN(FIND({" ";"g";"k";"m";"o"},E237&amp;" gkmo")),10)),"unknown")</f>
        <v/>
      </c>
      <c r="K237" s="6" t="str">
        <f t="shared" si="12"/>
        <v>unknown</v>
      </c>
      <c r="L237" s="6" t="str">
        <f t="shared" si="13"/>
        <v>Nature Valley</v>
      </c>
      <c r="M237" s="6" t="str">
        <f t="shared" si="14"/>
        <v>Nature Valley Crunchy Oats &amp; Honey</v>
      </c>
      <c r="N237" s="6" t="str">
        <f t="shared" si="15"/>
        <v>France,Grecia,Irlanda,Espaà±A,United Kingdom</v>
      </c>
    </row>
    <row r="238" spans="1:14" x14ac:dyDescent="0.25">
      <c r="A238" s="6" t="s">
        <v>703</v>
      </c>
      <c r="B238" s="6">
        <v>10401</v>
      </c>
      <c r="C238" s="6" t="s">
        <v>704</v>
      </c>
      <c r="D238" s="7" t="s">
        <v>47</v>
      </c>
      <c r="E238" s="6" t="s">
        <v>705</v>
      </c>
      <c r="F238" s="6" t="s">
        <v>48</v>
      </c>
      <c r="G238" s="8">
        <v>45340</v>
      </c>
      <c r="H238" s="6">
        <v>22.57</v>
      </c>
      <c r="I238" s="6" cm="1">
        <f t="array" ref="I238">IFERROR(VALUE(TRIM(LEFT(E238,MIN(FIND({" ";"g";"k";"m";"o"},E238&amp;" gkmo"))-1))),0)</f>
        <v>0</v>
      </c>
      <c r="J238" s="6" t="str" cm="1">
        <f t="array" ref="J238">IFERROR(TRIM(MID(E238,MIN(FIND({" ";"g";"k";"m";"o"},E238&amp;" gkmo")),10)),"unknown")</f>
        <v/>
      </c>
      <c r="K238" s="6" t="str">
        <f t="shared" si="12"/>
        <v>unknown</v>
      </c>
      <c r="L238" s="6" t="str">
        <f t="shared" si="13"/>
        <v>Excelo</v>
      </c>
      <c r="M238" s="6" t="str">
        <f t="shared" si="14"/>
        <v>B'Ono Wafer</v>
      </c>
      <c r="N238" s="6" t="str">
        <f t="shared" si="15"/>
        <v>Morocco</v>
      </c>
    </row>
    <row r="239" spans="1:14" x14ac:dyDescent="0.25">
      <c r="A239" s="6" t="s">
        <v>706</v>
      </c>
      <c r="B239" s="6">
        <v>13213</v>
      </c>
      <c r="C239" s="6" t="s">
        <v>707</v>
      </c>
      <c r="D239" s="7" t="s">
        <v>354</v>
      </c>
      <c r="E239" s="6" t="s">
        <v>151</v>
      </c>
      <c r="F239" s="6" t="s">
        <v>8447</v>
      </c>
      <c r="G239" s="8">
        <v>45915</v>
      </c>
      <c r="H239" s="6">
        <v>8.73</v>
      </c>
      <c r="I239" s="6" cm="1">
        <f t="array" ref="I239">IFERROR(VALUE(TRIM(LEFT(E239,MIN(FIND({" ";"g";"k";"m";"o"},E239&amp;" gkmo"))-1))),0)</f>
        <v>200</v>
      </c>
      <c r="J239" s="6" t="str" cm="1">
        <f t="array" ref="J239">IFERROR(TRIM(MID(E239,MIN(FIND({" ";"g";"k";"m";"o"},E239&amp;" gkmo")),10)),"unknown")</f>
        <v>g</v>
      </c>
      <c r="K239" s="6" t="str">
        <f t="shared" si="12"/>
        <v>g</v>
      </c>
      <c r="L239" s="6" t="str">
        <f t="shared" si="13"/>
        <v>Lu,Mondelez</v>
      </c>
      <c r="M239" s="6" t="str">
        <f t="shared" si="14"/>
        <v>Cracotte Chocolat</v>
      </c>
      <c r="N239" s="6" t="str">
        <f t="shared" si="15"/>
        <v>Belgium,France,La Reunion,Switzerland</v>
      </c>
    </row>
    <row r="240" spans="1:14" x14ac:dyDescent="0.25">
      <c r="A240" s="6" t="s">
        <v>708</v>
      </c>
      <c r="B240" s="6">
        <v>12571</v>
      </c>
      <c r="C240" s="6" t="s">
        <v>709</v>
      </c>
      <c r="D240" s="7" t="s">
        <v>710</v>
      </c>
      <c r="E240" s="6" t="s">
        <v>415</v>
      </c>
      <c r="F240" s="6" t="s">
        <v>8394</v>
      </c>
      <c r="G240" s="8">
        <v>46010</v>
      </c>
      <c r="H240" s="6">
        <v>13.16</v>
      </c>
      <c r="I240" s="6" cm="1">
        <f t="array" ref="I240">IFERROR(VALUE(TRIM(LEFT(E240,MIN(FIND({" ";"g";"k";"m";"o"},E240&amp;" gkmo"))-1))),0)</f>
        <v>185</v>
      </c>
      <c r="J240" s="6" t="str" cm="1">
        <f t="array" ref="J240">IFERROR(TRIM(MID(E240,MIN(FIND({" ";"g";"k";"m";"o"},E240&amp;" gkmo")),10)),"unknown")</f>
        <v>g</v>
      </c>
      <c r="K240" s="6" t="str">
        <f t="shared" si="12"/>
        <v>g</v>
      </c>
      <c r="L240" s="6" t="str">
        <f t="shared" si="13"/>
        <v>Old El Paso,General Mills</v>
      </c>
      <c r="M240" s="6" t="str">
        <f t="shared" si="14"/>
        <v>Tortilla Nachips Original</v>
      </c>
      <c r="N240" s="6" t="str">
        <f t="shared" si="15"/>
        <v>Austria,Belgium,Dinamarca,Finlandia,France,Germany,Grecia,Islandia,Irlanda,Italia,Paà­Ses Bajos,Noruega,Polonia,Espaà±A,Suecia,Switzerland,United Kingdom</v>
      </c>
    </row>
    <row r="241" spans="1:14" x14ac:dyDescent="0.25">
      <c r="A241" s="6" t="s">
        <v>711</v>
      </c>
      <c r="B241" s="6">
        <v>13593</v>
      </c>
      <c r="C241" s="6" t="s">
        <v>712</v>
      </c>
      <c r="D241" s="7" t="s">
        <v>525</v>
      </c>
      <c r="E241" s="6"/>
      <c r="F241" s="6" t="s">
        <v>48</v>
      </c>
      <c r="G241" s="8">
        <v>45612</v>
      </c>
      <c r="H241" s="6">
        <v>14.26</v>
      </c>
      <c r="I241" s="6" cm="1">
        <f t="array" ref="I241">IFERROR(VALUE(TRIM(LEFT(E241,MIN(FIND({" ";"g";"k";"m";"o"},E241&amp;" gkmo"))-1))),0)</f>
        <v>0</v>
      </c>
      <c r="J241" s="6" t="str" cm="1">
        <f t="array" ref="J241">IFERROR(TRIM(MID(E241,MIN(FIND({" ";"g";"k";"m";"o"},E241&amp;" gkmo")),10)),"unknown")</f>
        <v/>
      </c>
      <c r="K241" s="6" t="str">
        <f t="shared" si="12"/>
        <v>unknown</v>
      </c>
      <c r="L241" s="6" t="str">
        <f t="shared" si="13"/>
        <v>Aiguebelle</v>
      </c>
      <c r="M241" s="6" t="str">
        <f t="shared" si="14"/>
        <v>Tentation Aiguebelle</v>
      </c>
      <c r="N241" s="6" t="str">
        <f t="shared" si="15"/>
        <v>Morocco</v>
      </c>
    </row>
    <row r="242" spans="1:14" x14ac:dyDescent="0.25">
      <c r="A242" s="6" t="s">
        <v>713</v>
      </c>
      <c r="B242" s="6">
        <v>6118</v>
      </c>
      <c r="C242" s="6" t="s">
        <v>714</v>
      </c>
      <c r="D242" s="7" t="s">
        <v>389</v>
      </c>
      <c r="E242" s="6" t="s">
        <v>528</v>
      </c>
      <c r="F242" s="6" t="s">
        <v>8276</v>
      </c>
      <c r="G242" s="8">
        <v>45760</v>
      </c>
      <c r="H242" s="6">
        <v>3.62</v>
      </c>
      <c r="I242" s="6" cm="1">
        <f t="array" ref="I242">IFERROR(VALUE(TRIM(LEFT(E242,MIN(FIND({" ";"g";"k";"m";"o"},E242&amp;" gkmo"))-1))),0)</f>
        <v>200</v>
      </c>
      <c r="J242" s="6" t="str" cm="1">
        <f t="array" ref="J242">IFERROR(TRIM(MID(E242,MIN(FIND({" ";"g";"k";"m";"o"},E242&amp;" gkmo")),10)),"unknown")</f>
        <v>g</v>
      </c>
      <c r="K242" s="6" t="str">
        <f t="shared" si="12"/>
        <v>g</v>
      </c>
      <c r="L242" s="6" t="str">
        <f t="shared" si="13"/>
        <v>Alesto, Lidl</v>
      </c>
      <c r="M242" s="6" t="str">
        <f t="shared" si="14"/>
        <v>Nut &amp; Fruit Mix Classic</v>
      </c>
      <c r="N242" s="6" t="str">
        <f t="shared" si="15"/>
        <v>Bulgarie,Croatie,France,Germany,Pologne,Roumanie,Serbie,Spain</v>
      </c>
    </row>
    <row r="243" spans="1:14" x14ac:dyDescent="0.25">
      <c r="A243" s="6" t="s">
        <v>715</v>
      </c>
      <c r="B243" s="6">
        <v>14976</v>
      </c>
      <c r="C243" s="6" t="s">
        <v>716</v>
      </c>
      <c r="D243" s="7" t="s">
        <v>7586</v>
      </c>
      <c r="E243" s="6" t="s">
        <v>373</v>
      </c>
      <c r="F243" s="6" t="s">
        <v>717</v>
      </c>
      <c r="G243" s="8">
        <v>46040</v>
      </c>
      <c r="H243" s="6">
        <v>1.02</v>
      </c>
      <c r="I243" s="6" cm="1">
        <f t="array" ref="I243">IFERROR(VALUE(TRIM(LEFT(E243,MIN(FIND({" ";"g";"k";"m";"o"},E243&amp;" gkmo"))-1))),0)</f>
        <v>260</v>
      </c>
      <c r="J243" s="6" t="str" cm="1">
        <f t="array" ref="J243">IFERROR(TRIM(MID(E243,MIN(FIND({" ";"g";"k";"m";"o"},E243&amp;" gkmo")),10)),"unknown")</f>
        <v>g</v>
      </c>
      <c r="K243" s="6" t="str">
        <f t="shared" si="12"/>
        <v>g</v>
      </c>
      <c r="L243" s="6" t="str">
        <f t="shared" si="13"/>
        <v>Barilla, Mulino Bianco - Barilla - Barilla G. E R. Fratelli - Società  Per Azioni - Via Mantova, 166, 43122 Parma - Italy</v>
      </c>
      <c r="M243" s="6" t="str">
        <f t="shared" si="14"/>
        <v>Baiocchi Nocciola 260G</v>
      </c>
      <c r="N243" s="6" t="str">
        <f t="shared" si="15"/>
        <v>France,Germany,Italy,Spain,Switzerland</v>
      </c>
    </row>
    <row r="244" spans="1:14" x14ac:dyDescent="0.25">
      <c r="A244" s="6" t="s">
        <v>718</v>
      </c>
      <c r="B244" s="6">
        <v>11518</v>
      </c>
      <c r="C244" s="6" t="s">
        <v>719</v>
      </c>
      <c r="D244" s="7" t="s">
        <v>720</v>
      </c>
      <c r="E244" s="6" t="s">
        <v>28</v>
      </c>
      <c r="F244" s="6" t="s">
        <v>8369</v>
      </c>
      <c r="G244" s="8">
        <v>45718</v>
      </c>
      <c r="H244" s="6">
        <v>4.99</v>
      </c>
      <c r="I244" s="6" cm="1">
        <f t="array" ref="I244">IFERROR(VALUE(TRIM(LEFT(E244,MIN(FIND({" ";"g";"k";"m";"o"},E244&amp;" gkmo"))-1))),0)</f>
        <v>125</v>
      </c>
      <c r="J244" s="6" t="str" cm="1">
        <f t="array" ref="J244">IFERROR(TRIM(MID(E244,MIN(FIND({" ";"g";"k";"m";"o"},E244&amp;" gkmo")),10)),"unknown")</f>
        <v>g</v>
      </c>
      <c r="K244" s="6" t="str">
        <f t="shared" si="12"/>
        <v>g</v>
      </c>
      <c r="L244" s="6" t="str">
        <f t="shared" si="13"/>
        <v>Carr'S</v>
      </c>
      <c r="M244" s="6" t="str">
        <f t="shared" si="14"/>
        <v>Table Water</v>
      </c>
      <c r="N244" s="6" t="str">
        <f t="shared" si="15"/>
        <v>France,Irlande,United Kingdom</v>
      </c>
    </row>
    <row r="245" spans="1:14" x14ac:dyDescent="0.25">
      <c r="A245" s="6" t="s">
        <v>721</v>
      </c>
      <c r="B245" s="6">
        <v>8778</v>
      </c>
      <c r="C245" s="6" t="s">
        <v>722</v>
      </c>
      <c r="D245" s="7" t="s">
        <v>7017</v>
      </c>
      <c r="E245" s="6" t="s">
        <v>580</v>
      </c>
      <c r="F245" s="6" t="s">
        <v>7587</v>
      </c>
      <c r="G245" s="8">
        <v>45916</v>
      </c>
      <c r="H245" s="6">
        <v>11.99</v>
      </c>
      <c r="I245" s="6" cm="1">
        <f t="array" ref="I245">IFERROR(VALUE(TRIM(LEFT(E245,MIN(FIND({" ";"g";"k";"m";"o"},E245&amp;" gkmo"))-1))),0)</f>
        <v>250</v>
      </c>
      <c r="J245" s="6" t="str" cm="1">
        <f t="array" ref="J245">IFERROR(TRIM(MID(E245,MIN(FIND({" ";"g";"k";"m";"o"},E245&amp;" gkmo")),10)),"unknown")</f>
        <v>g</v>
      </c>
      <c r="K245" s="6" t="str">
        <f t="shared" si="12"/>
        <v>g</v>
      </c>
      <c r="L245" s="6" t="str">
        <f t="shared" si="13"/>
        <v>Unknown</v>
      </c>
      <c r="M245" s="6" t="str">
        <f t="shared" si="14"/>
        <v>Biscoff</v>
      </c>
      <c r="N245" s="6" t="str">
        <f t="shared" si="15"/>
        <v>Armenien,Irland,Neuseeland,Spanien,Vereinigtes Kà¶Nigreich</v>
      </c>
    </row>
    <row r="246" spans="1:14" x14ac:dyDescent="0.25">
      <c r="A246" s="6" t="s">
        <v>723</v>
      </c>
      <c r="B246" s="6">
        <v>5570</v>
      </c>
      <c r="C246" s="6" t="s">
        <v>7458</v>
      </c>
      <c r="D246" s="7" t="s">
        <v>287</v>
      </c>
      <c r="E246" s="6" t="s">
        <v>470</v>
      </c>
      <c r="F246" s="6" t="s">
        <v>8395</v>
      </c>
      <c r="G246" s="8">
        <v>45667</v>
      </c>
      <c r="H246" s="6">
        <v>10.97</v>
      </c>
      <c r="I246" s="6" cm="1">
        <f t="array" ref="I246">IFERROR(VALUE(TRIM(LEFT(E246,MIN(FIND({" ";"g";"k";"m";"o"},E246&amp;" gkmo"))-1))),0)</f>
        <v>132</v>
      </c>
      <c r="J246" s="6" t="str" cm="1">
        <f t="array" ref="J246">IFERROR(TRIM(MID(E246,MIN(FIND({" ";"g";"k";"m";"o"},E246&amp;" gkmo")),10)),"unknown")</f>
        <v>g</v>
      </c>
      <c r="K246" s="6" t="str">
        <f t="shared" si="12"/>
        <v>g</v>
      </c>
      <c r="L246" s="6" t="str">
        <f t="shared" si="13"/>
        <v>Ferrero</v>
      </c>
      <c r="M246" s="6" t="str">
        <f t="shared" si="14"/>
        <v>B-Ready 6 Pièces</v>
      </c>
      <c r="N246" s="6" t="str">
        <f t="shared" si="15"/>
        <v>Belgium,France,Germany,Italia,Luxemburgo,Martinica,Mauricio,Marruecos,Nueva Caledonia,Reunià³N,Espaà±A,Switzerland,Repàºblica De China,Tailandia,United Kingdom</v>
      </c>
    </row>
    <row r="247" spans="1:14" x14ac:dyDescent="0.25">
      <c r="A247" s="6" t="s">
        <v>724</v>
      </c>
      <c r="B247" s="6">
        <v>8463</v>
      </c>
      <c r="C247" s="6" t="s">
        <v>725</v>
      </c>
      <c r="D247" s="7" t="s">
        <v>726</v>
      </c>
      <c r="E247" s="6" t="s">
        <v>727</v>
      </c>
      <c r="F247" s="6" t="s">
        <v>177</v>
      </c>
      <c r="G247" s="8">
        <v>45796</v>
      </c>
      <c r="H247" s="6">
        <v>7.05</v>
      </c>
      <c r="I247" s="6" cm="1">
        <f t="array" ref="I247">IFERROR(VALUE(TRIM(LEFT(E247,MIN(FIND({" ";"g";"k";"m";"o"},E247&amp;" gkmo"))-1))),0)</f>
        <v>25</v>
      </c>
      <c r="J247" s="6" t="str" cm="1">
        <f t="array" ref="J247">IFERROR(TRIM(MID(E247,MIN(FIND({" ";"g";"k";"m";"o"},E247&amp;" gkmo")),10)),"unknown")</f>
        <v>g</v>
      </c>
      <c r="K247" s="6" t="str">
        <f t="shared" si="12"/>
        <v>g</v>
      </c>
      <c r="L247" s="6" t="str">
        <f t="shared" si="13"/>
        <v>Walkers</v>
      </c>
      <c r="M247" s="6" t="str">
        <f t="shared" si="14"/>
        <v>Cheese &amp; Onion Flavour Potato Crisps</v>
      </c>
      <c r="N247" s="6" t="str">
        <f t="shared" si="15"/>
        <v>United Kingdom</v>
      </c>
    </row>
    <row r="248" spans="1:14" x14ac:dyDescent="0.25">
      <c r="A248" s="6" t="s">
        <v>728</v>
      </c>
      <c r="B248" s="6">
        <v>7404</v>
      </c>
      <c r="C248" s="6" t="s">
        <v>729</v>
      </c>
      <c r="D248" s="7" t="s">
        <v>13</v>
      </c>
      <c r="E248" s="6" t="s">
        <v>730</v>
      </c>
      <c r="F248" s="6" t="s">
        <v>8415</v>
      </c>
      <c r="G248" s="8">
        <v>45780</v>
      </c>
      <c r="H248" s="6">
        <v>17.63</v>
      </c>
      <c r="I248" s="6" cm="1">
        <f t="array" ref="I248">IFERROR(VALUE(TRIM(LEFT(E248,MIN(FIND({" ";"g";"k";"m";"o"},E248&amp;" gkmo"))-1))),0)</f>
        <v>150</v>
      </c>
      <c r="J248" s="6" t="str" cm="1">
        <f t="array" ref="J248">IFERROR(TRIM(MID(E248,MIN(FIND({" ";"g";"k";"m";"o"},E248&amp;" gkmo")),10)),"unknown")</f>
        <v>g e [12</v>
      </c>
      <c r="K248" s="6" t="str">
        <f t="shared" si="12"/>
        <v>g</v>
      </c>
      <c r="L248" s="6" t="str">
        <f t="shared" si="13"/>
        <v>Lu</v>
      </c>
      <c r="M248" s="6" t="str">
        <f t="shared" si="14"/>
        <v>Pim'S Sinaasappel</v>
      </c>
      <c r="N248" s="6" t="str">
        <f t="shared" si="15"/>
        <v>Belgium,France,Netherlands,Spain,Switzerland</v>
      </c>
    </row>
    <row r="249" spans="1:14" x14ac:dyDescent="0.25">
      <c r="A249" s="6" t="s">
        <v>731</v>
      </c>
      <c r="B249" s="6">
        <v>5909</v>
      </c>
      <c r="C249" s="6" t="s">
        <v>732</v>
      </c>
      <c r="D249" s="7" t="s">
        <v>733</v>
      </c>
      <c r="E249" s="6" t="s">
        <v>734</v>
      </c>
      <c r="F249" s="6" t="s">
        <v>2973</v>
      </c>
      <c r="G249" s="8">
        <v>45865</v>
      </c>
      <c r="H249" s="6">
        <v>19.809999999999999</v>
      </c>
      <c r="I249" s="6" cm="1">
        <f t="array" ref="I249">IFERROR(VALUE(TRIM(LEFT(E249,MIN(FIND({" ";"g";"k";"m";"o"},E249&amp;" gkmo"))-1))),0)</f>
        <v>3</v>
      </c>
      <c r="J249" s="6" t="str" cm="1">
        <f t="array" ref="J249">IFERROR(TRIM(MID(E249,MIN(FIND({" ";"g";"k";"m";"o"},E249&amp;" gkmo")),10)),"unknown")</f>
        <v>x 30g = 9</v>
      </c>
      <c r="K249" s="6" t="str">
        <f t="shared" si="12"/>
        <v>g</v>
      </c>
      <c r="L249" s="6" t="str">
        <f t="shared" si="13"/>
        <v>Kind</v>
      </c>
      <c r="M249" s="6" t="str">
        <f t="shared" si="14"/>
        <v>Dark Chocolate Nuts &amp; Sea Salt Bars</v>
      </c>
      <c r="N249" s="6" t="str">
        <f t="shared" si="15"/>
        <v>Gb</v>
      </c>
    </row>
    <row r="250" spans="1:14" x14ac:dyDescent="0.25">
      <c r="A250" s="6" t="s">
        <v>735</v>
      </c>
      <c r="B250" s="6">
        <v>13240</v>
      </c>
      <c r="C250" s="6" t="s">
        <v>736</v>
      </c>
      <c r="D250" s="7" t="s">
        <v>60</v>
      </c>
      <c r="E250" s="6" t="s">
        <v>151</v>
      </c>
      <c r="F250" s="6" t="s">
        <v>8370</v>
      </c>
      <c r="G250" s="8">
        <v>46049</v>
      </c>
      <c r="H250" s="6">
        <v>5.7</v>
      </c>
      <c r="I250" s="6" cm="1">
        <f t="array" ref="I250">IFERROR(VALUE(TRIM(LEFT(E250,MIN(FIND({" ";"g";"k";"m";"o"},E250&amp;" gkmo"))-1))),0)</f>
        <v>200</v>
      </c>
      <c r="J250" s="6" t="str" cm="1">
        <f t="array" ref="J250">IFERROR(TRIM(MID(E250,MIN(FIND({" ";"g";"k";"m";"o"},E250&amp;" gkmo")),10)),"unknown")</f>
        <v>g</v>
      </c>
      <c r="K250" s="6" t="str">
        <f t="shared" si="12"/>
        <v>g</v>
      </c>
      <c r="L250" s="6" t="str">
        <f t="shared" si="13"/>
        <v>Lindt</v>
      </c>
      <c r="M250" s="6" t="str">
        <f t="shared" si="14"/>
        <v>Noir Intense Dessert 70%</v>
      </c>
      <c r="N250" s="6" t="str">
        <f t="shared" si="15"/>
        <v>France,Morocco,United Kingdom</v>
      </c>
    </row>
    <row r="251" spans="1:14" x14ac:dyDescent="0.25">
      <c r="A251" s="6" t="s">
        <v>737</v>
      </c>
      <c r="B251" s="6">
        <v>6169</v>
      </c>
      <c r="C251" s="6" t="s">
        <v>738</v>
      </c>
      <c r="D251" s="7" t="s">
        <v>7030</v>
      </c>
      <c r="E251" s="6" t="s">
        <v>185</v>
      </c>
      <c r="F251" s="6" t="s">
        <v>8448</v>
      </c>
      <c r="G251" s="8">
        <v>45595</v>
      </c>
      <c r="H251" s="6">
        <v>5.23</v>
      </c>
      <c r="I251" s="6" cm="1">
        <f t="array" ref="I251">IFERROR(VALUE(TRIM(LEFT(E251,MIN(FIND({" ";"g";"k";"m";"o"},E251&amp;" gkmo"))-1))),0)</f>
        <v>270</v>
      </c>
      <c r="J251" s="6" t="str" cm="1">
        <f t="array" ref="J251">IFERROR(TRIM(MID(E251,MIN(FIND({" ";"g";"k";"m";"o"},E251&amp;" gkmo")),10)),"unknown")</f>
        <v>g</v>
      </c>
      <c r="K251" s="6" t="str">
        <f t="shared" si="12"/>
        <v>g</v>
      </c>
      <c r="L251" s="6" t="str">
        <f t="shared" si="13"/>
        <v>Gerblé</v>
      </c>
      <c r="M251" s="6" t="str">
        <f t="shared" si="14"/>
        <v>Biscuits Soja Figue</v>
      </c>
      <c r="N251" s="6" t="str">
        <f t="shared" si="15"/>
        <v>Belgium,France,Morocco,La Reunion,Switzerland</v>
      </c>
    </row>
    <row r="252" spans="1:14" x14ac:dyDescent="0.25">
      <c r="A252" s="6" t="s">
        <v>739</v>
      </c>
      <c r="B252" s="6">
        <v>11681</v>
      </c>
      <c r="C252" s="6" t="s">
        <v>740</v>
      </c>
      <c r="D252" s="7" t="s">
        <v>248</v>
      </c>
      <c r="E252" s="6" t="s">
        <v>14</v>
      </c>
      <c r="F252" s="6" t="s">
        <v>7936</v>
      </c>
      <c r="G252" s="8">
        <v>45536</v>
      </c>
      <c r="H252" s="6">
        <v>15.59</v>
      </c>
      <c r="I252" s="6" cm="1">
        <f t="array" ref="I252">IFERROR(VALUE(TRIM(LEFT(E252,MIN(FIND({" ";"g";"k";"m";"o"},E252&amp;" gkmo"))-1))),0)</f>
        <v>300</v>
      </c>
      <c r="J252" s="6" t="str" cm="1">
        <f t="array" ref="J252">IFERROR(TRIM(MID(E252,MIN(FIND({" ";"g";"k";"m";"o"},E252&amp;" gkmo")),10)),"unknown")</f>
        <v>g</v>
      </c>
      <c r="K252" s="6" t="str">
        <f t="shared" si="12"/>
        <v>g</v>
      </c>
      <c r="L252" s="6" t="str">
        <f t="shared" si="13"/>
        <v>Tesco</v>
      </c>
      <c r="M252" s="6" t="str">
        <f t="shared" si="14"/>
        <v>Cream Crackers</v>
      </c>
      <c r="N252" s="6" t="str">
        <f t="shared" si="15"/>
        <v>France, Ireland, United-Kingdom</v>
      </c>
    </row>
    <row r="253" spans="1:14" x14ac:dyDescent="0.25">
      <c r="A253" s="6" t="s">
        <v>741</v>
      </c>
      <c r="B253" s="6">
        <v>13750</v>
      </c>
      <c r="C253" s="6" t="s">
        <v>7067</v>
      </c>
      <c r="D253" s="7" t="s">
        <v>7068</v>
      </c>
      <c r="E253" s="6" t="s">
        <v>528</v>
      </c>
      <c r="F253" s="6" t="s">
        <v>5759</v>
      </c>
      <c r="G253" s="8">
        <v>45616</v>
      </c>
      <c r="H253" s="6">
        <v>11.76</v>
      </c>
      <c r="I253" s="6" cm="1">
        <f t="array" ref="I253">IFERROR(VALUE(TRIM(LEFT(E253,MIN(FIND({" ";"g";"k";"m";"o"},E253&amp;" gkmo"))-1))),0)</f>
        <v>200</v>
      </c>
      <c r="J253" s="6" t="str" cm="1">
        <f t="array" ref="J253">IFERROR(TRIM(MID(E253,MIN(FIND({" ";"g";"k";"m";"o"},E253&amp;" gkmo")),10)),"unknown")</f>
        <v>g</v>
      </c>
      <c r="K253" s="6" t="str">
        <f t="shared" si="12"/>
        <v>g</v>
      </c>
      <c r="L253" s="6" t="str">
        <f t="shared" si="13"/>
        <v>Gerblé</v>
      </c>
      <c r="M253" s="6" t="str">
        <f t="shared" si="14"/>
        <v>Le Petit Gerblé Nature</v>
      </c>
      <c r="N253" s="6" t="str">
        <f t="shared" si="15"/>
        <v>Fr</v>
      </c>
    </row>
    <row r="254" spans="1:14" x14ac:dyDescent="0.25">
      <c r="A254" s="6" t="s">
        <v>742</v>
      </c>
      <c r="B254" s="6">
        <v>10108</v>
      </c>
      <c r="C254" s="6" t="s">
        <v>743</v>
      </c>
      <c r="D254" s="7" t="s">
        <v>744</v>
      </c>
      <c r="E254" s="6" t="s">
        <v>745</v>
      </c>
      <c r="F254" s="6" t="s">
        <v>7937</v>
      </c>
      <c r="G254" s="8">
        <v>45384</v>
      </c>
      <c r="H254" s="6">
        <v>24.22</v>
      </c>
      <c r="I254" s="6" cm="1">
        <f t="array" ref="I254">IFERROR(VALUE(TRIM(LEFT(E254,MIN(FIND({" ";"g";"k";"m";"o"},E254&amp;" gkmo"))-1))),0)</f>
        <v>260</v>
      </c>
      <c r="J254" s="6" t="str" cm="1">
        <f t="array" ref="J254">IFERROR(TRIM(MID(E254,MIN(FIND({" ";"g";"k";"m";"o"},E254&amp;" gkmo")),10)),"unknown")</f>
        <v>g â„®</v>
      </c>
      <c r="K254" s="6" t="str">
        <f t="shared" si="12"/>
        <v>g</v>
      </c>
      <c r="L254" s="6" t="str">
        <f t="shared" si="13"/>
        <v>Lu, Mondelez</v>
      </c>
      <c r="M254" s="6" t="str">
        <f t="shared" si="14"/>
        <v>Bastogne</v>
      </c>
      <c r="N254" s="6" t="str">
        <f t="shared" si="15"/>
        <v>France,Belgium,Reunion, New-Caledonia, French-Polynesia</v>
      </c>
    </row>
    <row r="255" spans="1:14" x14ac:dyDescent="0.25">
      <c r="A255" s="6" t="s">
        <v>746</v>
      </c>
      <c r="B255" s="6">
        <v>7122</v>
      </c>
      <c r="C255" s="6" t="s">
        <v>747</v>
      </c>
      <c r="D255" s="7" t="s">
        <v>478</v>
      </c>
      <c r="E255" s="6" t="s">
        <v>44</v>
      </c>
      <c r="F255" s="6" t="s">
        <v>748</v>
      </c>
      <c r="G255" s="8">
        <v>45795</v>
      </c>
      <c r="H255" s="6">
        <v>20.010000000000002</v>
      </c>
      <c r="I255" s="6" cm="1">
        <f t="array" ref="I255">IFERROR(VALUE(TRIM(LEFT(E255,MIN(FIND({" ";"g";"k";"m";"o"},E255&amp;" gkmo"))-1))),0)</f>
        <v>90</v>
      </c>
      <c r="J255" s="6" t="str" cm="1">
        <f t="array" ref="J255">IFERROR(TRIM(MID(E255,MIN(FIND({" ";"g";"k";"m";"o"},E255&amp;" gkmo")),10)),"unknown")</f>
        <v>g</v>
      </c>
      <c r="K255" s="6" t="str">
        <f t="shared" si="12"/>
        <v>g</v>
      </c>
      <c r="L255" s="6" t="str">
        <f t="shared" si="13"/>
        <v>Ferrero Rocher</v>
      </c>
      <c r="M255" s="6" t="str">
        <f t="shared" si="14"/>
        <v>90G Ferrero Rocher Tablette Lt</v>
      </c>
      <c r="N255" s="6" t="str">
        <f t="shared" si="15"/>
        <v>Belgium,Bulgaria,France,Germany,Morocco,Romania,United Kingdom,Italy</v>
      </c>
    </row>
    <row r="256" spans="1:14" x14ac:dyDescent="0.25">
      <c r="A256" s="6" t="s">
        <v>749</v>
      </c>
      <c r="B256" s="6">
        <v>10421</v>
      </c>
      <c r="C256" s="6" t="s">
        <v>750</v>
      </c>
      <c r="D256" s="7" t="s">
        <v>751</v>
      </c>
      <c r="E256" s="6"/>
      <c r="F256" s="6" t="s">
        <v>8263</v>
      </c>
      <c r="G256" s="8">
        <v>45764</v>
      </c>
      <c r="H256" s="6">
        <v>18.940000000000001</v>
      </c>
      <c r="I256" s="6" cm="1">
        <f t="array" ref="I256">IFERROR(VALUE(TRIM(LEFT(E256,MIN(FIND({" ";"g";"k";"m";"o"},E256&amp;" gkmo"))-1))),0)</f>
        <v>0</v>
      </c>
      <c r="J256" s="6" t="str" cm="1">
        <f t="array" ref="J256">IFERROR(TRIM(MID(E256,MIN(FIND({" ";"g";"k";"m";"o"},E256&amp;" gkmo")),10)),"unknown")</f>
        <v/>
      </c>
      <c r="K256" s="6" t="str">
        <f t="shared" si="12"/>
        <v>unknown</v>
      </c>
      <c r="L256" s="6" t="str">
        <f t="shared" si="13"/>
        <v>Snickers, Mars</v>
      </c>
      <c r="M256" s="6" t="str">
        <f t="shared" si="14"/>
        <v>Chocolate Bar, Snickers</v>
      </c>
      <c r="N256" s="6" t="str">
        <f t="shared" si="15"/>
        <v>Bulgaria,Repàºblica Checa,France,Germany,Marruecos,Polonia,Espaà±A</v>
      </c>
    </row>
    <row r="257" spans="1:14" x14ac:dyDescent="0.25">
      <c r="A257" s="6" t="s">
        <v>752</v>
      </c>
      <c r="B257" s="6">
        <v>7883</v>
      </c>
      <c r="C257" s="6" t="s">
        <v>753</v>
      </c>
      <c r="D257" s="7" t="s">
        <v>150</v>
      </c>
      <c r="E257" s="6" t="s">
        <v>151</v>
      </c>
      <c r="F257" s="6" t="s">
        <v>8300</v>
      </c>
      <c r="G257" s="8">
        <v>45896</v>
      </c>
      <c r="H257" s="6">
        <v>13.16</v>
      </c>
      <c r="I257" s="6" cm="1">
        <f t="array" ref="I257">IFERROR(VALUE(TRIM(LEFT(E257,MIN(FIND({" ";"g";"k";"m";"o"},E257&amp;" gkmo"))-1))),0)</f>
        <v>200</v>
      </c>
      <c r="J257" s="6" t="str" cm="1">
        <f t="array" ref="J257">IFERROR(TRIM(MID(E257,MIN(FIND({" ";"g";"k";"m";"o"},E257&amp;" gkmo")),10)),"unknown")</f>
        <v>g</v>
      </c>
      <c r="K257" s="6" t="str">
        <f t="shared" si="12"/>
        <v>g</v>
      </c>
      <c r="L257" s="6" t="str">
        <f t="shared" si="13"/>
        <v>Alesto</v>
      </c>
      <c r="M257" s="6" t="str">
        <f t="shared" si="14"/>
        <v>Noix De Cajou &amp; Cranberries</v>
      </c>
      <c r="N257" s="6" t="str">
        <f t="shared" si="15"/>
        <v>Belgium,Bulgarie,Croatie,France,Germany,Italie</v>
      </c>
    </row>
    <row r="258" spans="1:14" x14ac:dyDescent="0.25">
      <c r="A258" s="6" t="s">
        <v>754</v>
      </c>
      <c r="B258" s="6">
        <v>5029</v>
      </c>
      <c r="C258" s="6" t="s">
        <v>755</v>
      </c>
      <c r="D258" s="7" t="s">
        <v>354</v>
      </c>
      <c r="E258" s="6" t="s">
        <v>756</v>
      </c>
      <c r="F258" s="6" t="s">
        <v>139</v>
      </c>
      <c r="G258" s="8">
        <v>45369</v>
      </c>
      <c r="H258" s="6">
        <v>13.16</v>
      </c>
      <c r="I258" s="6" cm="1">
        <f t="array" ref="I258">IFERROR(VALUE(TRIM(LEFT(E258,MIN(FIND({" ";"g";"k";"m";"o"},E258&amp;" gkmo"))-1))),0)</f>
        <v>250</v>
      </c>
      <c r="J258" s="6" t="str" cm="1">
        <f t="array" ref="J258">IFERROR(TRIM(MID(E258,MIN(FIND({" ";"g";"k";"m";"o"},E258&amp;" gkmo")),10)),"unknown")</f>
        <v>g â„®, (2</v>
      </c>
      <c r="K258" s="6" t="str">
        <f t="shared" si="12"/>
        <v>g</v>
      </c>
      <c r="L258" s="6" t="str">
        <f t="shared" si="13"/>
        <v>Lu,Mondelez</v>
      </c>
      <c r="M258" s="6" t="str">
        <f t="shared" si="14"/>
        <v>Chamonix</v>
      </c>
      <c r="N258" s="6" t="str">
        <f t="shared" si="15"/>
        <v>France</v>
      </c>
    </row>
    <row r="259" spans="1:14" x14ac:dyDescent="0.25">
      <c r="A259" s="6" t="s">
        <v>757</v>
      </c>
      <c r="B259" s="6">
        <v>12757</v>
      </c>
      <c r="C259" s="6" t="s">
        <v>758</v>
      </c>
      <c r="D259" s="7" t="s">
        <v>759</v>
      </c>
      <c r="E259" s="6" t="s">
        <v>123</v>
      </c>
      <c r="F259" s="6" t="s">
        <v>7938</v>
      </c>
      <c r="G259" s="8">
        <v>45532</v>
      </c>
      <c r="H259" s="6">
        <v>2.23</v>
      </c>
      <c r="I259" s="6" cm="1">
        <f t="array" ref="I259">IFERROR(VALUE(TRIM(LEFT(E259,MIN(FIND({" ";"g";"k";"m";"o"},E259&amp;" gkmo"))-1))),0)</f>
        <v>50</v>
      </c>
      <c r="J259" s="6" t="str" cm="1">
        <f t="array" ref="J259">IFERROR(TRIM(MID(E259,MIN(FIND({" ";"g";"k";"m";"o"},E259&amp;" gkmo")),10)),"unknown")</f>
        <v>g</v>
      </c>
      <c r="K259" s="6" t="str">
        <f t="shared" ref="K259:K322" si="16">IF(E259="","unknown",IF(OR(J259="g",LEFT(J259,1)="g"),"g",IF(OR(LEFT(J259,2)="kg",LEFT(J259,2)="ki"),"kg",IF(OR(LEFT(J259,2)="ml",LEFT(J259,1)="m"),"ml",IF(LEFT(J259,1)="l","l",IF(ISNUMBER(SEARCH("g",E259)),"g",IF(ISNUMBER(SEARCH("kg",E259)),"kg",IF(ISNUMBER(SEARCH("ml",E259)),"ml","unknown"))))))))</f>
        <v>g</v>
      </c>
      <c r="L259" s="6" t="str">
        <f t="shared" ref="L259:L322" si="17">IF(D259="","Unknown",PROPER(TRIM(D259)))</f>
        <v>Mars Wrigley</v>
      </c>
      <c r="M259" s="6" t="str">
        <f t="shared" ref="M259:M322" si="18">IF(C259="Unknown","Unknown",PROPER(TRIM(C259)))</f>
        <v>Twix Twin</v>
      </c>
      <c r="N259" s="6" t="str">
        <f t="shared" ref="N259:N322" si="19">IF(F259="","Unknown",PROPER(TRIM(F259)))</f>
        <v>Belgium, Bulgaria, France, Germany, Hungary, Italy, Morocco, Romania, United Kingdom, Saudi-Arabia</v>
      </c>
    </row>
    <row r="260" spans="1:14" x14ac:dyDescent="0.25">
      <c r="A260" s="6" t="s">
        <v>760</v>
      </c>
      <c r="B260" s="6">
        <v>11291</v>
      </c>
      <c r="C260" s="6" t="s">
        <v>761</v>
      </c>
      <c r="D260" s="7" t="s">
        <v>7033</v>
      </c>
      <c r="E260" s="6" t="s">
        <v>14</v>
      </c>
      <c r="F260" s="6" t="s">
        <v>7939</v>
      </c>
      <c r="G260" s="8">
        <v>46025</v>
      </c>
      <c r="H260" s="6">
        <v>13.16</v>
      </c>
      <c r="I260" s="6" cm="1">
        <f t="array" ref="I260">IFERROR(VALUE(TRIM(LEFT(E260,MIN(FIND({" ";"g";"k";"m";"o"},E260&amp;" gkmo"))-1))),0)</f>
        <v>300</v>
      </c>
      <c r="J260" s="6" t="str" cm="1">
        <f t="array" ref="J260">IFERROR(TRIM(MID(E260,MIN(FIND({" ";"g";"k";"m";"o"},E260&amp;" gkmo")),10)),"unknown")</f>
        <v>g</v>
      </c>
      <c r="K260" s="6" t="str">
        <f t="shared" si="16"/>
        <v>g</v>
      </c>
      <c r="L260" s="6" t="str">
        <f t="shared" si="17"/>
        <v>Nestlé</v>
      </c>
      <c r="M260" s="6" t="str">
        <f t="shared" si="18"/>
        <v>After Eight Coffret 300G</v>
      </c>
      <c r="N260" s="6" t="str">
        <f t="shared" si="19"/>
        <v>Belgium, France, Ireland, Spain, United Kingdom, Morocco</v>
      </c>
    </row>
    <row r="261" spans="1:14" x14ac:dyDescent="0.25">
      <c r="A261" s="6" t="s">
        <v>762</v>
      </c>
      <c r="B261" s="6">
        <v>7157</v>
      </c>
      <c r="C261" s="6" t="s">
        <v>763</v>
      </c>
      <c r="D261" s="7" t="s">
        <v>7030</v>
      </c>
      <c r="E261" s="6" t="s">
        <v>764</v>
      </c>
      <c r="F261" s="6" t="s">
        <v>139</v>
      </c>
      <c r="G261" s="8">
        <v>45603</v>
      </c>
      <c r="H261" s="6">
        <v>16.899999999999999</v>
      </c>
      <c r="I261" s="6" cm="1">
        <f t="array" ref="I261">IFERROR(VALUE(TRIM(LEFT(E261,MIN(FIND({" ";"g";"k";"m";"o"},E261&amp;" gkmo"))-1))),0)</f>
        <v>130</v>
      </c>
      <c r="J261" s="6" t="str" cm="1">
        <f t="array" ref="J261">IFERROR(TRIM(MID(E261,MIN(FIND({" ";"g";"k";"m";"o"},E261&amp;" gkmo")),10)),"unknown")</f>
        <v>gr</v>
      </c>
      <c r="K261" s="6" t="str">
        <f t="shared" si="16"/>
        <v>g</v>
      </c>
      <c r="L261" s="6" t="str">
        <f t="shared" si="17"/>
        <v>Gerblé</v>
      </c>
      <c r="M261" s="6" t="str">
        <f t="shared" si="18"/>
        <v>Cookie Chocolat Saveur Noisette Sans Sucres</v>
      </c>
      <c r="N261" s="6" t="str">
        <f t="shared" si="19"/>
        <v>France</v>
      </c>
    </row>
    <row r="262" spans="1:14" x14ac:dyDescent="0.25">
      <c r="A262" s="6" t="s">
        <v>765</v>
      </c>
      <c r="B262" s="6">
        <v>9969</v>
      </c>
      <c r="C262" s="6" t="s">
        <v>7017</v>
      </c>
      <c r="D262" s="7" t="s">
        <v>7017</v>
      </c>
      <c r="E262" s="6"/>
      <c r="F262" s="6" t="s">
        <v>48</v>
      </c>
      <c r="G262" s="8">
        <v>45884</v>
      </c>
      <c r="H262" s="6">
        <v>13.16</v>
      </c>
      <c r="I262" s="6" cm="1">
        <f t="array" ref="I262">IFERROR(VALUE(TRIM(LEFT(E262,MIN(FIND({" ";"g";"k";"m";"o"},E262&amp;" gkmo"))-1))),0)</f>
        <v>0</v>
      </c>
      <c r="J262" s="6" t="str" cm="1">
        <f t="array" ref="J262">IFERROR(TRIM(MID(E262,MIN(FIND({" ";"g";"k";"m";"o"},E262&amp;" gkmo")),10)),"unknown")</f>
        <v/>
      </c>
      <c r="K262" s="6" t="str">
        <f t="shared" si="16"/>
        <v>unknown</v>
      </c>
      <c r="L262" s="6" t="str">
        <f t="shared" si="17"/>
        <v>Unknown</v>
      </c>
      <c r="M262" s="6" t="str">
        <f t="shared" si="18"/>
        <v>Unknown</v>
      </c>
      <c r="N262" s="6" t="str">
        <f t="shared" si="19"/>
        <v>Morocco</v>
      </c>
    </row>
    <row r="263" spans="1:14" x14ac:dyDescent="0.25">
      <c r="A263" s="6" t="s">
        <v>766</v>
      </c>
      <c r="B263" s="6">
        <v>11328</v>
      </c>
      <c r="C263" s="6" t="s">
        <v>767</v>
      </c>
      <c r="D263" s="7" t="s">
        <v>525</v>
      </c>
      <c r="E263" s="6" t="s">
        <v>768</v>
      </c>
      <c r="F263" s="6" t="s">
        <v>48</v>
      </c>
      <c r="G263" s="8">
        <v>45450</v>
      </c>
      <c r="H263" s="6">
        <v>2.74</v>
      </c>
      <c r="I263" s="6" cm="1">
        <f t="array" ref="I263">IFERROR(VALUE(TRIM(LEFT(E263,MIN(FIND({" ";"g";"k";"m";"o"},E263&amp;" gkmo"))-1))),0)</f>
        <v>4</v>
      </c>
      <c r="J263" s="6" t="str" cm="1">
        <f t="array" ref="J263">IFERROR(TRIM(MID(E263,MIN(FIND({" ";"g";"k";"m";"o"},E263&amp;" gkmo")),10)),"unknown")</f>
        <v>grs</v>
      </c>
      <c r="K263" s="6" t="str">
        <f t="shared" si="16"/>
        <v>g</v>
      </c>
      <c r="L263" s="6" t="str">
        <f t="shared" si="17"/>
        <v>Aiguebelle</v>
      </c>
      <c r="M263" s="6" t="str">
        <f t="shared" si="18"/>
        <v>Napolitain</v>
      </c>
      <c r="N263" s="6" t="str">
        <f t="shared" si="19"/>
        <v>Morocco</v>
      </c>
    </row>
    <row r="264" spans="1:14" x14ac:dyDescent="0.25">
      <c r="A264" s="6" t="s">
        <v>769</v>
      </c>
      <c r="B264" s="6">
        <v>10597</v>
      </c>
      <c r="C264" s="6" t="s">
        <v>770</v>
      </c>
      <c r="D264" s="7" t="s">
        <v>7030</v>
      </c>
      <c r="E264" s="6" t="s">
        <v>151</v>
      </c>
      <c r="F264" s="6" t="s">
        <v>8222</v>
      </c>
      <c r="G264" s="8">
        <v>45535</v>
      </c>
      <c r="H264" s="6">
        <v>12.36</v>
      </c>
      <c r="I264" s="6" cm="1">
        <f t="array" ref="I264">IFERROR(VALUE(TRIM(LEFT(E264,MIN(FIND({" ";"g";"k";"m";"o"},E264&amp;" gkmo"))-1))),0)</f>
        <v>200</v>
      </c>
      <c r="J264" s="6" t="str" cm="1">
        <f t="array" ref="J264">IFERROR(TRIM(MID(E264,MIN(FIND({" ";"g";"k";"m";"o"},E264&amp;" gkmo")),10)),"unknown")</f>
        <v>g</v>
      </c>
      <c r="K264" s="6" t="str">
        <f t="shared" si="16"/>
        <v>g</v>
      </c>
      <c r="L264" s="6" t="str">
        <f t="shared" si="17"/>
        <v>Gerblé</v>
      </c>
      <c r="M264" s="6" t="str">
        <f t="shared" si="18"/>
        <v>Biscuit Chocolat Saveur Amande</v>
      </c>
      <c r="N264" s="6" t="str">
        <f t="shared" si="19"/>
        <v>France,Reunià³N</v>
      </c>
    </row>
    <row r="265" spans="1:14" x14ac:dyDescent="0.25">
      <c r="A265" s="6" t="s">
        <v>771</v>
      </c>
      <c r="B265" s="6">
        <v>14276</v>
      </c>
      <c r="C265" s="6" t="s">
        <v>7069</v>
      </c>
      <c r="D265" s="7" t="s">
        <v>7030</v>
      </c>
      <c r="E265" s="6" t="s">
        <v>772</v>
      </c>
      <c r="F265" s="6" t="s">
        <v>139</v>
      </c>
      <c r="G265" s="8">
        <v>45890</v>
      </c>
      <c r="H265" s="6">
        <v>4.09</v>
      </c>
      <c r="I265" s="6" cm="1">
        <f t="array" ref="I265">IFERROR(VALUE(TRIM(LEFT(E265,MIN(FIND({" ";"g";"k";"m";"o"},E265&amp;" gkmo"))-1))),0)</f>
        <v>132</v>
      </c>
      <c r="J265" s="6" t="str" cm="1">
        <f t="array" ref="J265">IFERROR(TRIM(MID(E265,MIN(FIND({" ";"g";"k";"m";"o"},E265&amp;" gkmo")),10)),"unknown")</f>
        <v>g</v>
      </c>
      <c r="K265" s="6" t="str">
        <f t="shared" si="16"/>
        <v>g</v>
      </c>
      <c r="L265" s="6" t="str">
        <f t="shared" si="17"/>
        <v>Gerblé</v>
      </c>
      <c r="M265" s="6" t="str">
        <f t="shared" si="18"/>
        <v>Sablé Sésame Saveur Vanille - Gerblé Sans Sucres</v>
      </c>
      <c r="N265" s="6" t="str">
        <f t="shared" si="19"/>
        <v>France</v>
      </c>
    </row>
    <row r="266" spans="1:14" x14ac:dyDescent="0.25">
      <c r="A266" s="6" t="s">
        <v>773</v>
      </c>
      <c r="B266" s="6">
        <v>11208</v>
      </c>
      <c r="C266" s="6" t="s">
        <v>7070</v>
      </c>
      <c r="D266" s="7" t="s">
        <v>7017</v>
      </c>
      <c r="E266" s="6" t="s">
        <v>774</v>
      </c>
      <c r="F266" s="6" t="s">
        <v>557</v>
      </c>
      <c r="G266" s="8">
        <v>45613</v>
      </c>
      <c r="H266" s="6">
        <v>23.59</v>
      </c>
      <c r="I266" s="6" cm="1">
        <f t="array" ref="I266">IFERROR(VALUE(TRIM(LEFT(E266,MIN(FIND({" ";"g";"k";"m";"o"},E266&amp;" gkmo"))-1))),0)</f>
        <v>132</v>
      </c>
      <c r="J266" s="6" t="str" cm="1">
        <f t="array" ref="J266">IFERROR(TRIM(MID(E266,MIN(FIND({" ";"g";"k";"m";"o"},E266&amp;" gkmo")),10)),"unknown")</f>
        <v>g, 3 sach</v>
      </c>
      <c r="K266" s="6" t="str">
        <f t="shared" si="16"/>
        <v>g</v>
      </c>
      <c r="L266" s="6" t="str">
        <f t="shared" si="17"/>
        <v>Unknown</v>
      </c>
      <c r="M266" s="6" t="str">
        <f t="shared" si="18"/>
        <v>Gerblé - Sablés Sans Sucres Saveur Citron Et Yuzu, 132G (4.7Oz)</v>
      </c>
      <c r="N266" s="6" t="str">
        <f t="shared" si="19"/>
        <v>Belgium,France,Switzerland</v>
      </c>
    </row>
    <row r="267" spans="1:14" x14ac:dyDescent="0.25">
      <c r="A267" s="6" t="s">
        <v>775</v>
      </c>
      <c r="B267" s="6">
        <v>8143</v>
      </c>
      <c r="C267" s="6" t="s">
        <v>776</v>
      </c>
      <c r="D267" s="7" t="s">
        <v>287</v>
      </c>
      <c r="E267" s="6" t="s">
        <v>528</v>
      </c>
      <c r="F267" s="6" t="s">
        <v>7588</v>
      </c>
      <c r="G267" s="8">
        <v>45547</v>
      </c>
      <c r="H267" s="6">
        <v>13.75</v>
      </c>
      <c r="I267" s="6" cm="1">
        <f t="array" ref="I267">IFERROR(VALUE(TRIM(LEFT(E267,MIN(FIND({" ";"g";"k";"m";"o"},E267&amp;" gkmo"))-1))),0)</f>
        <v>200</v>
      </c>
      <c r="J267" s="6" t="str" cm="1">
        <f t="array" ref="J267">IFERROR(TRIM(MID(E267,MIN(FIND({" ";"g";"k";"m";"o"},E267&amp;" gkmo")),10)),"unknown")</f>
        <v>g</v>
      </c>
      <c r="K267" s="6" t="str">
        <f t="shared" si="16"/>
        <v>g</v>
      </c>
      <c r="L267" s="6" t="str">
        <f t="shared" si="17"/>
        <v>Ferrero</v>
      </c>
      <c r="M267" s="6" t="str">
        <f t="shared" si="18"/>
        <v>Ferrero Rocher X 16</v>
      </c>
      <c r="N267" s="6" t="str">
        <f t="shared" si="19"/>
        <v>Dà¤Nemark,Frankreich,Deutschland,Marokko,Schweiz</v>
      </c>
    </row>
    <row r="268" spans="1:14" x14ac:dyDescent="0.25">
      <c r="A268" s="6" t="s">
        <v>777</v>
      </c>
      <c r="B268" s="6">
        <v>8407</v>
      </c>
      <c r="C268" s="6" t="s">
        <v>778</v>
      </c>
      <c r="D268" s="7" t="s">
        <v>779</v>
      </c>
      <c r="E268" s="6" t="s">
        <v>780</v>
      </c>
      <c r="F268" s="6" t="s">
        <v>511</v>
      </c>
      <c r="G268" s="8">
        <v>45915</v>
      </c>
      <c r="H268" s="6">
        <v>5.96</v>
      </c>
      <c r="I268" s="6" cm="1">
        <f t="array" ref="I268">IFERROR(VALUE(TRIM(LEFT(E268,MIN(FIND({" ";"g";"k";"m";"o"},E268&amp;" gkmo"))-1))),0)</f>
        <v>18</v>
      </c>
      <c r="J268" s="6" t="str" cm="1">
        <f t="array" ref="J268">IFERROR(TRIM(MID(E268,MIN(FIND({" ";"g";"k";"m";"o"},E268&amp;" gkmo")),10)),"unknown")</f>
        <v>g</v>
      </c>
      <c r="K268" s="6" t="str">
        <f t="shared" si="16"/>
        <v>g</v>
      </c>
      <c r="L268" s="6" t="str">
        <f t="shared" si="17"/>
        <v>Leader Food</v>
      </c>
      <c r="M268" s="6" t="str">
        <f t="shared" si="18"/>
        <v>Fakiat Barbeque</v>
      </c>
      <c r="N268" s="6" t="str">
        <f t="shared" si="19"/>
        <v>France,Morocco</v>
      </c>
    </row>
    <row r="269" spans="1:14" x14ac:dyDescent="0.25">
      <c r="A269" s="6" t="s">
        <v>781</v>
      </c>
      <c r="B269" s="6">
        <v>13224</v>
      </c>
      <c r="C269" s="6" t="s">
        <v>782</v>
      </c>
      <c r="D269" s="7" t="s">
        <v>783</v>
      </c>
      <c r="E269" s="6" t="s">
        <v>14</v>
      </c>
      <c r="F269" s="6" t="s">
        <v>139</v>
      </c>
      <c r="G269" s="8">
        <v>45699</v>
      </c>
      <c r="H269" s="6">
        <v>13.16</v>
      </c>
      <c r="I269" s="6" cm="1">
        <f t="array" ref="I269">IFERROR(VALUE(TRIM(LEFT(E269,MIN(FIND({" ";"g";"k";"m";"o"},E269&amp;" gkmo"))-1))),0)</f>
        <v>300</v>
      </c>
      <c r="J269" s="6" t="str" cm="1">
        <f t="array" ref="J269">IFERROR(TRIM(MID(E269,MIN(FIND({" ";"g";"k";"m";"o"},E269&amp;" gkmo")),10)),"unknown")</f>
        <v>g</v>
      </c>
      <c r="K269" s="6" t="str">
        <f t="shared" si="16"/>
        <v>g</v>
      </c>
      <c r="L269" s="6" t="str">
        <f t="shared" si="17"/>
        <v>Dr. Oetker, Ancel</v>
      </c>
      <c r="M269" s="6" t="str">
        <f t="shared" si="18"/>
        <v>Sticks Et Bretzels D'Alsace</v>
      </c>
      <c r="N269" s="6" t="str">
        <f t="shared" si="19"/>
        <v>France</v>
      </c>
    </row>
    <row r="270" spans="1:14" x14ac:dyDescent="0.25">
      <c r="A270" s="6" t="s">
        <v>784</v>
      </c>
      <c r="B270" s="6">
        <v>12121</v>
      </c>
      <c r="C270" s="6" t="s">
        <v>785</v>
      </c>
      <c r="D270" s="7" t="s">
        <v>180</v>
      </c>
      <c r="E270" s="6" t="s">
        <v>786</v>
      </c>
      <c r="F270" s="6" t="s">
        <v>7940</v>
      </c>
      <c r="G270" s="8">
        <v>45378</v>
      </c>
      <c r="H270" s="6">
        <v>4.5599999999999996</v>
      </c>
      <c r="I270" s="6" cm="1">
        <f t="array" ref="I270">IFERROR(VALUE(TRIM(LEFT(E270,MIN(FIND({" ";"g";"k";"m";"o"},E270&amp;" gkmo"))-1))),0)</f>
        <v>130</v>
      </c>
      <c r="J270" s="6" t="str" cm="1">
        <f t="array" ref="J270">IFERROR(TRIM(MID(E270,MIN(FIND({" ";"g";"k";"m";"o"},E270&amp;" gkmo")),10)),"unknown")</f>
        <v>g</v>
      </c>
      <c r="K270" s="6" t="str">
        <f t="shared" si="16"/>
        <v>g</v>
      </c>
      <c r="L270" s="6" t="str">
        <f t="shared" si="17"/>
        <v>Kettle</v>
      </c>
      <c r="M270" s="6" t="str">
        <f t="shared" si="18"/>
        <v>Sea Salt &amp; Balsamic Vinegar Crisps</v>
      </c>
      <c r="N270" s="6" t="str">
        <f t="shared" si="19"/>
        <v>Ireland, United-Kingdom</v>
      </c>
    </row>
    <row r="271" spans="1:14" x14ac:dyDescent="0.25">
      <c r="A271" s="6" t="s">
        <v>787</v>
      </c>
      <c r="B271" s="6">
        <v>11217</v>
      </c>
      <c r="C271" s="6" t="s">
        <v>788</v>
      </c>
      <c r="D271" s="7" t="s">
        <v>60</v>
      </c>
      <c r="E271" s="6" t="s">
        <v>10</v>
      </c>
      <c r="F271" s="6" t="s">
        <v>789</v>
      </c>
      <c r="G271" s="8">
        <v>45888</v>
      </c>
      <c r="H271" s="6">
        <v>22.06</v>
      </c>
      <c r="I271" s="6" cm="1">
        <f t="array" ref="I271">IFERROR(VALUE(TRIM(LEFT(E271,MIN(FIND({" ";"g";"k";"m";"o"},E271&amp;" gkmo"))-1))),0)</f>
        <v>100</v>
      </c>
      <c r="J271" s="6" t="str" cm="1">
        <f t="array" ref="J271">IFERROR(TRIM(MID(E271,MIN(FIND({" ";"g";"k";"m";"o"},E271&amp;" gkmo")),10)),"unknown")</f>
        <v>g</v>
      </c>
      <c r="K271" s="6" t="str">
        <f t="shared" si="16"/>
        <v>g</v>
      </c>
      <c r="L271" s="6" t="str">
        <f t="shared" si="17"/>
        <v>Lindt</v>
      </c>
      <c r="M271" s="6" t="str">
        <f t="shared" si="18"/>
        <v>Excellence Noir Orange Intense</v>
      </c>
      <c r="N271" s="6" t="str">
        <f t="shared" si="19"/>
        <v>Canada,France</v>
      </c>
    </row>
    <row r="272" spans="1:14" x14ac:dyDescent="0.25">
      <c r="A272" s="6" t="s">
        <v>790</v>
      </c>
      <c r="B272" s="6">
        <v>6671</v>
      </c>
      <c r="C272" s="6" t="s">
        <v>7071</v>
      </c>
      <c r="D272" s="7" t="s">
        <v>7030</v>
      </c>
      <c r="E272" s="6" t="s">
        <v>151</v>
      </c>
      <c r="F272" s="6" t="s">
        <v>8453</v>
      </c>
      <c r="G272" s="8">
        <v>45745</v>
      </c>
      <c r="H272" s="6">
        <v>21.38</v>
      </c>
      <c r="I272" s="6" cm="1">
        <f t="array" ref="I272">IFERROR(VALUE(TRIM(LEFT(E272,MIN(FIND({" ";"g";"k";"m";"o"},E272&amp;" gkmo"))-1))),0)</f>
        <v>200</v>
      </c>
      <c r="J272" s="6" t="str" cm="1">
        <f t="array" ref="J272">IFERROR(TRIM(MID(E272,MIN(FIND({" ";"g";"k";"m";"o"},E272&amp;" gkmo")),10)),"unknown")</f>
        <v>g</v>
      </c>
      <c r="K272" s="6" t="str">
        <f t="shared" si="16"/>
        <v>g</v>
      </c>
      <c r="L272" s="6" t="str">
        <f t="shared" si="17"/>
        <v>Gerblé</v>
      </c>
      <c r="M272" s="6" t="str">
        <f t="shared" si="18"/>
        <v>Crousti'Son Miel Ðÿ¯ÐÿSésame</v>
      </c>
      <c r="N272" s="6" t="str">
        <f t="shared" si="19"/>
        <v>France, La Reunion, Switzerland</v>
      </c>
    </row>
    <row r="273" spans="1:14" x14ac:dyDescent="0.25">
      <c r="A273" s="6" t="s">
        <v>791</v>
      </c>
      <c r="B273" s="6">
        <v>6678</v>
      </c>
      <c r="C273" s="6" t="s">
        <v>792</v>
      </c>
      <c r="D273" s="7" t="s">
        <v>793</v>
      </c>
      <c r="E273" s="6" t="s">
        <v>262</v>
      </c>
      <c r="F273" s="6" t="s">
        <v>8255</v>
      </c>
      <c r="G273" s="8">
        <v>45754</v>
      </c>
      <c r="H273" s="6">
        <v>13.16</v>
      </c>
      <c r="I273" s="6" cm="1">
        <f t="array" ref="I273">IFERROR(VALUE(TRIM(LEFT(E273,MIN(FIND({" ";"g";"k";"m";"o"},E273&amp;" gkmo"))-1))),0)</f>
        <v>165</v>
      </c>
      <c r="J273" s="6" t="str" cm="1">
        <f t="array" ref="J273">IFERROR(TRIM(MID(E273,MIN(FIND({" ";"g";"k";"m";"o"},E273&amp;" gkmo")),10)),"unknown")</f>
        <v>g</v>
      </c>
      <c r="K273" s="6" t="str">
        <f t="shared" si="16"/>
        <v>g</v>
      </c>
      <c r="L273" s="6" t="str">
        <f t="shared" si="17"/>
        <v>Pringles</v>
      </c>
      <c r="M273" s="6" t="str">
        <f t="shared" si="18"/>
        <v>Pringles Hot &amp; Spicy</v>
      </c>
      <c r="N273" s="6" t="str">
        <f t="shared" si="19"/>
        <v>Croatie,France,Germany,Morocco,Roumanie</v>
      </c>
    </row>
    <row r="274" spans="1:14" x14ac:dyDescent="0.25">
      <c r="A274" s="6" t="s">
        <v>794</v>
      </c>
      <c r="B274" s="6">
        <v>10925</v>
      </c>
      <c r="C274" s="6" t="s">
        <v>795</v>
      </c>
      <c r="D274" s="7" t="s">
        <v>796</v>
      </c>
      <c r="E274" s="6" t="s">
        <v>797</v>
      </c>
      <c r="F274" s="6" t="s">
        <v>177</v>
      </c>
      <c r="G274" s="8">
        <v>45757</v>
      </c>
      <c r="H274" s="6">
        <v>13.16</v>
      </c>
      <c r="I274" s="6" cm="1">
        <f t="array" ref="I274">IFERROR(VALUE(TRIM(LEFT(E274,MIN(FIND({" ";"g";"k";"m";"o"},E274&amp;" gkmo"))-1))),0)</f>
        <v>6</v>
      </c>
      <c r="J274" s="6" t="str" cm="1">
        <f t="array" ref="J274">IFERROR(TRIM(MID(E274,MIN(FIND({" ";"g";"k";"m";"o"},E274&amp;" gkmo")),10)),"unknown")</f>
        <v>x 25g</v>
      </c>
      <c r="K274" s="6" t="str">
        <f t="shared" si="16"/>
        <v>g</v>
      </c>
      <c r="L274" s="6" t="str">
        <f t="shared" si="17"/>
        <v>Seabrook</v>
      </c>
      <c r="M274" s="6" t="str">
        <f t="shared" si="18"/>
        <v>Sea Salted</v>
      </c>
      <c r="N274" s="6" t="str">
        <f t="shared" si="19"/>
        <v>United Kingdom</v>
      </c>
    </row>
    <row r="275" spans="1:14" x14ac:dyDescent="0.25">
      <c r="A275" s="6" t="s">
        <v>798</v>
      </c>
      <c r="B275" s="6">
        <v>12292</v>
      </c>
      <c r="C275" s="6" t="s">
        <v>7072</v>
      </c>
      <c r="D275" s="7" t="s">
        <v>799</v>
      </c>
      <c r="E275" s="6" t="s">
        <v>800</v>
      </c>
      <c r="F275" s="6" t="s">
        <v>801</v>
      </c>
      <c r="G275" s="8">
        <v>46057</v>
      </c>
      <c r="H275" s="6">
        <v>18.760000000000002</v>
      </c>
      <c r="I275" s="6" cm="1">
        <f t="array" ref="I275">IFERROR(VALUE(TRIM(LEFT(E275,MIN(FIND({" ";"g";"k";"m";"o"},E275&amp;" gkmo"))-1))),0)</f>
        <v>390</v>
      </c>
      <c r="J275" s="6" t="str" cm="1">
        <f t="array" ref="J275">IFERROR(TRIM(MID(E275,MIN(FIND({" ";"g";"k";"m";"o"},E275&amp;" gkmo")),10)),"unknown")</f>
        <v>g</v>
      </c>
      <c r="K275" s="6" t="str">
        <f t="shared" si="16"/>
        <v>g</v>
      </c>
      <c r="L275" s="6" t="str">
        <f t="shared" si="17"/>
        <v>Kinder,Ferrero</v>
      </c>
      <c r="M275" s="6" t="str">
        <f t="shared" si="18"/>
        <v>Kinder Délice 10-Pack</v>
      </c>
      <c r="N275" s="6" t="str">
        <f t="shared" si="19"/>
        <v>France,Germany,Italy,Morocco</v>
      </c>
    </row>
    <row r="276" spans="1:14" x14ac:dyDescent="0.25">
      <c r="A276" s="6" t="s">
        <v>802</v>
      </c>
      <c r="B276" s="6">
        <v>8552</v>
      </c>
      <c r="C276" s="6" t="s">
        <v>7073</v>
      </c>
      <c r="D276" s="7" t="s">
        <v>72</v>
      </c>
      <c r="E276" s="6"/>
      <c r="F276" s="6" t="s">
        <v>139</v>
      </c>
      <c r="G276" s="8">
        <v>46037</v>
      </c>
      <c r="H276" s="6">
        <v>3.34</v>
      </c>
      <c r="I276" s="6" cm="1">
        <f t="array" ref="I276">IFERROR(VALUE(TRIM(LEFT(E276,MIN(FIND({" ";"g";"k";"m";"o"},E276&amp;" gkmo"))-1))),0)</f>
        <v>0</v>
      </c>
      <c r="J276" s="6" t="str" cm="1">
        <f t="array" ref="J276">IFERROR(TRIM(MID(E276,MIN(FIND({" ";"g";"k";"m";"o"},E276&amp;" gkmo")),10)),"unknown")</f>
        <v/>
      </c>
      <c r="K276" s="6" t="str">
        <f t="shared" si="16"/>
        <v>unknown</v>
      </c>
      <c r="L276" s="6" t="str">
        <f t="shared" si="17"/>
        <v>Bjorg</v>
      </c>
      <c r="M276" s="6" t="str">
        <f t="shared" si="18"/>
        <v>Fourrés Chocolat Lait Noisettes</v>
      </c>
      <c r="N276" s="6" t="str">
        <f t="shared" si="19"/>
        <v>France</v>
      </c>
    </row>
    <row r="277" spans="1:14" x14ac:dyDescent="0.25">
      <c r="A277" s="6" t="s">
        <v>803</v>
      </c>
      <c r="B277" s="6">
        <v>7791</v>
      </c>
      <c r="C277" s="6" t="s">
        <v>804</v>
      </c>
      <c r="D277" s="7" t="s">
        <v>7017</v>
      </c>
      <c r="E277" s="6"/>
      <c r="F277" s="6" t="s">
        <v>2232</v>
      </c>
      <c r="G277" s="8">
        <v>45550</v>
      </c>
      <c r="H277" s="6">
        <v>15.46</v>
      </c>
      <c r="I277" s="6" cm="1">
        <f t="array" ref="I277">IFERROR(VALUE(TRIM(LEFT(E277,MIN(FIND({" ";"g";"k";"m";"o"},E277&amp;" gkmo"))-1))),0)</f>
        <v>0</v>
      </c>
      <c r="J277" s="6" t="str" cm="1">
        <f t="array" ref="J277">IFERROR(TRIM(MID(E277,MIN(FIND({" ";"g";"k";"m";"o"},E277&amp;" gkmo")),10)),"unknown")</f>
        <v/>
      </c>
      <c r="K277" s="6" t="str">
        <f t="shared" si="16"/>
        <v>unknown</v>
      </c>
      <c r="L277" s="6" t="str">
        <f t="shared" si="17"/>
        <v>Unknown</v>
      </c>
      <c r="M277" s="6" t="str">
        <f t="shared" si="18"/>
        <v>Tartines Craquantes Au Sarrasin</v>
      </c>
      <c r="N277" s="6" t="str">
        <f t="shared" si="19"/>
        <v>Belgium,France,Spain,Switzerland</v>
      </c>
    </row>
    <row r="278" spans="1:14" x14ac:dyDescent="0.25">
      <c r="A278" s="6" t="s">
        <v>805</v>
      </c>
      <c r="B278" s="6">
        <v>7030</v>
      </c>
      <c r="C278" s="6" t="s">
        <v>806</v>
      </c>
      <c r="D278" s="7" t="s">
        <v>7017</v>
      </c>
      <c r="E278" s="6"/>
      <c r="F278" s="6" t="s">
        <v>860</v>
      </c>
      <c r="G278" s="8">
        <v>46026</v>
      </c>
      <c r="H278" s="6">
        <v>10.24</v>
      </c>
      <c r="I278" s="6" cm="1">
        <f t="array" ref="I278">IFERROR(VALUE(TRIM(LEFT(E278,MIN(FIND({" ";"g";"k";"m";"o"},E278&amp;" gkmo"))-1))),0)</f>
        <v>0</v>
      </c>
      <c r="J278" s="6" t="str" cm="1">
        <f t="array" ref="J278">IFERROR(TRIM(MID(E278,MIN(FIND({" ";"g";"k";"m";"o"},E278&amp;" gkmo")),10)),"unknown")</f>
        <v/>
      </c>
      <c r="K278" s="6" t="str">
        <f t="shared" si="16"/>
        <v>unknown</v>
      </c>
      <c r="L278" s="6" t="str">
        <f t="shared" si="17"/>
        <v>Unknown</v>
      </c>
      <c r="M278" s="6" t="str">
        <f t="shared" si="18"/>
        <v>Hohos</v>
      </c>
      <c r="N278" s="6" t="str">
        <f t="shared" si="19"/>
        <v>Ma</v>
      </c>
    </row>
    <row r="279" spans="1:14" x14ac:dyDescent="0.25">
      <c r="A279" s="6" t="s">
        <v>807</v>
      </c>
      <c r="B279" s="6">
        <v>8824</v>
      </c>
      <c r="C279" s="6" t="s">
        <v>808</v>
      </c>
      <c r="D279" s="7" t="s">
        <v>587</v>
      </c>
      <c r="E279" s="6" t="s">
        <v>809</v>
      </c>
      <c r="F279" s="6" t="s">
        <v>2973</v>
      </c>
      <c r="G279" s="8">
        <v>45888</v>
      </c>
      <c r="H279" s="6">
        <v>6.98</v>
      </c>
      <c r="I279" s="6" cm="1">
        <f t="array" ref="I279">IFERROR(VALUE(TRIM(LEFT(E279,MIN(FIND({" ";"g";"k";"m";"o"},E279&amp;" gkmo"))-1))),0)</f>
        <v>4</v>
      </c>
      <c r="J279" s="6" t="str" cm="1">
        <f t="array" ref="J279">IFERROR(TRIM(MID(E279,MIN(FIND({" ";"g";"k";"m";"o"},E279&amp;" gkmo")),10)),"unknown")</f>
        <v>x 30g</v>
      </c>
      <c r="K279" s="6" t="str">
        <f t="shared" si="16"/>
        <v>g</v>
      </c>
      <c r="L279" s="6" t="str">
        <f t="shared" si="17"/>
        <v>Graze</v>
      </c>
      <c r="M279" s="6" t="str">
        <f t="shared" si="18"/>
        <v>Lemon Blueberry Oat Boosts</v>
      </c>
      <c r="N279" s="6" t="str">
        <f t="shared" si="19"/>
        <v>Gb</v>
      </c>
    </row>
    <row r="280" spans="1:14" x14ac:dyDescent="0.25">
      <c r="A280" s="6" t="s">
        <v>810</v>
      </c>
      <c r="B280" s="6">
        <v>5813</v>
      </c>
      <c r="C280" s="6" t="s">
        <v>294</v>
      </c>
      <c r="D280" s="7" t="s">
        <v>811</v>
      </c>
      <c r="E280" s="6" t="s">
        <v>87</v>
      </c>
      <c r="F280" s="6" t="s">
        <v>48</v>
      </c>
      <c r="G280" s="8">
        <v>45718</v>
      </c>
      <c r="H280" s="6">
        <v>12.78</v>
      </c>
      <c r="I280" s="6" cm="1">
        <f t="array" ref="I280">IFERROR(VALUE(TRIM(LEFT(E280,MIN(FIND({" ";"g";"k";"m";"o"},E280&amp;" gkmo"))-1))),0)</f>
        <v>36</v>
      </c>
      <c r="J280" s="6" t="str" cm="1">
        <f t="array" ref="J280">IFERROR(TRIM(MID(E280,MIN(FIND({" ";"g";"k";"m";"o"},E280&amp;" gkmo")),10)),"unknown")</f>
        <v>g</v>
      </c>
      <c r="K280" s="6" t="str">
        <f t="shared" si="16"/>
        <v>g</v>
      </c>
      <c r="L280" s="6" t="str">
        <f t="shared" si="17"/>
        <v>Merendina</v>
      </c>
      <c r="M280" s="6" t="str">
        <f t="shared" si="18"/>
        <v>Bimo</v>
      </c>
      <c r="N280" s="6" t="str">
        <f t="shared" si="19"/>
        <v>Morocco</v>
      </c>
    </row>
    <row r="281" spans="1:14" x14ac:dyDescent="0.25">
      <c r="A281" s="6" t="s">
        <v>812</v>
      </c>
      <c r="B281" s="6">
        <v>6058</v>
      </c>
      <c r="C281" s="6" t="s">
        <v>813</v>
      </c>
      <c r="D281" s="7" t="s">
        <v>814</v>
      </c>
      <c r="E281" s="6"/>
      <c r="F281" s="6" t="s">
        <v>48</v>
      </c>
      <c r="G281" s="8">
        <v>45496</v>
      </c>
      <c r="H281" s="6">
        <v>16.2</v>
      </c>
      <c r="I281" s="6" cm="1">
        <f t="array" ref="I281">IFERROR(VALUE(TRIM(LEFT(E281,MIN(FIND({" ";"g";"k";"m";"o"},E281&amp;" gkmo"))-1))),0)</f>
        <v>0</v>
      </c>
      <c r="J281" s="6" t="str" cm="1">
        <f t="array" ref="J281">IFERROR(TRIM(MID(E281,MIN(FIND({" ";"g";"k";"m";"o"},E281&amp;" gkmo")),10)),"unknown")</f>
        <v/>
      </c>
      <c r="K281" s="6" t="str">
        <f t="shared" si="16"/>
        <v>unknown</v>
      </c>
      <c r="L281" s="6" t="str">
        <f t="shared" si="17"/>
        <v>Mondelez</v>
      </c>
      <c r="M281" s="6" t="str">
        <f t="shared" si="18"/>
        <v>Oreo Original</v>
      </c>
      <c r="N281" s="6" t="str">
        <f t="shared" si="19"/>
        <v>Morocco</v>
      </c>
    </row>
    <row r="282" spans="1:14" x14ac:dyDescent="0.25">
      <c r="A282" s="6" t="s">
        <v>815</v>
      </c>
      <c r="B282" s="6">
        <v>11324</v>
      </c>
      <c r="C282" s="6" t="s">
        <v>816</v>
      </c>
      <c r="D282" s="7" t="s">
        <v>817</v>
      </c>
      <c r="E282" s="6"/>
      <c r="F282" s="6" t="s">
        <v>400</v>
      </c>
      <c r="G282" s="8">
        <v>45753</v>
      </c>
      <c r="H282" s="6">
        <v>18.84</v>
      </c>
      <c r="I282" s="6" cm="1">
        <f t="array" ref="I282">IFERROR(VALUE(TRIM(LEFT(E282,MIN(FIND({" ";"g";"k";"m";"o"},E282&amp;" gkmo"))-1))),0)</f>
        <v>0</v>
      </c>
      <c r="J282" s="6" t="str" cm="1">
        <f t="array" ref="J282">IFERROR(TRIM(MID(E282,MIN(FIND({" ";"g";"k";"m";"o"},E282&amp;" gkmo")),10)),"unknown")</f>
        <v/>
      </c>
      <c r="K282" s="6" t="str">
        <f t="shared" si="16"/>
        <v>unknown</v>
      </c>
      <c r="L282" s="6" t="str">
        <f t="shared" si="17"/>
        <v>Soreen</v>
      </c>
      <c r="M282" s="6" t="str">
        <f t="shared" si="18"/>
        <v>Malt Loaf</v>
      </c>
      <c r="N282" s="6" t="str">
        <f t="shared" si="19"/>
        <v>France,United Kingdom</v>
      </c>
    </row>
    <row r="283" spans="1:14" x14ac:dyDescent="0.25">
      <c r="A283" s="6" t="s">
        <v>818</v>
      </c>
      <c r="B283" s="6">
        <v>10622</v>
      </c>
      <c r="C283" s="6" t="s">
        <v>819</v>
      </c>
      <c r="D283" s="7" t="s">
        <v>173</v>
      </c>
      <c r="E283" s="6" t="s">
        <v>123</v>
      </c>
      <c r="F283" s="6" t="s">
        <v>8329</v>
      </c>
      <c r="G283" s="8">
        <v>45437</v>
      </c>
      <c r="H283" s="6">
        <v>14.96</v>
      </c>
      <c r="I283" s="6" cm="1">
        <f t="array" ref="I283">IFERROR(VALUE(TRIM(LEFT(E283,MIN(FIND({" ";"g";"k";"m";"o"},E283&amp;" gkmo"))-1))),0)</f>
        <v>50</v>
      </c>
      <c r="J283" s="6" t="str" cm="1">
        <f t="array" ref="J283">IFERROR(TRIM(MID(E283,MIN(FIND({" ";"g";"k";"m";"o"},E283&amp;" gkmo")),10)),"unknown")</f>
        <v>g</v>
      </c>
      <c r="K283" s="6" t="str">
        <f t="shared" si="16"/>
        <v>g</v>
      </c>
      <c r="L283" s="6" t="str">
        <f t="shared" si="17"/>
        <v>Kinder</v>
      </c>
      <c r="M283" s="6" t="str">
        <f t="shared" si="18"/>
        <v>Kinder Chocolate</v>
      </c>
      <c r="N283" s="6" t="str">
        <f t="shared" si="19"/>
        <v>Algeria,Australie,Brésil,France,Germany,Hong Kong,Hongrie,Italie,Lituanie,Morocco,Portugal,Roumanie,Spain,Switzerland</v>
      </c>
    </row>
    <row r="284" spans="1:14" x14ac:dyDescent="0.25">
      <c r="A284" s="6" t="s">
        <v>820</v>
      </c>
      <c r="B284" s="6">
        <v>14494</v>
      </c>
      <c r="C284" s="6" t="s">
        <v>821</v>
      </c>
      <c r="D284" s="7" t="s">
        <v>7053</v>
      </c>
      <c r="E284" s="6"/>
      <c r="F284" s="6" t="s">
        <v>822</v>
      </c>
      <c r="G284" s="8">
        <v>45799</v>
      </c>
      <c r="H284" s="6">
        <v>17.98</v>
      </c>
      <c r="I284" s="6" cm="1">
        <f t="array" ref="I284">IFERROR(VALUE(TRIM(LEFT(E284,MIN(FIND({" ";"g";"k";"m";"o"},E284&amp;" gkmo"))-1))),0)</f>
        <v>0</v>
      </c>
      <c r="J284" s="6" t="str" cm="1">
        <f t="array" ref="J284">IFERROR(TRIM(MID(E284,MIN(FIND({" ";"g";"k";"m";"o"},E284&amp;" gkmo")),10)),"unknown")</f>
        <v/>
      </c>
      <c r="K284" s="6" t="str">
        <f t="shared" si="16"/>
        <v>unknown</v>
      </c>
      <c r="L284" s="6" t="str">
        <f t="shared" si="17"/>
        <v>Fin Carré</v>
      </c>
      <c r="M284" s="6" t="str">
        <f t="shared" si="18"/>
        <v>Whole Nut Milk Chocolate</v>
      </c>
      <c r="N284" s="6" t="str">
        <f t="shared" si="19"/>
        <v>Bulgaria,France,Germany,Ireland,United Kingdom</v>
      </c>
    </row>
    <row r="285" spans="1:14" x14ac:dyDescent="0.25">
      <c r="A285" s="6" t="s">
        <v>823</v>
      </c>
      <c r="B285" s="6">
        <v>11667</v>
      </c>
      <c r="C285" s="6" t="s">
        <v>824</v>
      </c>
      <c r="D285" s="7" t="s">
        <v>825</v>
      </c>
      <c r="E285" s="6" t="s">
        <v>14</v>
      </c>
      <c r="F285" s="6" t="s">
        <v>7941</v>
      </c>
      <c r="G285" s="8">
        <v>45660</v>
      </c>
      <c r="H285" s="6">
        <v>12.52</v>
      </c>
      <c r="I285" s="6" cm="1">
        <f t="array" ref="I285">IFERROR(VALUE(TRIM(LEFT(E285,MIN(FIND({" ";"g";"k";"m";"o"},E285&amp;" gkmo"))-1))),0)</f>
        <v>300</v>
      </c>
      <c r="J285" s="6" t="str" cm="1">
        <f t="array" ref="J285">IFERROR(TRIM(MID(E285,MIN(FIND({" ";"g";"k";"m";"o"},E285&amp;" gkmo")),10)),"unknown")</f>
        <v>g</v>
      </c>
      <c r="K285" s="6" t="str">
        <f t="shared" si="16"/>
        <v>g</v>
      </c>
      <c r="L285" s="6" t="str">
        <f t="shared" si="17"/>
        <v>Galletas Gullon</v>
      </c>
      <c r="M285" s="6" t="str">
        <f t="shared" si="18"/>
        <v>Cuor Di Cereale</v>
      </c>
      <c r="N285" s="6" t="str">
        <f t="shared" si="19"/>
        <v>Bulgaria, France, Italy, Morocco, Romania</v>
      </c>
    </row>
    <row r="286" spans="1:14" x14ac:dyDescent="0.25">
      <c r="A286" s="6" t="s">
        <v>826</v>
      </c>
      <c r="B286" s="6">
        <v>9429</v>
      </c>
      <c r="C286" s="6" t="s">
        <v>827</v>
      </c>
      <c r="D286" s="7" t="s">
        <v>828</v>
      </c>
      <c r="E286" s="6" t="s">
        <v>676</v>
      </c>
      <c r="F286" s="6" t="s">
        <v>7942</v>
      </c>
      <c r="G286" s="8">
        <v>45561</v>
      </c>
      <c r="H286" s="6">
        <v>1.92</v>
      </c>
      <c r="I286" s="6" cm="1">
        <f t="array" ref="I286">IFERROR(VALUE(TRIM(LEFT(E286,MIN(FIND({" ";"g";"k";"m";"o"},E286&amp;" gkmo"))-1))),0)</f>
        <v>180</v>
      </c>
      <c r="J286" s="6" t="str" cm="1">
        <f t="array" ref="J286">IFERROR(TRIM(MID(E286,MIN(FIND({" ";"g";"k";"m";"o"},E286&amp;" gkmo")),10)),"unknown")</f>
        <v>g</v>
      </c>
      <c r="K286" s="6" t="str">
        <f t="shared" si="16"/>
        <v>g</v>
      </c>
      <c r="L286" s="6" t="str">
        <f t="shared" si="17"/>
        <v>Tony'S Chocolonely</v>
      </c>
      <c r="M286" s="6" t="str">
        <f t="shared" si="18"/>
        <v>Milk Chocolate</v>
      </c>
      <c r="N286" s="6" t="str">
        <f t="shared" si="19"/>
        <v>United Kingdom,United-Kingdom</v>
      </c>
    </row>
    <row r="287" spans="1:14" x14ac:dyDescent="0.25">
      <c r="A287" s="6" t="s">
        <v>829</v>
      </c>
      <c r="B287" s="6">
        <v>12529</v>
      </c>
      <c r="C287" s="6" t="s">
        <v>830</v>
      </c>
      <c r="D287" s="7" t="s">
        <v>587</v>
      </c>
      <c r="E287" s="6" t="s">
        <v>18</v>
      </c>
      <c r="F287" s="6" t="s">
        <v>177</v>
      </c>
      <c r="G287" s="8">
        <v>45679</v>
      </c>
      <c r="H287" s="6">
        <v>13.16</v>
      </c>
      <c r="I287" s="6" cm="1">
        <f t="array" ref="I287">IFERROR(VALUE(TRIM(LEFT(E287,MIN(FIND({" ";"g";"k";"m";"o"},E287&amp;" gkmo"))-1))),0)</f>
        <v>100</v>
      </c>
      <c r="J287" s="6" t="str" cm="1">
        <f t="array" ref="J287">IFERROR(TRIM(MID(E287,MIN(FIND({" ";"g";"k";"m";"o"},E287&amp;" gkmo")),10)),"unknown")</f>
        <v>g</v>
      </c>
      <c r="K287" s="6" t="str">
        <f t="shared" si="16"/>
        <v>g</v>
      </c>
      <c r="L287" s="6" t="str">
        <f t="shared" si="17"/>
        <v>Graze</v>
      </c>
      <c r="M287" s="6" t="str">
        <f t="shared" si="18"/>
        <v>Smoky Barbecue Crunch</v>
      </c>
      <c r="N287" s="6" t="str">
        <f t="shared" si="19"/>
        <v>United Kingdom</v>
      </c>
    </row>
    <row r="288" spans="1:14" x14ac:dyDescent="0.25">
      <c r="A288" s="6" t="s">
        <v>831</v>
      </c>
      <c r="B288" s="6">
        <v>14213</v>
      </c>
      <c r="C288" s="6" t="s">
        <v>7074</v>
      </c>
      <c r="D288" s="7" t="s">
        <v>7030</v>
      </c>
      <c r="E288" s="6" t="s">
        <v>772</v>
      </c>
      <c r="F288" s="6" t="s">
        <v>8330</v>
      </c>
      <c r="G288" s="8">
        <v>45716</v>
      </c>
      <c r="H288" s="6">
        <v>20.37</v>
      </c>
      <c r="I288" s="6" cm="1">
        <f t="array" ref="I288">IFERROR(VALUE(TRIM(LEFT(E288,MIN(FIND({" ";"g";"k";"m";"o"},E288&amp;" gkmo"))-1))),0)</f>
        <v>132</v>
      </c>
      <c r="J288" s="6" t="str" cm="1">
        <f t="array" ref="J288">IFERROR(TRIM(MID(E288,MIN(FIND({" ";"g";"k";"m";"o"},E288&amp;" gkmo")),10)),"unknown")</f>
        <v>g</v>
      </c>
      <c r="K288" s="6" t="str">
        <f t="shared" si="16"/>
        <v>g</v>
      </c>
      <c r="L288" s="6" t="str">
        <f t="shared" si="17"/>
        <v>Gerblé</v>
      </c>
      <c r="M288" s="6" t="str">
        <f t="shared" si="18"/>
        <v>Sablé Nature Sans Sucres</v>
      </c>
      <c r="N288" s="6" t="str">
        <f t="shared" si="19"/>
        <v>France,Switzerland,États-Unis</v>
      </c>
    </row>
    <row r="289" spans="1:14" x14ac:dyDescent="0.25">
      <c r="A289" s="6" t="s">
        <v>832</v>
      </c>
      <c r="B289" s="6">
        <v>5948</v>
      </c>
      <c r="C289" s="6" t="s">
        <v>833</v>
      </c>
      <c r="D289" s="7" t="s">
        <v>834</v>
      </c>
      <c r="E289" s="6" t="s">
        <v>835</v>
      </c>
      <c r="F289" s="6" t="s">
        <v>7943</v>
      </c>
      <c r="G289" s="8">
        <v>45625</v>
      </c>
      <c r="H289" s="6">
        <v>15.29</v>
      </c>
      <c r="I289" s="6" cm="1">
        <f t="array" ref="I289">IFERROR(VALUE(TRIM(LEFT(E289,MIN(FIND({" ";"g";"k";"m";"o"},E289&amp;" gkmo"))-1))),0)</f>
        <v>31</v>
      </c>
      <c r="J289" s="6" t="str" cm="1">
        <f t="array" ref="J289">IFERROR(TRIM(MID(E289,MIN(FIND({" ";"g";"k";"m";"o"},E289&amp;" gkmo")),10)),"unknown")</f>
        <v>g</v>
      </c>
      <c r="K289" s="6" t="str">
        <f t="shared" si="16"/>
        <v>g</v>
      </c>
      <c r="L289" s="6" t="str">
        <f t="shared" si="17"/>
        <v>Break,Tiffany</v>
      </c>
      <c r="M289" s="6" t="str">
        <f t="shared" si="18"/>
        <v>Break Chocolate Fingers</v>
      </c>
      <c r="N289" s="6" t="str">
        <f t="shared" si="19"/>
        <v>Lebanon, Morocco</v>
      </c>
    </row>
    <row r="290" spans="1:14" x14ac:dyDescent="0.25">
      <c r="A290" s="6" t="s">
        <v>836</v>
      </c>
      <c r="B290" s="6">
        <v>10480</v>
      </c>
      <c r="C290" s="6" t="s">
        <v>837</v>
      </c>
      <c r="D290" s="7" t="s">
        <v>7589</v>
      </c>
      <c r="E290" s="6" t="s">
        <v>373</v>
      </c>
      <c r="F290" s="6" t="s">
        <v>8396</v>
      </c>
      <c r="G290" s="8">
        <v>46056</v>
      </c>
      <c r="H290" s="6">
        <v>23.2</v>
      </c>
      <c r="I290" s="6" cm="1">
        <f t="array" ref="I290">IFERROR(VALUE(TRIM(LEFT(E290,MIN(FIND({" ";"g";"k";"m";"o"},E290&amp;" gkmo"))-1))),0)</f>
        <v>260</v>
      </c>
      <c r="J290" s="6" t="str" cm="1">
        <f t="array" ref="J290">IFERROR(TRIM(MID(E290,MIN(FIND({" ";"g";"k";"m";"o"},E290&amp;" gkmo")),10)),"unknown")</f>
        <v>g</v>
      </c>
      <c r="K290" s="6" t="str">
        <f t="shared" si="16"/>
        <v>g</v>
      </c>
      <c r="L290" s="6" t="str">
        <f t="shared" si="17"/>
        <v>Pà¥Gen,Gifflar</v>
      </c>
      <c r="M290" s="6" t="str">
        <f t="shared" si="18"/>
        <v>Gifflar Cannelle</v>
      </c>
      <c r="N290" s="6" t="str">
        <f t="shared" si="19"/>
        <v>France,Germany,Italia,Paà­Ses Bajos,Espaà±A,United Kingdom</v>
      </c>
    </row>
    <row r="291" spans="1:14" x14ac:dyDescent="0.25">
      <c r="A291" s="6" t="s">
        <v>838</v>
      </c>
      <c r="B291" s="6">
        <v>8165</v>
      </c>
      <c r="C291" s="6" t="s">
        <v>839</v>
      </c>
      <c r="D291" s="7" t="s">
        <v>72</v>
      </c>
      <c r="E291" s="6" t="s">
        <v>840</v>
      </c>
      <c r="F291" s="6" t="s">
        <v>8454</v>
      </c>
      <c r="G291" s="8">
        <v>46015</v>
      </c>
      <c r="H291" s="6">
        <v>13.16</v>
      </c>
      <c r="I291" s="6" cm="1">
        <f t="array" ref="I291">IFERROR(VALUE(TRIM(LEFT(E291,MIN(FIND({" ";"g";"k";"m";"o"},E291&amp;" gkmo"))-1))),0)</f>
        <v>175</v>
      </c>
      <c r="J291" s="6" t="str" cm="1">
        <f t="array" ref="J291">IFERROR(TRIM(MID(E291,MIN(FIND({" ";"g";"k";"m";"o"},E291&amp;" gkmo")),10)),"unknown")</f>
        <v>g</v>
      </c>
      <c r="K291" s="6" t="str">
        <f t="shared" si="16"/>
        <v>g</v>
      </c>
      <c r="L291" s="6" t="str">
        <f t="shared" si="17"/>
        <v>Bjorg</v>
      </c>
      <c r="M291" s="6" t="str">
        <f t="shared" si="18"/>
        <v>Gaufres Miel</v>
      </c>
      <c r="N291" s="6" t="str">
        <f t="shared" si="19"/>
        <v>Croatia,France,Morocco,New Caledonia,Reunion,Switzerland</v>
      </c>
    </row>
    <row r="292" spans="1:14" x14ac:dyDescent="0.25">
      <c r="A292" s="6" t="s">
        <v>841</v>
      </c>
      <c r="B292" s="6">
        <v>9445</v>
      </c>
      <c r="C292" s="6" t="s">
        <v>842</v>
      </c>
      <c r="D292" s="7" t="s">
        <v>843</v>
      </c>
      <c r="E292" s="6" t="s">
        <v>844</v>
      </c>
      <c r="F292" s="6" t="s">
        <v>845</v>
      </c>
      <c r="G292" s="8">
        <v>45959</v>
      </c>
      <c r="H292" s="6">
        <v>10.65</v>
      </c>
      <c r="I292" s="6" cm="1">
        <f t="array" ref="I292">IFERROR(VALUE(TRIM(LEFT(E292,MIN(FIND({" ";"g";"k";"m";"o"},E292&amp;" gkmo"))-1))),0)</f>
        <v>125</v>
      </c>
      <c r="J292" s="6" t="str" cm="1">
        <f t="array" ref="J292">IFERROR(TRIM(MID(E292,MIN(FIND({" ";"g";"k";"m";"o"},E292&amp;" gkmo")),10)),"unknown")</f>
        <v>gr</v>
      </c>
      <c r="K292" s="6" t="str">
        <f t="shared" si="16"/>
        <v>g</v>
      </c>
      <c r="L292" s="6" t="str">
        <f t="shared" si="17"/>
        <v>Tyrrell'S</v>
      </c>
      <c r="M292" s="6" t="str">
        <f t="shared" si="18"/>
        <v>Veg Crisps</v>
      </c>
      <c r="N292" s="6" t="str">
        <f t="shared" si="19"/>
        <v>France,Switzerland,Uk</v>
      </c>
    </row>
    <row r="293" spans="1:14" x14ac:dyDescent="0.25">
      <c r="A293" s="6" t="s">
        <v>846</v>
      </c>
      <c r="B293" s="6">
        <v>7706</v>
      </c>
      <c r="C293" s="6" t="s">
        <v>847</v>
      </c>
      <c r="D293" s="7" t="s">
        <v>47</v>
      </c>
      <c r="E293" s="6" t="s">
        <v>848</v>
      </c>
      <c r="F293" s="6" t="s">
        <v>48</v>
      </c>
      <c r="G293" s="8">
        <v>45447</v>
      </c>
      <c r="H293" s="6">
        <v>3</v>
      </c>
      <c r="I293" s="6" cm="1">
        <f t="array" ref="I293">IFERROR(VALUE(TRIM(LEFT(E293,MIN(FIND({" ";"g";"k";"m";"o"},E293&amp;" gkmo"))-1))),0)</f>
        <v>32</v>
      </c>
      <c r="J293" s="6" t="str" cm="1">
        <f t="array" ref="J293">IFERROR(TRIM(MID(E293,MIN(FIND({" ";"g";"k";"m";"o"},E293&amp;" gkmo")),10)),"unknown")</f>
        <v>g</v>
      </c>
      <c r="K293" s="6" t="str">
        <f t="shared" si="16"/>
        <v>g</v>
      </c>
      <c r="L293" s="6" t="str">
        <f t="shared" si="17"/>
        <v>Excelo</v>
      </c>
      <c r="M293" s="6" t="str">
        <f t="shared" si="18"/>
        <v>Top Cookies Original</v>
      </c>
      <c r="N293" s="6" t="str">
        <f t="shared" si="19"/>
        <v>Morocco</v>
      </c>
    </row>
    <row r="294" spans="1:14" x14ac:dyDescent="0.25">
      <c r="A294" s="6" t="s">
        <v>849</v>
      </c>
      <c r="B294" s="6">
        <v>14201</v>
      </c>
      <c r="C294" s="6" t="s">
        <v>850</v>
      </c>
      <c r="D294" s="7" t="s">
        <v>7590</v>
      </c>
      <c r="E294" s="6" t="s">
        <v>851</v>
      </c>
      <c r="F294" s="6" t="s">
        <v>7555</v>
      </c>
      <c r="G294" s="8">
        <v>45998</v>
      </c>
      <c r="H294" s="6">
        <v>16.14</v>
      </c>
      <c r="I294" s="6" cm="1">
        <f t="array" ref="I294">IFERROR(VALUE(TRIM(LEFT(E294,MIN(FIND({" ";"g";"k";"m";"o"},E294&amp;" gkmo"))-1))),0)</f>
        <v>250</v>
      </c>
      <c r="J294" s="6" t="str" cm="1">
        <f t="array" ref="J294">IFERROR(TRIM(MID(E294,MIN(FIND({" ";"g";"k";"m";"o"},E294&amp;" gkmo")),10)),"unknown")</f>
        <v>gram</v>
      </c>
      <c r="K294" s="6" t="str">
        <f t="shared" si="16"/>
        <v>g</v>
      </c>
      <c r="L294" s="6" t="str">
        <f t="shared" si="17"/>
        <v>Maà®Tre Jean Pierre</v>
      </c>
      <c r="M294" s="6" t="str">
        <f t="shared" si="18"/>
        <v>Tartines Craquantes Froment</v>
      </c>
      <c r="N294" s="6" t="str">
        <f t="shared" si="19"/>
        <v>België,Frankrijk,Duitsland</v>
      </c>
    </row>
    <row r="295" spans="1:14" x14ac:dyDescent="0.25">
      <c r="A295" s="6" t="s">
        <v>852</v>
      </c>
      <c r="B295" s="6">
        <v>11197</v>
      </c>
      <c r="C295" s="6" t="s">
        <v>853</v>
      </c>
      <c r="D295" s="7" t="s">
        <v>854</v>
      </c>
      <c r="E295" s="6" t="s">
        <v>855</v>
      </c>
      <c r="F295" s="6" t="s">
        <v>8277</v>
      </c>
      <c r="G295" s="8">
        <v>45746</v>
      </c>
      <c r="H295" s="6">
        <v>4.16</v>
      </c>
      <c r="I295" s="6" cm="1">
        <f t="array" ref="I295">IFERROR(VALUE(TRIM(LEFT(E295,MIN(FIND({" ";"g";"k";"m";"o"},E295&amp;" gkmo"))-1))),0)</f>
        <v>80</v>
      </c>
      <c r="J295" s="6" t="str" cm="1">
        <f t="array" ref="J295">IFERROR(TRIM(MID(E295,MIN(FIND({" ";"g";"k";"m";"o"},E295&amp;" gkmo")),10)),"unknown")</f>
        <v>g</v>
      </c>
      <c r="K295" s="6" t="str">
        <f t="shared" si="16"/>
        <v>g</v>
      </c>
      <c r="L295" s="6" t="str">
        <f t="shared" si="17"/>
        <v>Carrefour</v>
      </c>
      <c r="M295" s="6" t="str">
        <f t="shared" si="18"/>
        <v>80% Cacao Noir</v>
      </c>
      <c r="N295" s="6" t="str">
        <f t="shared" si="19"/>
        <v>France,Italie,Morocco,Spain</v>
      </c>
    </row>
    <row r="296" spans="1:14" x14ac:dyDescent="0.25">
      <c r="A296" s="6" t="s">
        <v>856</v>
      </c>
      <c r="B296" s="6">
        <v>10650</v>
      </c>
      <c r="C296" s="6" t="s">
        <v>857</v>
      </c>
      <c r="D296" s="7" t="s">
        <v>494</v>
      </c>
      <c r="E296" s="6" t="s">
        <v>340</v>
      </c>
      <c r="F296" s="6" t="s">
        <v>177</v>
      </c>
      <c r="G296" s="8">
        <v>45362</v>
      </c>
      <c r="H296" s="6">
        <v>14.72</v>
      </c>
      <c r="I296" s="6" cm="1">
        <f t="array" ref="I296">IFERROR(VALUE(TRIM(LEFT(E296,MIN(FIND({" ";"g";"k";"m";"o"},E296&amp;" gkmo"))-1))),0)</f>
        <v>4</v>
      </c>
      <c r="J296" s="6" t="str" cm="1">
        <f t="array" ref="J296">IFERROR(TRIM(MID(E296,MIN(FIND({" ";"g";"k";"m";"o"},E296&amp;" gkmo")),10)),"unknown")</f>
        <v>x 35g</v>
      </c>
      <c r="K296" s="6" t="str">
        <f t="shared" si="16"/>
        <v>g</v>
      </c>
      <c r="L296" s="6" t="str">
        <f t="shared" si="17"/>
        <v>NäKd</v>
      </c>
      <c r="M296" s="6" t="str">
        <f t="shared" si="18"/>
        <v>Peanut Delight</v>
      </c>
      <c r="N296" s="6" t="str">
        <f t="shared" si="19"/>
        <v>United Kingdom</v>
      </c>
    </row>
    <row r="297" spans="1:14" x14ac:dyDescent="0.25">
      <c r="A297" s="6" t="s">
        <v>858</v>
      </c>
      <c r="B297" s="6">
        <v>8305</v>
      </c>
      <c r="C297" s="6" t="s">
        <v>859</v>
      </c>
      <c r="D297" s="7" t="s">
        <v>47</v>
      </c>
      <c r="E297" s="6"/>
      <c r="F297" s="6" t="s">
        <v>860</v>
      </c>
      <c r="G297" s="8">
        <v>45654</v>
      </c>
      <c r="H297" s="6">
        <v>13.16</v>
      </c>
      <c r="I297" s="6" cm="1">
        <f t="array" ref="I297">IFERROR(VALUE(TRIM(LEFT(E297,MIN(FIND({" ";"g";"k";"m";"o"},E297&amp;" gkmo"))-1))),0)</f>
        <v>0</v>
      </c>
      <c r="J297" s="6" t="str" cm="1">
        <f t="array" ref="J297">IFERROR(TRIM(MID(E297,MIN(FIND({" ";"g";"k";"m";"o"},E297&amp;" gkmo")),10)),"unknown")</f>
        <v/>
      </c>
      <c r="K297" s="6" t="str">
        <f t="shared" si="16"/>
        <v>unknown</v>
      </c>
      <c r="L297" s="6" t="str">
        <f t="shared" si="17"/>
        <v>Excelo</v>
      </c>
      <c r="M297" s="6" t="str">
        <f t="shared" si="18"/>
        <v>Excelo Nougat</v>
      </c>
      <c r="N297" s="6" t="str">
        <f t="shared" si="19"/>
        <v>Ma</v>
      </c>
    </row>
    <row r="298" spans="1:14" x14ac:dyDescent="0.25">
      <c r="A298" s="6" t="s">
        <v>861</v>
      </c>
      <c r="B298" s="6">
        <v>8216</v>
      </c>
      <c r="C298" s="6" t="s">
        <v>862</v>
      </c>
      <c r="D298" s="7" t="s">
        <v>287</v>
      </c>
      <c r="E298" s="6" t="s">
        <v>335</v>
      </c>
      <c r="F298" s="6" t="s">
        <v>8331</v>
      </c>
      <c r="G298" s="8">
        <v>46024</v>
      </c>
      <c r="H298" s="6">
        <v>7.97</v>
      </c>
      <c r="I298" s="6" cm="1">
        <f t="array" ref="I298">IFERROR(VALUE(TRIM(LEFT(E298,MIN(FIND({" ";"g";"k";"m";"o"},E298&amp;" gkmo"))-1))),0)</f>
        <v>250</v>
      </c>
      <c r="J298" s="6" t="str" cm="1">
        <f t="array" ref="J298">IFERROR(TRIM(MID(E298,MIN(FIND({" ";"g";"k";"m";"o"},E298&amp;" gkmo")),10)),"unknown")</f>
        <v>g</v>
      </c>
      <c r="K298" s="6" t="str">
        <f t="shared" si="16"/>
        <v>g</v>
      </c>
      <c r="L298" s="6" t="str">
        <f t="shared" si="17"/>
        <v>Ferrero</v>
      </c>
      <c r="M298" s="6" t="str">
        <f t="shared" si="18"/>
        <v>Kinder Kinderini</v>
      </c>
      <c r="N298" s="6" t="str">
        <f t="shared" si="19"/>
        <v>France,Germany,Italie,Switzerland</v>
      </c>
    </row>
    <row r="299" spans="1:14" x14ac:dyDescent="0.25">
      <c r="A299" s="6" t="s">
        <v>863</v>
      </c>
      <c r="B299" s="6">
        <v>14693</v>
      </c>
      <c r="C299" s="6" t="s">
        <v>7017</v>
      </c>
      <c r="D299" s="7" t="s">
        <v>864</v>
      </c>
      <c r="E299" s="6"/>
      <c r="F299" s="6" t="s">
        <v>8397</v>
      </c>
      <c r="G299" s="8">
        <v>45596</v>
      </c>
      <c r="H299" s="6">
        <v>13.16</v>
      </c>
      <c r="I299" s="6" cm="1">
        <f t="array" ref="I299">IFERROR(VALUE(TRIM(LEFT(E299,MIN(FIND({" ";"g";"k";"m";"o"},E299&amp;" gkmo"))-1))),0)</f>
        <v>0</v>
      </c>
      <c r="J299" s="6" t="str" cm="1">
        <f t="array" ref="J299">IFERROR(TRIM(MID(E299,MIN(FIND({" ";"g";"k";"m";"o"},E299&amp;" gkmo")),10)),"unknown")</f>
        <v/>
      </c>
      <c r="K299" s="6" t="str">
        <f t="shared" si="16"/>
        <v>unknown</v>
      </c>
      <c r="L299" s="6" t="str">
        <f t="shared" si="17"/>
        <v>Ferrero Rocher,Ferrero</v>
      </c>
      <c r="M299" s="6" t="str">
        <f t="shared" si="18"/>
        <v>Unknown</v>
      </c>
      <c r="N299" s="6" t="str">
        <f t="shared" si="19"/>
        <v>Australia,Austria,Belgium,France,Marruecos,Espaà±A,Switzerland,United Kingdom,Estados Unidos</v>
      </c>
    </row>
    <row r="300" spans="1:14" x14ac:dyDescent="0.25">
      <c r="A300" s="6" t="s">
        <v>865</v>
      </c>
      <c r="B300" s="6">
        <v>12339</v>
      </c>
      <c r="C300" s="6" t="s">
        <v>866</v>
      </c>
      <c r="D300" s="7" t="s">
        <v>867</v>
      </c>
      <c r="E300" s="6" t="s">
        <v>649</v>
      </c>
      <c r="F300" s="6" t="s">
        <v>8223</v>
      </c>
      <c r="G300" s="8">
        <v>45943</v>
      </c>
      <c r="H300" s="6">
        <v>22.21</v>
      </c>
      <c r="I300" s="6" cm="1">
        <f t="array" ref="I300">IFERROR(VALUE(TRIM(LEFT(E300,MIN(FIND({" ";"g";"k";"m";"o"},E300&amp;" gkmo"))-1))),0)</f>
        <v>35</v>
      </c>
      <c r="J300" s="6" t="str" cm="1">
        <f t="array" ref="J300">IFERROR(TRIM(MID(E300,MIN(FIND({" ";"g";"k";"m";"o"},E300&amp;" gkmo")),10)),"unknown")</f>
        <v>g</v>
      </c>
      <c r="K300" s="6" t="str">
        <f t="shared" si="16"/>
        <v>g</v>
      </c>
      <c r="L300" s="6" t="str">
        <f t="shared" si="17"/>
        <v>Risi</v>
      </c>
      <c r="M300" s="6" t="str">
        <f t="shared" si="18"/>
        <v>Buscalios</v>
      </c>
      <c r="N300" s="6" t="str">
        <f t="shared" si="19"/>
        <v>France,Espaà±A, Morocco</v>
      </c>
    </row>
    <row r="301" spans="1:14" x14ac:dyDescent="0.25">
      <c r="A301" s="6" t="s">
        <v>868</v>
      </c>
      <c r="B301" s="6">
        <v>11533</v>
      </c>
      <c r="C301" s="6" t="s">
        <v>869</v>
      </c>
      <c r="D301" s="7" t="s">
        <v>870</v>
      </c>
      <c r="E301" s="6"/>
      <c r="F301" s="6" t="s">
        <v>48</v>
      </c>
      <c r="G301" s="8">
        <v>45468</v>
      </c>
      <c r="H301" s="6">
        <v>7.47</v>
      </c>
      <c r="I301" s="6" cm="1">
        <f t="array" ref="I301">IFERROR(VALUE(TRIM(LEFT(E301,MIN(FIND({" ";"g";"k";"m";"o"},E301&amp;" gkmo"))-1))),0)</f>
        <v>0</v>
      </c>
      <c r="J301" s="6" t="str" cm="1">
        <f t="array" ref="J301">IFERROR(TRIM(MID(E301,MIN(FIND({" ";"g";"k";"m";"o"},E301&amp;" gkmo")),10)),"unknown")</f>
        <v/>
      </c>
      <c r="K301" s="6" t="str">
        <f t="shared" si="16"/>
        <v>unknown</v>
      </c>
      <c r="L301" s="6" t="str">
        <f t="shared" si="17"/>
        <v>Reda Food</v>
      </c>
      <c r="M301" s="6" t="str">
        <f t="shared" si="18"/>
        <v>Biscuits Tacos</v>
      </c>
      <c r="N301" s="6" t="str">
        <f t="shared" si="19"/>
        <v>Morocco</v>
      </c>
    </row>
    <row r="302" spans="1:14" x14ac:dyDescent="0.25">
      <c r="A302" s="6" t="s">
        <v>871</v>
      </c>
      <c r="B302" s="6">
        <v>11007</v>
      </c>
      <c r="C302" s="6" t="s">
        <v>872</v>
      </c>
      <c r="D302" s="7" t="s">
        <v>578</v>
      </c>
      <c r="E302" s="6"/>
      <c r="F302" s="6" t="s">
        <v>2973</v>
      </c>
      <c r="G302" s="8">
        <v>45960</v>
      </c>
      <c r="H302" s="6">
        <v>3.88</v>
      </c>
      <c r="I302" s="6" cm="1">
        <f t="array" ref="I302">IFERROR(VALUE(TRIM(LEFT(E302,MIN(FIND({" ";"g";"k";"m";"o"},E302&amp;" gkmo"))-1))),0)</f>
        <v>0</v>
      </c>
      <c r="J302" s="6" t="str" cm="1">
        <f t="array" ref="J302">IFERROR(TRIM(MID(E302,MIN(FIND({" ";"g";"k";"m";"o"},E302&amp;" gkmo")),10)),"unknown")</f>
        <v/>
      </c>
      <c r="K302" s="6" t="str">
        <f t="shared" si="16"/>
        <v>unknown</v>
      </c>
      <c r="L302" s="6" t="str">
        <f t="shared" si="17"/>
        <v>Marks &amp; Spencer</v>
      </c>
      <c r="M302" s="6" t="str">
        <f t="shared" si="18"/>
        <v>Dark Chocolate 75%</v>
      </c>
      <c r="N302" s="6" t="str">
        <f t="shared" si="19"/>
        <v>Gb</v>
      </c>
    </row>
    <row r="303" spans="1:14" x14ac:dyDescent="0.25">
      <c r="A303" s="6" t="s">
        <v>873</v>
      </c>
      <c r="B303" s="6">
        <v>5025</v>
      </c>
      <c r="C303" s="6" t="s">
        <v>874</v>
      </c>
      <c r="D303" s="7" t="s">
        <v>150</v>
      </c>
      <c r="E303" s="6" t="s">
        <v>335</v>
      </c>
      <c r="F303" s="6" t="s">
        <v>8301</v>
      </c>
      <c r="G303" s="8">
        <v>45696</v>
      </c>
      <c r="H303" s="6">
        <v>21.93</v>
      </c>
      <c r="I303" s="6" cm="1">
        <f t="array" ref="I303">IFERROR(VALUE(TRIM(LEFT(E303,MIN(FIND({" ";"g";"k";"m";"o"},E303&amp;" gkmo"))-1))),0)</f>
        <v>250</v>
      </c>
      <c r="J303" s="6" t="str" cm="1">
        <f t="array" ref="J303">IFERROR(TRIM(MID(E303,MIN(FIND({" ";"g";"k";"m";"o"},E303&amp;" gkmo")),10)),"unknown")</f>
        <v>g</v>
      </c>
      <c r="K303" s="6" t="str">
        <f t="shared" si="16"/>
        <v>g</v>
      </c>
      <c r="L303" s="6" t="str">
        <f t="shared" si="17"/>
        <v>Alesto</v>
      </c>
      <c r="M303" s="6" t="str">
        <f t="shared" si="18"/>
        <v>Peanuts Roasted &amp; Salted</v>
      </c>
      <c r="N303" s="6" t="str">
        <f t="shared" si="19"/>
        <v>Belgium,Bulgarie,France,Hongrie,Spain,Suède</v>
      </c>
    </row>
    <row r="304" spans="1:14" x14ac:dyDescent="0.25">
      <c r="A304" s="6" t="s">
        <v>875</v>
      </c>
      <c r="B304" s="6">
        <v>14119</v>
      </c>
      <c r="C304" s="6" t="s">
        <v>876</v>
      </c>
      <c r="D304" s="7" t="s">
        <v>310</v>
      </c>
      <c r="E304" s="6" t="s">
        <v>39</v>
      </c>
      <c r="F304" s="6" t="s">
        <v>139</v>
      </c>
      <c r="G304" s="8">
        <v>45382</v>
      </c>
      <c r="H304" s="6">
        <v>1.02</v>
      </c>
      <c r="I304" s="6" cm="1">
        <f t="array" ref="I304">IFERROR(VALUE(TRIM(LEFT(E304,MIN(FIND({" ";"g";"k";"m";"o"},E304&amp;" gkmo"))-1))),0)</f>
        <v>150</v>
      </c>
      <c r="J304" s="6" t="str" cm="1">
        <f t="array" ref="J304">IFERROR(TRIM(MID(E304,MIN(FIND({" ";"g";"k";"m";"o"},E304&amp;" gkmo")),10)),"unknown")</f>
        <v>g</v>
      </c>
      <c r="K304" s="6" t="str">
        <f t="shared" si="16"/>
        <v>g</v>
      </c>
      <c r="L304" s="6" t="str">
        <f t="shared" si="17"/>
        <v>St Michel</v>
      </c>
      <c r="M304" s="6" t="str">
        <f t="shared" si="18"/>
        <v>Roudor</v>
      </c>
      <c r="N304" s="6" t="str">
        <f t="shared" si="19"/>
        <v>France</v>
      </c>
    </row>
    <row r="305" spans="1:14" x14ac:dyDescent="0.25">
      <c r="A305" s="6" t="s">
        <v>877</v>
      </c>
      <c r="B305" s="6">
        <v>9271</v>
      </c>
      <c r="C305" s="6" t="s">
        <v>7591</v>
      </c>
      <c r="D305" s="7" t="s">
        <v>7075</v>
      </c>
      <c r="E305" s="6" t="s">
        <v>39</v>
      </c>
      <c r="F305" s="6" t="s">
        <v>139</v>
      </c>
      <c r="G305" s="8">
        <v>45698</v>
      </c>
      <c r="H305" s="6">
        <v>5.7</v>
      </c>
      <c r="I305" s="6" cm="1">
        <f t="array" ref="I305">IFERROR(VALUE(TRIM(LEFT(E305,MIN(FIND({" ";"g";"k";"m";"o"},E305&amp;" gkmo"))-1))),0)</f>
        <v>150</v>
      </c>
      <c r="J305" s="6" t="str" cm="1">
        <f t="array" ref="J305">IFERROR(TRIM(MID(E305,MIN(FIND({" ";"g";"k";"m";"o"},E305&amp;" gkmo")),10)),"unknown")</f>
        <v>g</v>
      </c>
      <c r="K305" s="6" t="str">
        <f t="shared" si="16"/>
        <v>g</v>
      </c>
      <c r="L305" s="6" t="str">
        <f t="shared" si="17"/>
        <v>Jardin Bio, Léa Nature</v>
      </c>
      <c r="M305" s="6" t="str">
        <f t="shared" si="18"/>
        <v>Tartined Craquantes Chà¢Taigne</v>
      </c>
      <c r="N305" s="6" t="str">
        <f t="shared" si="19"/>
        <v>France</v>
      </c>
    </row>
    <row r="306" spans="1:14" x14ac:dyDescent="0.25">
      <c r="A306" s="6" t="s">
        <v>878</v>
      </c>
      <c r="B306" s="6">
        <v>14466</v>
      </c>
      <c r="C306" s="6" t="s">
        <v>879</v>
      </c>
      <c r="D306" s="7" t="s">
        <v>7033</v>
      </c>
      <c r="E306" s="6" t="s">
        <v>880</v>
      </c>
      <c r="F306" s="6" t="s">
        <v>860</v>
      </c>
      <c r="G306" s="8">
        <v>45410</v>
      </c>
      <c r="H306" s="6">
        <v>13.16</v>
      </c>
      <c r="I306" s="6" cm="1">
        <f t="array" ref="I306">IFERROR(VALUE(TRIM(LEFT(E306,MIN(FIND({" ";"g";"k";"m";"o"},E306&amp;" gkmo"))-1))),0)</f>
        <v>36.5</v>
      </c>
      <c r="J306" s="6" t="str" cm="1">
        <f t="array" ref="J306">IFERROR(TRIM(MID(E306,MIN(FIND({" ";"g";"k";"m";"o"},E306&amp;" gkmo")),10)),"unknown")</f>
        <v>g</v>
      </c>
      <c r="K306" s="6" t="str">
        <f t="shared" si="16"/>
        <v>g</v>
      </c>
      <c r="L306" s="6" t="str">
        <f t="shared" si="17"/>
        <v>Nestlé</v>
      </c>
      <c r="M306" s="6" t="str">
        <f t="shared" si="18"/>
        <v>Kitkat</v>
      </c>
      <c r="N306" s="6" t="str">
        <f t="shared" si="19"/>
        <v>Ma</v>
      </c>
    </row>
    <row r="307" spans="1:14" x14ac:dyDescent="0.25">
      <c r="A307" s="6" t="s">
        <v>881</v>
      </c>
      <c r="B307" s="6">
        <v>12770</v>
      </c>
      <c r="C307" s="6" t="s">
        <v>882</v>
      </c>
      <c r="D307" s="7" t="s">
        <v>630</v>
      </c>
      <c r="E307" s="6" t="s">
        <v>883</v>
      </c>
      <c r="F307" s="6" t="s">
        <v>48</v>
      </c>
      <c r="G307" s="8">
        <v>45912</v>
      </c>
      <c r="H307" s="6">
        <v>8.15</v>
      </c>
      <c r="I307" s="6" cm="1">
        <f t="array" ref="I307">IFERROR(VALUE(TRIM(LEFT(E307,MIN(FIND({" ";"g";"k";"m";"o"},E307&amp;" gkmo"))-1))),0)</f>
        <v>34</v>
      </c>
      <c r="J307" s="6" t="str" cm="1">
        <f t="array" ref="J307">IFERROR(TRIM(MID(E307,MIN(FIND({" ";"g";"k";"m";"o"},E307&amp;" gkmo")),10)),"unknown")</f>
        <v>g</v>
      </c>
      <c r="K307" s="6" t="str">
        <f t="shared" si="16"/>
        <v>g</v>
      </c>
      <c r="L307" s="6" t="str">
        <f t="shared" si="17"/>
        <v>Be</v>
      </c>
      <c r="M307" s="6" t="str">
        <f t="shared" si="18"/>
        <v>Crunchy</v>
      </c>
      <c r="N307" s="6" t="str">
        <f t="shared" si="19"/>
        <v>Morocco</v>
      </c>
    </row>
    <row r="308" spans="1:14" x14ac:dyDescent="0.25">
      <c r="A308" s="6" t="s">
        <v>884</v>
      </c>
      <c r="B308" s="6">
        <v>8359</v>
      </c>
      <c r="C308" s="6" t="s">
        <v>885</v>
      </c>
      <c r="D308" s="7" t="s">
        <v>886</v>
      </c>
      <c r="E308" s="6" t="s">
        <v>887</v>
      </c>
      <c r="F308" s="6" t="s">
        <v>139</v>
      </c>
      <c r="G308" s="8">
        <v>45734</v>
      </c>
      <c r="H308" s="6">
        <v>17.38</v>
      </c>
      <c r="I308" s="6" cm="1">
        <f t="array" ref="I308">IFERROR(VALUE(TRIM(LEFT(E308,MIN(FIND({" ";"g";"k";"m";"o"},E308&amp;" gkmo"))-1))),0)</f>
        <v>155</v>
      </c>
      <c r="J308" s="6" t="str" cm="1">
        <f t="array" ref="J308">IFERROR(TRIM(MID(E308,MIN(FIND({" ";"g";"k";"m";"o"},E308&amp;" gkmo")),10)),"unknown")</f>
        <v>g</v>
      </c>
      <c r="K308" s="6" t="str">
        <f t="shared" si="16"/>
        <v>g</v>
      </c>
      <c r="L308" s="6" t="str">
        <f t="shared" si="17"/>
        <v>Lays</v>
      </c>
      <c r="M308" s="6" t="str">
        <f t="shared" si="18"/>
        <v>Chips Recette Paysanne Nature</v>
      </c>
      <c r="N308" s="6" t="str">
        <f t="shared" si="19"/>
        <v>France</v>
      </c>
    </row>
    <row r="309" spans="1:14" x14ac:dyDescent="0.25">
      <c r="A309" s="6" t="s">
        <v>888</v>
      </c>
      <c r="B309" s="6">
        <v>9704</v>
      </c>
      <c r="C309" s="6" t="s">
        <v>889</v>
      </c>
      <c r="D309" s="7" t="s">
        <v>726</v>
      </c>
      <c r="E309" s="6"/>
      <c r="F309" s="6" t="s">
        <v>177</v>
      </c>
      <c r="G309" s="8">
        <v>46033</v>
      </c>
      <c r="H309" s="6">
        <v>2.11</v>
      </c>
      <c r="I309" s="6" cm="1">
        <f t="array" ref="I309">IFERROR(VALUE(TRIM(LEFT(E309,MIN(FIND({" ";"g";"k";"m";"o"},E309&amp;" gkmo"))-1))),0)</f>
        <v>0</v>
      </c>
      <c r="J309" s="6" t="str" cm="1">
        <f t="array" ref="J309">IFERROR(TRIM(MID(E309,MIN(FIND({" ";"g";"k";"m";"o"},E309&amp;" gkmo")),10)),"unknown")</f>
        <v/>
      </c>
      <c r="K309" s="6" t="str">
        <f t="shared" si="16"/>
        <v>unknown</v>
      </c>
      <c r="L309" s="6" t="str">
        <f t="shared" si="17"/>
        <v>Walkers</v>
      </c>
      <c r="M309" s="6" t="str">
        <f t="shared" si="18"/>
        <v>Ready Salted Crisps</v>
      </c>
      <c r="N309" s="6" t="str">
        <f t="shared" si="19"/>
        <v>United Kingdom</v>
      </c>
    </row>
    <row r="310" spans="1:14" x14ac:dyDescent="0.25">
      <c r="A310" s="6" t="s">
        <v>890</v>
      </c>
      <c r="B310" s="6">
        <v>12355</v>
      </c>
      <c r="C310" s="6" t="s">
        <v>891</v>
      </c>
      <c r="D310" s="7" t="s">
        <v>633</v>
      </c>
      <c r="E310" s="6" t="s">
        <v>892</v>
      </c>
      <c r="F310" s="6" t="s">
        <v>177</v>
      </c>
      <c r="G310" s="8">
        <v>45533</v>
      </c>
      <c r="H310" s="6">
        <v>9.84</v>
      </c>
      <c r="I310" s="6" cm="1">
        <f t="array" ref="I310">IFERROR(VALUE(TRIM(LEFT(E310,MIN(FIND({" ";"g";"k";"m";"o"},E310&amp;" gkmo"))-1))),0)</f>
        <v>4</v>
      </c>
      <c r="J310" s="6" t="str" cm="1">
        <f t="array" ref="J310">IFERROR(TRIM(MID(E310,MIN(FIND({" ";"g";"k";"m";"o"},E310&amp;" gkmo")),10)),"unknown")</f>
        <v>pouches o</v>
      </c>
      <c r="K310" s="6" t="str">
        <f t="shared" si="16"/>
        <v>g</v>
      </c>
      <c r="L310" s="6" t="str">
        <f t="shared" si="17"/>
        <v>Nairn'S</v>
      </c>
      <c r="M310" s="6" t="str">
        <f t="shared" si="18"/>
        <v>Fine Milled Oatcakes</v>
      </c>
      <c r="N310" s="6" t="str">
        <f t="shared" si="19"/>
        <v>United Kingdom</v>
      </c>
    </row>
    <row r="311" spans="1:14" x14ac:dyDescent="0.25">
      <c r="A311" s="6" t="s">
        <v>893</v>
      </c>
      <c r="B311" s="6">
        <v>14617</v>
      </c>
      <c r="C311" s="6" t="s">
        <v>7592</v>
      </c>
      <c r="D311" s="7" t="s">
        <v>7017</v>
      </c>
      <c r="E311" s="6" t="s">
        <v>894</v>
      </c>
      <c r="F311" s="6" t="s">
        <v>8455</v>
      </c>
      <c r="G311" s="8">
        <v>45924</v>
      </c>
      <c r="H311" s="6">
        <v>7.03</v>
      </c>
      <c r="I311" s="6" cm="1">
        <f t="array" ref="I311">IFERROR(VALUE(TRIM(LEFT(E311,MIN(FIND({" ";"g";"k";"m";"o"},E311&amp;" gkmo"))-1))),0)</f>
        <v>293</v>
      </c>
      <c r="J311" s="6" t="str" cm="1">
        <f t="array" ref="J311">IFERROR(TRIM(MID(E311,MIN(FIND({" ";"g";"k";"m";"o"},E311&amp;" gkmo")),10)),"unknown")</f>
        <v>g â„® (15</v>
      </c>
      <c r="K311" s="6" t="str">
        <f t="shared" si="16"/>
        <v>g</v>
      </c>
      <c r="L311" s="6" t="str">
        <f t="shared" si="17"/>
        <v>Unknown</v>
      </c>
      <c r="M311" s="6" t="str">
        <f t="shared" si="18"/>
        <v>Prince Multicéréales Goà»T Chocolat Au Blé Complet</v>
      </c>
      <c r="N311" s="6" t="str">
        <f t="shared" si="19"/>
        <v>France,Reunion</v>
      </c>
    </row>
    <row r="312" spans="1:14" x14ac:dyDescent="0.25">
      <c r="A312" s="6" t="s">
        <v>895</v>
      </c>
      <c r="B312" s="6">
        <v>8459</v>
      </c>
      <c r="C312" s="6" t="s">
        <v>896</v>
      </c>
      <c r="D312" s="7" t="s">
        <v>897</v>
      </c>
      <c r="E312" s="6" t="s">
        <v>898</v>
      </c>
      <c r="F312" s="6" t="s">
        <v>7944</v>
      </c>
      <c r="G312" s="8">
        <v>45958</v>
      </c>
      <c r="H312" s="6">
        <v>2.76</v>
      </c>
      <c r="I312" s="6" cm="1">
        <f t="array" ref="I312">IFERROR(VALUE(TRIM(LEFT(E312,MIN(FIND({" ";"g";"k";"m";"o"},E312&amp;" gkmo"))-1))),0)</f>
        <v>166</v>
      </c>
      <c r="J312" s="6" t="str" cm="1">
        <f t="array" ref="J312">IFERROR(TRIM(MID(E312,MIN(FIND({" ";"g";"k";"m";"o"},E312&amp;" gkmo")),10)),"unknown")</f>
        <v>g</v>
      </c>
      <c r="K312" s="6" t="str">
        <f t="shared" si="16"/>
        <v>g</v>
      </c>
      <c r="L312" s="6" t="str">
        <f t="shared" si="17"/>
        <v>Ferrero, Nutella</v>
      </c>
      <c r="M312" s="6" t="str">
        <f t="shared" si="18"/>
        <v>Nutella Biscuits Fergulf</v>
      </c>
      <c r="N312" s="6" t="str">
        <f t="shared" si="19"/>
        <v>France, Italy, Morocco, United Kingdom, Germany</v>
      </c>
    </row>
    <row r="313" spans="1:14" x14ac:dyDescent="0.25">
      <c r="A313" s="6" t="s">
        <v>899</v>
      </c>
      <c r="B313" s="6">
        <v>8036</v>
      </c>
      <c r="C313" s="6" t="s">
        <v>900</v>
      </c>
      <c r="D313" s="7" t="s">
        <v>7017</v>
      </c>
      <c r="E313" s="6" t="s">
        <v>276</v>
      </c>
      <c r="F313" s="6" t="s">
        <v>8211</v>
      </c>
      <c r="G313" s="8">
        <v>45925</v>
      </c>
      <c r="H313" s="6">
        <v>20.8</v>
      </c>
      <c r="I313" s="6" cm="1">
        <f t="array" ref="I313">IFERROR(VALUE(TRIM(LEFT(E313,MIN(FIND({" ";"g";"k";"m";"o"},E313&amp;" gkmo"))-1))),0)</f>
        <v>40</v>
      </c>
      <c r="J313" s="6" t="str" cm="1">
        <f t="array" ref="J313">IFERROR(TRIM(MID(E313,MIN(FIND({" ";"g";"k";"m";"o"},E313&amp;" gkmo")),10)),"unknown")</f>
        <v>g</v>
      </c>
      <c r="K313" s="6" t="str">
        <f t="shared" si="16"/>
        <v>g</v>
      </c>
      <c r="L313" s="6" t="str">
        <f t="shared" si="17"/>
        <v>Unknown</v>
      </c>
      <c r="M313" s="6" t="str">
        <f t="shared" si="18"/>
        <v>Pringles Paprika</v>
      </c>
      <c r="N313" s="6" t="str">
        <f t="shared" si="19"/>
        <v>Franè›A,Germania,Morocco</v>
      </c>
    </row>
    <row r="314" spans="1:14" x14ac:dyDescent="0.25">
      <c r="A314" s="6" t="s">
        <v>901</v>
      </c>
      <c r="B314" s="6">
        <v>8907</v>
      </c>
      <c r="C314" s="6" t="s">
        <v>902</v>
      </c>
      <c r="D314" s="7" t="s">
        <v>903</v>
      </c>
      <c r="E314" s="6" t="s">
        <v>10</v>
      </c>
      <c r="F314" s="6" t="s">
        <v>177</v>
      </c>
      <c r="G314" s="8">
        <v>45408</v>
      </c>
      <c r="H314" s="6">
        <v>4.8499999999999996</v>
      </c>
      <c r="I314" s="6" cm="1">
        <f t="array" ref="I314">IFERROR(VALUE(TRIM(LEFT(E314,MIN(FIND({" ";"g";"k";"m";"o"},E314&amp;" gkmo"))-1))),0)</f>
        <v>100</v>
      </c>
      <c r="J314" s="6" t="str" cm="1">
        <f t="array" ref="J314">IFERROR(TRIM(MID(E314,MIN(FIND({" ";"g";"k";"m";"o"},E314&amp;" gkmo")),10)),"unknown")</f>
        <v>g</v>
      </c>
      <c r="K314" s="6" t="str">
        <f t="shared" si="16"/>
        <v>g</v>
      </c>
      <c r="L314" s="6" t="str">
        <f t="shared" si="17"/>
        <v>Coop</v>
      </c>
      <c r="M314" s="6" t="str">
        <f t="shared" si="18"/>
        <v>Chocolate For Change Single Origin 85% Cocoa Dark Chocolate</v>
      </c>
      <c r="N314" s="6" t="str">
        <f t="shared" si="19"/>
        <v>United Kingdom</v>
      </c>
    </row>
    <row r="315" spans="1:14" x14ac:dyDescent="0.25">
      <c r="A315" s="6" t="s">
        <v>904</v>
      </c>
      <c r="B315" s="6">
        <v>14607</v>
      </c>
      <c r="C315" s="6" t="s">
        <v>905</v>
      </c>
      <c r="D315" s="7" t="s">
        <v>906</v>
      </c>
      <c r="E315" s="6"/>
      <c r="F315" s="6" t="s">
        <v>2973</v>
      </c>
      <c r="G315" s="8">
        <v>45761</v>
      </c>
      <c r="H315" s="6">
        <v>2.71</v>
      </c>
      <c r="I315" s="6" cm="1">
        <f t="array" ref="I315">IFERROR(VALUE(TRIM(LEFT(E315,MIN(FIND({" ";"g";"k";"m";"o"},E315&amp;" gkmo"))-1))),0)</f>
        <v>0</v>
      </c>
      <c r="J315" s="6" t="str" cm="1">
        <f t="array" ref="J315">IFERROR(TRIM(MID(E315,MIN(FIND({" ";"g";"k";"m";"o"},E315&amp;" gkmo")),10)),"unknown")</f>
        <v/>
      </c>
      <c r="K315" s="6" t="str">
        <f t="shared" si="16"/>
        <v>unknown</v>
      </c>
      <c r="L315" s="6" t="str">
        <f t="shared" si="17"/>
        <v>Sainsbury'S</v>
      </c>
      <c r="M315" s="6" t="str">
        <f t="shared" si="18"/>
        <v>80% Dark Chocolate</v>
      </c>
      <c r="N315" s="6" t="str">
        <f t="shared" si="19"/>
        <v>Gb</v>
      </c>
    </row>
    <row r="316" spans="1:14" x14ac:dyDescent="0.25">
      <c r="A316" s="6" t="s">
        <v>907</v>
      </c>
      <c r="B316" s="6">
        <v>8850</v>
      </c>
      <c r="C316" s="6" t="s">
        <v>908</v>
      </c>
      <c r="D316" s="7" t="s">
        <v>7459</v>
      </c>
      <c r="E316" s="6" t="s">
        <v>909</v>
      </c>
      <c r="F316" s="6" t="s">
        <v>139</v>
      </c>
      <c r="G316" s="8">
        <v>46048</v>
      </c>
      <c r="H316" s="6">
        <v>5.26</v>
      </c>
      <c r="I316" s="6" cm="1">
        <f t="array" ref="I316">IFERROR(VALUE(TRIM(LEFT(E316,MIN(FIND({" ";"g";"k";"m";"o"},E316&amp;" gkmo"))-1))),0)</f>
        <v>420</v>
      </c>
      <c r="J316" s="6" t="str" cm="1">
        <f t="array" ref="J316">IFERROR(TRIM(MID(E316,MIN(FIND({" ";"g";"k";"m";"o"},E316&amp;" gkmo")),10)),"unknown")</f>
        <v>g</v>
      </c>
      <c r="K316" s="6" t="str">
        <f t="shared" si="16"/>
        <v>g</v>
      </c>
      <c r="L316" s="6" t="str">
        <f t="shared" si="17"/>
        <v>La Boulangère</v>
      </c>
      <c r="M316" s="6" t="str">
        <f t="shared" si="18"/>
        <v>Pain Au Lait Bio X12 420G</v>
      </c>
      <c r="N316" s="6" t="str">
        <f t="shared" si="19"/>
        <v>France</v>
      </c>
    </row>
    <row r="317" spans="1:14" x14ac:dyDescent="0.25">
      <c r="A317" s="6" t="s">
        <v>910</v>
      </c>
      <c r="B317" s="6">
        <v>11285</v>
      </c>
      <c r="C317" s="6" t="s">
        <v>806</v>
      </c>
      <c r="D317" s="7" t="s">
        <v>7017</v>
      </c>
      <c r="E317" s="6"/>
      <c r="F317" s="6" t="s">
        <v>860</v>
      </c>
      <c r="G317" s="8">
        <v>45561</v>
      </c>
      <c r="H317" s="6">
        <v>23.3</v>
      </c>
      <c r="I317" s="6" cm="1">
        <f t="array" ref="I317">IFERROR(VALUE(TRIM(LEFT(E317,MIN(FIND({" ";"g";"k";"m";"o"},E317&amp;" gkmo"))-1))),0)</f>
        <v>0</v>
      </c>
      <c r="J317" s="6" t="str" cm="1">
        <f t="array" ref="J317">IFERROR(TRIM(MID(E317,MIN(FIND({" ";"g";"k";"m";"o"},E317&amp;" gkmo")),10)),"unknown")</f>
        <v/>
      </c>
      <c r="K317" s="6" t="str">
        <f t="shared" si="16"/>
        <v>unknown</v>
      </c>
      <c r="L317" s="6" t="str">
        <f t="shared" si="17"/>
        <v>Unknown</v>
      </c>
      <c r="M317" s="6" t="str">
        <f t="shared" si="18"/>
        <v>Hohos</v>
      </c>
      <c r="N317" s="6" t="str">
        <f t="shared" si="19"/>
        <v>Ma</v>
      </c>
    </row>
    <row r="318" spans="1:14" x14ac:dyDescent="0.25">
      <c r="A318" s="6" t="s">
        <v>911</v>
      </c>
      <c r="B318" s="6">
        <v>8398</v>
      </c>
      <c r="C318" s="6" t="s">
        <v>912</v>
      </c>
      <c r="D318" s="7" t="s">
        <v>7017</v>
      </c>
      <c r="E318" s="6" t="s">
        <v>276</v>
      </c>
      <c r="F318" s="6" t="s">
        <v>7945</v>
      </c>
      <c r="G318" s="8">
        <v>45604</v>
      </c>
      <c r="H318" s="6">
        <v>7.75</v>
      </c>
      <c r="I318" s="6" cm="1">
        <f t="array" ref="I318">IFERROR(VALUE(TRIM(LEFT(E318,MIN(FIND({" ";"g";"k";"m";"o"},E318&amp;" gkmo"))-1))),0)</f>
        <v>40</v>
      </c>
      <c r="J318" s="6" t="str" cm="1">
        <f t="array" ref="J318">IFERROR(TRIM(MID(E318,MIN(FIND({" ";"g";"k";"m";"o"},E318&amp;" gkmo")),10)),"unknown")</f>
        <v>g</v>
      </c>
      <c r="K318" s="6" t="str">
        <f t="shared" si="16"/>
        <v>g</v>
      </c>
      <c r="L318" s="6" t="str">
        <f t="shared" si="17"/>
        <v>Unknown</v>
      </c>
      <c r="M318" s="6" t="str">
        <f t="shared" si="18"/>
        <v>Protein Salted Caramel Nut</v>
      </c>
      <c r="N318" s="6" t="str">
        <f t="shared" si="19"/>
        <v>France, Germany, United Kingdom, Frankreich, Belgium</v>
      </c>
    </row>
    <row r="319" spans="1:14" x14ac:dyDescent="0.25">
      <c r="A319" s="6" t="s">
        <v>913</v>
      </c>
      <c r="B319" s="6">
        <v>7698</v>
      </c>
      <c r="C319" s="6" t="s">
        <v>914</v>
      </c>
      <c r="D319" s="7" t="s">
        <v>13</v>
      </c>
      <c r="E319" s="6" t="s">
        <v>915</v>
      </c>
      <c r="F319" s="6" t="s">
        <v>139</v>
      </c>
      <c r="G319" s="8">
        <v>46046</v>
      </c>
      <c r="H319" s="6">
        <v>24.67</v>
      </c>
      <c r="I319" s="6" cm="1">
        <f t="array" ref="I319">IFERROR(VALUE(TRIM(LEFT(E319,MIN(FIND({" ";"g";"k";"m";"o"},E319&amp;" gkmo"))-1))),0)</f>
        <v>125</v>
      </c>
      <c r="J319" s="6" t="str" cm="1">
        <f t="array" ref="J319">IFERROR(TRIM(MID(E319,MIN(FIND({" ";"g";"k";"m";"o"},E319&amp;" gkmo")),10)),"unknown")</f>
        <v>g (x6)</v>
      </c>
      <c r="K319" s="6" t="str">
        <f t="shared" si="16"/>
        <v>g</v>
      </c>
      <c r="L319" s="6" t="str">
        <f t="shared" si="17"/>
        <v>Lu</v>
      </c>
      <c r="M319" s="6" t="str">
        <f t="shared" si="18"/>
        <v>Lu - Grany Pommes</v>
      </c>
      <c r="N319" s="6" t="str">
        <f t="shared" si="19"/>
        <v>France</v>
      </c>
    </row>
    <row r="320" spans="1:14" x14ac:dyDescent="0.25">
      <c r="A320" s="6" t="s">
        <v>916</v>
      </c>
      <c r="B320" s="6">
        <v>11571</v>
      </c>
      <c r="C320" s="6" t="s">
        <v>917</v>
      </c>
      <c r="D320" s="7" t="s">
        <v>306</v>
      </c>
      <c r="E320" s="6" t="s">
        <v>39</v>
      </c>
      <c r="F320" s="6" t="s">
        <v>8332</v>
      </c>
      <c r="G320" s="8">
        <v>45657</v>
      </c>
      <c r="H320" s="6">
        <v>5.69</v>
      </c>
      <c r="I320" s="6" cm="1">
        <f t="array" ref="I320">IFERROR(VALUE(TRIM(LEFT(E320,MIN(FIND({" ";"g";"k";"m";"o"},E320&amp;" gkmo"))-1))),0)</f>
        <v>150</v>
      </c>
      <c r="J320" s="6" t="str" cm="1">
        <f t="array" ref="J320">IFERROR(TRIM(MID(E320,MIN(FIND({" ";"g";"k";"m";"o"},E320&amp;" gkmo")),10)),"unknown")</f>
        <v>g</v>
      </c>
      <c r="K320" s="6" t="str">
        <f t="shared" si="16"/>
        <v>g</v>
      </c>
      <c r="L320" s="6" t="str">
        <f t="shared" si="17"/>
        <v>Lu</v>
      </c>
      <c r="M320" s="6" t="str">
        <f t="shared" si="18"/>
        <v>Pim'S - Framboise</v>
      </c>
      <c r="N320" s="6" t="str">
        <f t="shared" si="19"/>
        <v>Belgium,France,Morocco,Spain,Switzerland</v>
      </c>
    </row>
    <row r="321" spans="1:14" x14ac:dyDescent="0.25">
      <c r="A321" s="6" t="s">
        <v>918</v>
      </c>
      <c r="B321" s="6">
        <v>14247</v>
      </c>
      <c r="C321" s="6" t="s">
        <v>7593</v>
      </c>
      <c r="D321" s="7" t="s">
        <v>7578</v>
      </c>
      <c r="E321" s="6" t="s">
        <v>855</v>
      </c>
      <c r="F321" s="6" t="s">
        <v>8219</v>
      </c>
      <c r="G321" s="8">
        <v>45701</v>
      </c>
      <c r="H321" s="6">
        <v>13.16</v>
      </c>
      <c r="I321" s="6" cm="1">
        <f t="array" ref="I321">IFERROR(VALUE(TRIM(LEFT(E321,MIN(FIND({" ";"g";"k";"m";"o"},E321&amp;" gkmo"))-1))),0)</f>
        <v>80</v>
      </c>
      <c r="J321" s="6" t="str" cm="1">
        <f t="array" ref="J321">IFERROR(TRIM(MID(E321,MIN(FIND({" ";"g";"k";"m";"o"},E321&amp;" gkmo")),10)),"unknown")</f>
        <v>g</v>
      </c>
      <c r="K321" s="6" t="str">
        <f t="shared" si="16"/>
        <v>g</v>
      </c>
      <c r="L321" s="6" t="str">
        <f t="shared" si="17"/>
        <v>Gullà³N</v>
      </c>
      <c r="M321" s="6" t="str">
        <f t="shared" si="18"/>
        <v>Galleta Ligera Sin Sal Y Sin Azàºcar</v>
      </c>
      <c r="N321" s="6" t="str">
        <f t="shared" si="19"/>
        <v>France,Marruecos,Espaà±A</v>
      </c>
    </row>
    <row r="322" spans="1:14" x14ac:dyDescent="0.25">
      <c r="A322" s="6" t="s">
        <v>919</v>
      </c>
      <c r="B322" s="6">
        <v>13402</v>
      </c>
      <c r="C322" s="6" t="s">
        <v>7594</v>
      </c>
      <c r="D322" s="7" t="s">
        <v>150</v>
      </c>
      <c r="E322" s="6" t="s">
        <v>151</v>
      </c>
      <c r="F322" s="6" t="s">
        <v>920</v>
      </c>
      <c r="G322" s="8">
        <v>45473</v>
      </c>
      <c r="H322" s="6">
        <v>3.51</v>
      </c>
      <c r="I322" s="6" cm="1">
        <f t="array" ref="I322">IFERROR(VALUE(TRIM(LEFT(E322,MIN(FIND({" ";"g";"k";"m";"o"},E322&amp;" gkmo"))-1))),0)</f>
        <v>200</v>
      </c>
      <c r="J322" s="6" t="str" cm="1">
        <f t="array" ref="J322">IFERROR(TRIM(MID(E322,MIN(FIND({" ";"g";"k";"m";"o"},E322&amp;" gkmo")),10)),"unknown")</f>
        <v>g</v>
      </c>
      <c r="K322" s="6" t="str">
        <f t="shared" si="16"/>
        <v>g</v>
      </c>
      <c r="L322" s="6" t="str">
        <f t="shared" si="17"/>
        <v>Alesto</v>
      </c>
      <c r="M322" s="6" t="str">
        <f t="shared" si="18"/>
        <v>Paahdettu Maapà¤Hkinà¤</v>
      </c>
      <c r="N322" s="6" t="str">
        <f t="shared" si="19"/>
        <v>France,Spain,Finland</v>
      </c>
    </row>
    <row r="323" spans="1:14" x14ac:dyDescent="0.25">
      <c r="A323" s="6" t="s">
        <v>921</v>
      </c>
      <c r="B323" s="6">
        <v>9991</v>
      </c>
      <c r="C323" s="6" t="s">
        <v>7525</v>
      </c>
      <c r="D323" s="7" t="s">
        <v>600</v>
      </c>
      <c r="E323" s="6" t="s">
        <v>10</v>
      </c>
      <c r="F323" s="6" t="s">
        <v>6877</v>
      </c>
      <c r="G323" s="8">
        <v>45957</v>
      </c>
      <c r="H323" s="6">
        <v>16.41</v>
      </c>
      <c r="I323" s="6" cm="1">
        <f t="array" ref="I323">IFERROR(VALUE(TRIM(LEFT(E323,MIN(FIND({" ";"g";"k";"m";"o"},E323&amp;" gkmo"))-1))),0)</f>
        <v>100</v>
      </c>
      <c r="J323" s="6" t="str" cm="1">
        <f t="array" ref="J323">IFERROR(TRIM(MID(E323,MIN(FIND({" ";"g";"k";"m";"o"},E323&amp;" gkmo")),10)),"unknown")</f>
        <v>g</v>
      </c>
      <c r="K323" s="6" t="str">
        <f t="shared" ref="K323:K386" si="20">IF(E323="","unknown",IF(OR(J323="g",LEFT(J323,1)="g"),"g",IF(OR(LEFT(J323,2)="kg",LEFT(J323,2)="ki"),"kg",IF(OR(LEFT(J323,2)="ml",LEFT(J323,1)="m"),"ml",IF(LEFT(J323,1)="l","l",IF(ISNUMBER(SEARCH("g",E323)),"g",IF(ISNUMBER(SEARCH("kg",E323)),"kg",IF(ISNUMBER(SEARCH("ml",E323)),"ml","unknown"))))))))</f>
        <v>g</v>
      </c>
      <c r="L323" s="6" t="str">
        <f t="shared" ref="L323:L386" si="21">IF(D323="","Unknown",PROPER(TRIM(D323)))</f>
        <v>Ethiquable</v>
      </c>
      <c r="M323" s="6" t="str">
        <f t="shared" ref="M323:M386" si="22">IF(C323="Unknown","Unknown",PROPER(TRIM(C323)))</f>
        <v>Chocolat Noir 80% Équateur Intense Et Floral</v>
      </c>
      <c r="N323" s="6" t="str">
        <f t="shared" ref="N323:N386" si="23">IF(F323="","Unknown",PROPER(TRIM(F323)))</f>
        <v>France,Spain,Switzerland</v>
      </c>
    </row>
    <row r="324" spans="1:14" x14ac:dyDescent="0.25">
      <c r="A324" s="6" t="s">
        <v>922</v>
      </c>
      <c r="B324" s="6">
        <v>14683</v>
      </c>
      <c r="C324" s="6" t="s">
        <v>923</v>
      </c>
      <c r="D324" s="7" t="s">
        <v>452</v>
      </c>
      <c r="E324" s="6" t="s">
        <v>924</v>
      </c>
      <c r="F324" s="6" t="s">
        <v>7595</v>
      </c>
      <c r="G324" s="8">
        <v>45633</v>
      </c>
      <c r="H324" s="6">
        <v>3.83</v>
      </c>
      <c r="I324" s="6" cm="1">
        <f t="array" ref="I324">IFERROR(VALUE(TRIM(LEFT(E324,MIN(FIND({" ";"g";"k";"m";"o"},E324&amp;" gkmo"))-1))),0)</f>
        <v>100</v>
      </c>
      <c r="J324" s="6" t="str" cm="1">
        <f t="array" ref="J324">IFERROR(TRIM(MID(E324,MIN(FIND({" ";"g";"k";"m";"o"},E324&amp;" gkmo")),10)),"unknown")</f>
        <v>g.</v>
      </c>
      <c r="K324" s="6" t="str">
        <f t="shared" si="20"/>
        <v>g</v>
      </c>
      <c r="L324" s="6" t="str">
        <f t="shared" si="21"/>
        <v>Hacendado</v>
      </c>
      <c r="M324" s="6" t="str">
        <f t="shared" si="22"/>
        <v>Chocolate Negro 85% Cacao</v>
      </c>
      <c r="N324" s="6" t="str">
        <f t="shared" si="23"/>
        <v>Espaà±A</v>
      </c>
    </row>
    <row r="325" spans="1:14" x14ac:dyDescent="0.25">
      <c r="A325" s="6" t="s">
        <v>925</v>
      </c>
      <c r="B325" s="6">
        <v>7648</v>
      </c>
      <c r="C325" s="6" t="s">
        <v>827</v>
      </c>
      <c r="D325" s="7" t="s">
        <v>7053</v>
      </c>
      <c r="E325" s="6" t="s">
        <v>18</v>
      </c>
      <c r="F325" s="6" t="s">
        <v>926</v>
      </c>
      <c r="G325" s="8">
        <v>45551</v>
      </c>
      <c r="H325" s="6">
        <v>6.92</v>
      </c>
      <c r="I325" s="6" cm="1">
        <f t="array" ref="I325">IFERROR(VALUE(TRIM(LEFT(E325,MIN(FIND({" ";"g";"k";"m";"o"},E325&amp;" gkmo"))-1))),0)</f>
        <v>100</v>
      </c>
      <c r="J325" s="6" t="str" cm="1">
        <f t="array" ref="J325">IFERROR(TRIM(MID(E325,MIN(FIND({" ";"g";"k";"m";"o"},E325&amp;" gkmo")),10)),"unknown")</f>
        <v>g</v>
      </c>
      <c r="K325" s="6" t="str">
        <f t="shared" si="20"/>
        <v>g</v>
      </c>
      <c r="L325" s="6" t="str">
        <f t="shared" si="21"/>
        <v>Fin Carré</v>
      </c>
      <c r="M325" s="6" t="str">
        <f t="shared" si="22"/>
        <v>Milk Chocolate</v>
      </c>
      <c r="N325" s="6" t="str">
        <f t="shared" si="23"/>
        <v>Bulgaria,Finland,France,Germany,Hungary,Poland,Romania,Slovenia,Spain,Estonia</v>
      </c>
    </row>
    <row r="326" spans="1:14" x14ac:dyDescent="0.25">
      <c r="A326" s="6" t="s">
        <v>927</v>
      </c>
      <c r="B326" s="6">
        <v>10581</v>
      </c>
      <c r="C326" s="6" t="s">
        <v>7596</v>
      </c>
      <c r="D326" s="7" t="s">
        <v>7076</v>
      </c>
      <c r="E326" s="6" t="s">
        <v>18</v>
      </c>
      <c r="F326" s="6" t="s">
        <v>928</v>
      </c>
      <c r="G326" s="8">
        <v>45808</v>
      </c>
      <c r="H326" s="6">
        <v>22.64</v>
      </c>
      <c r="I326" s="6" cm="1">
        <f t="array" ref="I326">IFERROR(VALUE(TRIM(LEFT(E326,MIN(FIND({" ";"g";"k";"m";"o"},E326&amp;" gkmo"))-1))),0)</f>
        <v>100</v>
      </c>
      <c r="J326" s="6" t="str" cm="1">
        <f t="array" ref="J326">IFERROR(TRIM(MID(E326,MIN(FIND({" ";"g";"k";"m";"o"},E326&amp;" gkmo")),10)),"unknown")</f>
        <v>g</v>
      </c>
      <c r="K326" s="6" t="str">
        <f t="shared" si="20"/>
        <v>g</v>
      </c>
      <c r="L326" s="6" t="str">
        <f t="shared" si="21"/>
        <v>Fin Carré, Lidl Fin Carré</v>
      </c>
      <c r="M326" s="6" t="str">
        <f t="shared" si="22"/>
        <v>Dunkle Schokolade Mit Ganzen Haselnà¼Ssen</v>
      </c>
      <c r="N326" s="6" t="str">
        <f t="shared" si="23"/>
        <v>Belgium,France,Germany,Netherlands,Poland,Spain,Switzerland</v>
      </c>
    </row>
    <row r="327" spans="1:14" x14ac:dyDescent="0.25">
      <c r="A327" s="6" t="s">
        <v>929</v>
      </c>
      <c r="B327" s="6">
        <v>12382</v>
      </c>
      <c r="C327" s="6" t="s">
        <v>7077</v>
      </c>
      <c r="D327" s="7" t="s">
        <v>7017</v>
      </c>
      <c r="E327" s="6" t="s">
        <v>840</v>
      </c>
      <c r="F327" s="6" t="s">
        <v>930</v>
      </c>
      <c r="G327" s="8">
        <v>46006</v>
      </c>
      <c r="H327" s="6">
        <v>19.27</v>
      </c>
      <c r="I327" s="6" cm="1">
        <f t="array" ref="I327">IFERROR(VALUE(TRIM(LEFT(E327,MIN(FIND({" ";"g";"k";"m";"o"},E327&amp;" gkmo"))-1))),0)</f>
        <v>175</v>
      </c>
      <c r="J327" s="6" t="str" cm="1">
        <f t="array" ref="J327">IFERROR(TRIM(MID(E327,MIN(FIND({" ";"g";"k";"m";"o"},E327&amp;" gkmo")),10)),"unknown")</f>
        <v>g</v>
      </c>
      <c r="K327" s="6" t="str">
        <f t="shared" si="20"/>
        <v>g</v>
      </c>
      <c r="L327" s="6" t="str">
        <f t="shared" si="21"/>
        <v>Unknown</v>
      </c>
      <c r="M327" s="6" t="str">
        <f t="shared" si="22"/>
        <v>Biscuits Fourrés Aux Framboises</v>
      </c>
      <c r="N327" s="6" t="str">
        <f t="shared" si="23"/>
        <v>France,Morocco,Switzerland</v>
      </c>
    </row>
    <row r="328" spans="1:14" x14ac:dyDescent="0.25">
      <c r="A328" s="6" t="s">
        <v>931</v>
      </c>
      <c r="B328" s="6">
        <v>7606</v>
      </c>
      <c r="C328" s="6" t="s">
        <v>932</v>
      </c>
      <c r="D328" s="7" t="s">
        <v>759</v>
      </c>
      <c r="E328" s="6" t="s">
        <v>933</v>
      </c>
      <c r="F328" s="6" t="s">
        <v>547</v>
      </c>
      <c r="G328" s="8">
        <v>45747</v>
      </c>
      <c r="H328" s="6">
        <v>21.82</v>
      </c>
      <c r="I328" s="6" cm="1">
        <f t="array" ref="I328">IFERROR(VALUE(TRIM(LEFT(E328,MIN(FIND({" ";"g";"k";"m";"o"},E328&amp;" gkmo"))-1))),0)</f>
        <v>330</v>
      </c>
      <c r="J328" s="6" t="str" cm="1">
        <f t="array" ref="J328">IFERROR(TRIM(MID(E328,MIN(FIND({" ";"g";"k";"m";"o"},E328&amp;" gkmo")),10)),"unknown")</f>
        <v>g</v>
      </c>
      <c r="K328" s="6" t="str">
        <f t="shared" si="20"/>
        <v>g</v>
      </c>
      <c r="L328" s="6" t="str">
        <f t="shared" si="21"/>
        <v>Mars Wrigley</v>
      </c>
      <c r="M328" s="6" t="str">
        <f t="shared" si="22"/>
        <v>M&amp;M'S Peanut</v>
      </c>
      <c r="N328" s="6" t="str">
        <f t="shared" si="23"/>
        <v>Belgium,France,Germany,Italy,Switzerland</v>
      </c>
    </row>
    <row r="329" spans="1:14" x14ac:dyDescent="0.25">
      <c r="A329" s="6" t="s">
        <v>934</v>
      </c>
      <c r="B329" s="6">
        <v>5506</v>
      </c>
      <c r="C329" s="6" t="s">
        <v>935</v>
      </c>
      <c r="D329" s="7" t="s">
        <v>936</v>
      </c>
      <c r="E329" s="6"/>
      <c r="F329" s="6" t="s">
        <v>937</v>
      </c>
      <c r="G329" s="8">
        <v>45900</v>
      </c>
      <c r="H329" s="6">
        <v>13.16</v>
      </c>
      <c r="I329" s="6" cm="1">
        <f t="array" ref="I329">IFERROR(VALUE(TRIM(LEFT(E329,MIN(FIND({" ";"g";"k";"m";"o"},E329&amp;" gkmo"))-1))),0)</f>
        <v>0</v>
      </c>
      <c r="J329" s="6" t="str" cm="1">
        <f t="array" ref="J329">IFERROR(TRIM(MID(E329,MIN(FIND({" ";"g";"k";"m";"o"},E329&amp;" gkmo")),10)),"unknown")</f>
        <v/>
      </c>
      <c r="K329" s="6" t="str">
        <f t="shared" si="20"/>
        <v>unknown</v>
      </c>
      <c r="L329" s="6" t="str">
        <f t="shared" si="21"/>
        <v>Milka,Mondelä“Z</v>
      </c>
      <c r="M329" s="6" t="str">
        <f t="shared" si="22"/>
        <v>Cake &amp; Chock</v>
      </c>
      <c r="N329" s="6" t="str">
        <f t="shared" si="23"/>
        <v>Å¥¥Åœ°Åˆ©,Æ¯”Åˆ©Æ—¶,Çˆ±Æ²™Å°¼Äºš,Æ³•Å›½,Å¾·Å›½,Æ„Å¤§Åˆ©,Æ‹‰È„«Ç¶­Äºž,Ç«‹É™¶Å®›,È·È˜­,Æ³¢Å…°,È‘¡È„Ç‰™,ÅœˆÇ‰™Åˆ©</v>
      </c>
    </row>
    <row r="330" spans="1:14" x14ac:dyDescent="0.25">
      <c r="A330" s="6" t="s">
        <v>938</v>
      </c>
      <c r="B330" s="6">
        <v>9226</v>
      </c>
      <c r="C330" s="6" t="s">
        <v>939</v>
      </c>
      <c r="D330" s="7" t="s">
        <v>940</v>
      </c>
      <c r="E330" s="6" t="s">
        <v>64</v>
      </c>
      <c r="F330" s="6" t="s">
        <v>7926</v>
      </c>
      <c r="G330" s="8">
        <v>45549</v>
      </c>
      <c r="H330" s="6">
        <v>16.309999999999999</v>
      </c>
      <c r="I330" s="6" cm="1">
        <f t="array" ref="I330">IFERROR(VALUE(TRIM(LEFT(E330,MIN(FIND({" ";"g";"k";"m";"o"},E330&amp;" gkmo"))-1))),0)</f>
        <v>150</v>
      </c>
      <c r="J330" s="6" t="str" cm="1">
        <f t="array" ref="J330">IFERROR(TRIM(MID(E330,MIN(FIND({" ";"g";"k";"m";"o"},E330&amp;" gkmo")),10)),"unknown")</f>
        <v>g</v>
      </c>
      <c r="K330" s="6" t="str">
        <f t="shared" si="20"/>
        <v>g</v>
      </c>
      <c r="L330" s="6" t="str">
        <f t="shared" si="21"/>
        <v>Crosta &amp; Mollica</v>
      </c>
      <c r="M330" s="6" t="str">
        <f t="shared" si="22"/>
        <v>Oregano Crostini Italian Bread Bites</v>
      </c>
      <c r="N330" s="6" t="str">
        <f t="shared" si="23"/>
        <v>France, United-Kingdom</v>
      </c>
    </row>
    <row r="331" spans="1:14" x14ac:dyDescent="0.25">
      <c r="A331" s="6" t="s">
        <v>941</v>
      </c>
      <c r="B331" s="6">
        <v>6135</v>
      </c>
      <c r="C331" s="6" t="s">
        <v>942</v>
      </c>
      <c r="D331" s="7" t="s">
        <v>7017</v>
      </c>
      <c r="E331" s="6" t="s">
        <v>151</v>
      </c>
      <c r="F331" s="6" t="s">
        <v>7946</v>
      </c>
      <c r="G331" s="8">
        <v>45656</v>
      </c>
      <c r="H331" s="6">
        <v>3.01</v>
      </c>
      <c r="I331" s="6" cm="1">
        <f t="array" ref="I331">IFERROR(VALUE(TRIM(LEFT(E331,MIN(FIND({" ";"g";"k";"m";"o"},E331&amp;" gkmo"))-1))),0)</f>
        <v>200</v>
      </c>
      <c r="J331" s="6" t="str" cm="1">
        <f t="array" ref="J331">IFERROR(TRIM(MID(E331,MIN(FIND({" ";"g";"k";"m";"o"},E331&amp;" gkmo")),10)),"unknown")</f>
        <v>g</v>
      </c>
      <c r="K331" s="6" t="str">
        <f t="shared" si="20"/>
        <v>g</v>
      </c>
      <c r="L331" s="6" t="str">
        <f t="shared" si="21"/>
        <v>Unknown</v>
      </c>
      <c r="M331" s="6" t="str">
        <f t="shared" si="22"/>
        <v>Oat Biscuits</v>
      </c>
      <c r="N331" s="6" t="str">
        <f t="shared" si="23"/>
        <v>New Zealand, United States, United-Kingdom</v>
      </c>
    </row>
    <row r="332" spans="1:14" x14ac:dyDescent="0.25">
      <c r="A332" s="6" t="s">
        <v>943</v>
      </c>
      <c r="B332" s="6">
        <v>6106</v>
      </c>
      <c r="C332" s="6" t="s">
        <v>7597</v>
      </c>
      <c r="D332" s="7" t="s">
        <v>60</v>
      </c>
      <c r="E332" s="6" t="s">
        <v>10</v>
      </c>
      <c r="F332" s="6" t="s">
        <v>8398</v>
      </c>
      <c r="G332" s="8">
        <v>45767</v>
      </c>
      <c r="H332" s="6">
        <v>12.48</v>
      </c>
      <c r="I332" s="6" cm="1">
        <f t="array" ref="I332">IFERROR(VALUE(TRIM(LEFT(E332,MIN(FIND({" ";"g";"k";"m";"o"},E332&amp;" gkmo"))-1))),0)</f>
        <v>100</v>
      </c>
      <c r="J332" s="6" t="str" cm="1">
        <f t="array" ref="J332">IFERROR(TRIM(MID(E332,MIN(FIND({" ";"g";"k";"m";"o"},E332&amp;" gkmo")),10)),"unknown")</f>
        <v>g</v>
      </c>
      <c r="K332" s="6" t="str">
        <f t="shared" si="20"/>
        <v>g</v>
      </c>
      <c r="L332" s="6" t="str">
        <f t="shared" si="21"/>
        <v>Lindt</v>
      </c>
      <c r="M332" s="6" t="str">
        <f t="shared" si="22"/>
        <v>Excellence À€ La Pointe De Fleur De Sel Noir</v>
      </c>
      <c r="N332" s="6" t="str">
        <f t="shared" si="23"/>
        <v>Belgium,Dinamarca,France,Germany,Italia,Paà­Ses Bajos,Portugal,Espaà±A,Switzerland,United Kingdom</v>
      </c>
    </row>
    <row r="333" spans="1:14" x14ac:dyDescent="0.25">
      <c r="A333" s="6" t="s">
        <v>944</v>
      </c>
      <c r="B333" s="6">
        <v>6932</v>
      </c>
      <c r="C333" s="6" t="s">
        <v>945</v>
      </c>
      <c r="D333" s="7" t="s">
        <v>7017</v>
      </c>
      <c r="E333" s="6" t="s">
        <v>946</v>
      </c>
      <c r="F333" s="6" t="s">
        <v>8449</v>
      </c>
      <c r="G333" s="8">
        <v>45344</v>
      </c>
      <c r="H333" s="6">
        <v>9.18</v>
      </c>
      <c r="I333" s="6" cm="1">
        <f t="array" ref="I333">IFERROR(VALUE(TRIM(LEFT(E333,MIN(FIND({" ";"g";"k";"m";"o"},E333&amp;" gkmo"))-1))),0)</f>
        <v>138</v>
      </c>
      <c r="J333" s="6" t="str" cm="1">
        <f t="array" ref="J333">IFERROR(TRIM(MID(E333,MIN(FIND({" ";"g";"k";"m";"o"},E333&amp;" gkmo")),10)),"unknown")</f>
        <v>g</v>
      </c>
      <c r="K333" s="6" t="str">
        <f t="shared" si="20"/>
        <v>g</v>
      </c>
      <c r="L333" s="6" t="str">
        <f t="shared" si="21"/>
        <v>Unknown</v>
      </c>
      <c r="M333" s="6" t="str">
        <f t="shared" si="22"/>
        <v>Moelleux Chocolat Noix</v>
      </c>
      <c r="N333" s="6" t="str">
        <f t="shared" si="23"/>
        <v>France,La Reunion</v>
      </c>
    </row>
    <row r="334" spans="1:14" x14ac:dyDescent="0.25">
      <c r="A334" s="6" t="s">
        <v>947</v>
      </c>
      <c r="B334" s="6">
        <v>8863</v>
      </c>
      <c r="C334" s="6" t="s">
        <v>948</v>
      </c>
      <c r="D334" s="7" t="s">
        <v>613</v>
      </c>
      <c r="E334" s="6"/>
      <c r="F334" s="6" t="s">
        <v>177</v>
      </c>
      <c r="G334" s="8">
        <v>45660</v>
      </c>
      <c r="H334" s="6">
        <v>12.51</v>
      </c>
      <c r="I334" s="6" cm="1">
        <f t="array" ref="I334">IFERROR(VALUE(TRIM(LEFT(E334,MIN(FIND({" ";"g";"k";"m";"o"},E334&amp;" gkmo"))-1))),0)</f>
        <v>0</v>
      </c>
      <c r="J334" s="6" t="str" cm="1">
        <f t="array" ref="J334">IFERROR(TRIM(MID(E334,MIN(FIND({" ";"g";"k";"m";"o"},E334&amp;" gkmo")),10)),"unknown")</f>
        <v/>
      </c>
      <c r="K334" s="6" t="str">
        <f t="shared" si="20"/>
        <v>unknown</v>
      </c>
      <c r="L334" s="6" t="str">
        <f t="shared" si="21"/>
        <v>Nakd</v>
      </c>
      <c r="M334" s="6" t="str">
        <f t="shared" si="22"/>
        <v>Berry Delight</v>
      </c>
      <c r="N334" s="6" t="str">
        <f t="shared" si="23"/>
        <v>United Kingdom</v>
      </c>
    </row>
    <row r="335" spans="1:14" x14ac:dyDescent="0.25">
      <c r="A335" s="6" t="s">
        <v>949</v>
      </c>
      <c r="B335" s="6">
        <v>6676</v>
      </c>
      <c r="C335" s="6" t="s">
        <v>950</v>
      </c>
      <c r="D335" s="7" t="s">
        <v>951</v>
      </c>
      <c r="E335" s="6" t="s">
        <v>205</v>
      </c>
      <c r="F335" s="6" t="s">
        <v>557</v>
      </c>
      <c r="G335" s="8">
        <v>45581</v>
      </c>
      <c r="H335" s="6">
        <v>12.83</v>
      </c>
      <c r="I335" s="6" cm="1">
        <f t="array" ref="I335">IFERROR(VALUE(TRIM(LEFT(E335,MIN(FIND({" ";"g";"k";"m";"o"},E335&amp;" gkmo"))-1))),0)</f>
        <v>360</v>
      </c>
      <c r="J335" s="6" t="str" cm="1">
        <f t="array" ref="J335">IFERROR(TRIM(MID(E335,MIN(FIND({" ";"g";"k";"m";"o"},E335&amp;" gkmo")),10)),"unknown")</f>
        <v>g</v>
      </c>
      <c r="K335" s="6" t="str">
        <f t="shared" si="20"/>
        <v>g</v>
      </c>
      <c r="L335" s="6" t="str">
        <f t="shared" si="21"/>
        <v>Ovo Maltine</v>
      </c>
      <c r="M335" s="6" t="str">
        <f t="shared" si="22"/>
        <v>Ovomaltine Crunchy</v>
      </c>
      <c r="N335" s="6" t="str">
        <f t="shared" si="23"/>
        <v>Belgium,France,Switzerland</v>
      </c>
    </row>
    <row r="336" spans="1:14" x14ac:dyDescent="0.25">
      <c r="A336" s="6" t="s">
        <v>952</v>
      </c>
      <c r="B336" s="6">
        <v>10037</v>
      </c>
      <c r="C336" s="6" t="s">
        <v>953</v>
      </c>
      <c r="D336" s="7" t="s">
        <v>7585</v>
      </c>
      <c r="E336" s="6" t="s">
        <v>436</v>
      </c>
      <c r="F336" s="6" t="s">
        <v>8456</v>
      </c>
      <c r="G336" s="8">
        <v>45818</v>
      </c>
      <c r="H336" s="6">
        <v>13.16</v>
      </c>
      <c r="I336" s="6" cm="1">
        <f t="array" ref="I336">IFERROR(VALUE(TRIM(LEFT(E336,MIN(FIND({" ";"g";"k";"m";"o"},E336&amp;" gkmo"))-1))),0)</f>
        <v>90</v>
      </c>
      <c r="J336" s="6" t="str" cm="1">
        <f t="array" ref="J336">IFERROR(TRIM(MID(E336,MIN(FIND({" ";"g";"k";"m";"o"},E336&amp;" gkmo")),10)),"unknown")</f>
        <v>g</v>
      </c>
      <c r="K336" s="6" t="str">
        <f t="shared" si="20"/>
        <v>g</v>
      </c>
      <c r="L336" s="6" t="str">
        <f t="shared" si="21"/>
        <v>Cà´Te D'Or</v>
      </c>
      <c r="M336" s="6" t="str">
        <f t="shared" si="22"/>
        <v>Chocolat Bio Noir 85%</v>
      </c>
      <c r="N336" s="6" t="str">
        <f t="shared" si="23"/>
        <v>Belgium,France,La Reunion</v>
      </c>
    </row>
    <row r="337" spans="1:14" x14ac:dyDescent="0.25">
      <c r="A337" s="6" t="s">
        <v>954</v>
      </c>
      <c r="B337" s="6">
        <v>8413</v>
      </c>
      <c r="C337" s="6" t="s">
        <v>955</v>
      </c>
      <c r="D337" s="7" t="s">
        <v>116</v>
      </c>
      <c r="E337" s="6" t="s">
        <v>909</v>
      </c>
      <c r="F337" s="6" t="s">
        <v>7923</v>
      </c>
      <c r="G337" s="8">
        <v>46001</v>
      </c>
      <c r="H337" s="6">
        <v>9.5500000000000007</v>
      </c>
      <c r="I337" s="6" cm="1">
        <f t="array" ref="I337">IFERROR(VALUE(TRIM(LEFT(E337,MIN(FIND({" ";"g";"k";"m";"o"},E337&amp;" gkmo"))-1))),0)</f>
        <v>420</v>
      </c>
      <c r="J337" s="6" t="str" cm="1">
        <f t="array" ref="J337">IFERROR(TRIM(MID(E337,MIN(FIND({" ";"g";"k";"m";"o"},E337&amp;" gkmo")),10)),"unknown")</f>
        <v>g</v>
      </c>
      <c r="K337" s="6" t="str">
        <f t="shared" si="20"/>
        <v>g</v>
      </c>
      <c r="L337" s="6" t="str">
        <f t="shared" si="21"/>
        <v>Nature Valley</v>
      </c>
      <c r="M337" s="6" t="str">
        <f t="shared" si="22"/>
        <v>Crunchy Cereal Bars Made With Whole Grain Rolled Oats And Honey</v>
      </c>
      <c r="N337" s="6" t="str">
        <f t="shared" si="23"/>
        <v>France, United Kingdom, Ireland</v>
      </c>
    </row>
    <row r="338" spans="1:14" x14ac:dyDescent="0.25">
      <c r="A338" s="6" t="s">
        <v>956</v>
      </c>
      <c r="B338" s="6">
        <v>14678</v>
      </c>
      <c r="C338" s="6" t="s">
        <v>957</v>
      </c>
      <c r="D338" s="7" t="s">
        <v>958</v>
      </c>
      <c r="E338" s="6"/>
      <c r="F338" s="6" t="s">
        <v>48</v>
      </c>
      <c r="G338" s="8">
        <v>45965</v>
      </c>
      <c r="H338" s="6">
        <v>16.489999999999998</v>
      </c>
      <c r="I338" s="6" cm="1">
        <f t="array" ref="I338">IFERROR(VALUE(TRIM(LEFT(E338,MIN(FIND({" ";"g";"k";"m";"o"},E338&amp;" gkmo"))-1))),0)</f>
        <v>0</v>
      </c>
      <c r="J338" s="6" t="str" cm="1">
        <f t="array" ref="J338">IFERROR(TRIM(MID(E338,MIN(FIND({" ";"g";"k";"m";"o"},E338&amp;" gkmo")),10)),"unknown")</f>
        <v/>
      </c>
      <c r="K338" s="6" t="str">
        <f t="shared" si="20"/>
        <v>unknown</v>
      </c>
      <c r="L338" s="6" t="str">
        <f t="shared" si="21"/>
        <v>Aiguebelle</v>
      </c>
      <c r="M338" s="6" t="str">
        <f t="shared" si="22"/>
        <v>Sweeties Mini</v>
      </c>
      <c r="N338" s="6" t="str">
        <f t="shared" si="23"/>
        <v>Morocco</v>
      </c>
    </row>
    <row r="339" spans="1:14" x14ac:dyDescent="0.25">
      <c r="A339" s="6" t="s">
        <v>959</v>
      </c>
      <c r="B339" s="6">
        <v>10364</v>
      </c>
      <c r="C339" s="6" t="s">
        <v>960</v>
      </c>
      <c r="D339" s="7" t="s">
        <v>961</v>
      </c>
      <c r="E339" s="6" t="s">
        <v>962</v>
      </c>
      <c r="F339" s="6" t="s">
        <v>8356</v>
      </c>
      <c r="G339" s="8">
        <v>45700</v>
      </c>
      <c r="H339" s="6">
        <v>2.5499999999999998</v>
      </c>
      <c r="I339" s="6" cm="1">
        <f t="array" ref="I339">IFERROR(VALUE(TRIM(LEFT(E339,MIN(FIND({" ";"g";"k";"m";"o"},E339&amp;" gkmo"))-1))),0)</f>
        <v>225</v>
      </c>
      <c r="J339" s="6" t="str" cm="1">
        <f t="array" ref="J339">IFERROR(TRIM(MID(E339,MIN(FIND({" ";"g";"k";"m";"o"},E339&amp;" gkmo")),10)),"unknown")</f>
        <v>g</v>
      </c>
      <c r="K339" s="6" t="str">
        <f t="shared" si="20"/>
        <v>g</v>
      </c>
      <c r="L339" s="6" t="str">
        <f t="shared" si="21"/>
        <v>Sondey</v>
      </c>
      <c r="M339" s="6" t="str">
        <f t="shared" si="22"/>
        <v>Cookies Chocolate Chip</v>
      </c>
      <c r="N339" s="6" t="str">
        <f t="shared" si="23"/>
        <v>France,Germany,Espaà±A,Switzerland,England</v>
      </c>
    </row>
    <row r="340" spans="1:14" x14ac:dyDescent="0.25">
      <c r="A340" s="6" t="s">
        <v>963</v>
      </c>
      <c r="B340" s="6">
        <v>14747</v>
      </c>
      <c r="C340" s="6" t="s">
        <v>7017</v>
      </c>
      <c r="D340" s="7" t="s">
        <v>81</v>
      </c>
      <c r="E340" s="6" t="s">
        <v>185</v>
      </c>
      <c r="F340" s="6" t="s">
        <v>7947</v>
      </c>
      <c r="G340" s="8">
        <v>45503</v>
      </c>
      <c r="H340" s="6">
        <v>13.16</v>
      </c>
      <c r="I340" s="6" cm="1">
        <f t="array" ref="I340">IFERROR(VALUE(TRIM(LEFT(E340,MIN(FIND({" ";"g";"k";"m";"o"},E340&amp;" gkmo"))-1))),0)</f>
        <v>270</v>
      </c>
      <c r="J340" s="6" t="str" cm="1">
        <f t="array" ref="J340">IFERROR(TRIM(MID(E340,MIN(FIND({" ";"g";"k";"m";"o"},E340&amp;" gkmo")),10)),"unknown")</f>
        <v>g</v>
      </c>
      <c r="K340" s="6" t="str">
        <f t="shared" si="20"/>
        <v>g</v>
      </c>
      <c r="L340" s="6" t="str">
        <f t="shared" si="21"/>
        <v>Wasa</v>
      </c>
      <c r="M340" s="6" t="str">
        <f t="shared" si="22"/>
        <v>Unknown</v>
      </c>
      <c r="N340" s="6" t="str">
        <f t="shared" si="23"/>
        <v>Italy, Romania</v>
      </c>
    </row>
    <row r="341" spans="1:14" x14ac:dyDescent="0.25">
      <c r="A341" s="6" t="s">
        <v>964</v>
      </c>
      <c r="B341" s="6">
        <v>10578</v>
      </c>
      <c r="C341" s="6" t="s">
        <v>965</v>
      </c>
      <c r="D341" s="7" t="s">
        <v>7017</v>
      </c>
      <c r="E341" s="6" t="s">
        <v>966</v>
      </c>
      <c r="F341" s="6" t="s">
        <v>2973</v>
      </c>
      <c r="G341" s="8">
        <v>45488</v>
      </c>
      <c r="H341" s="6">
        <v>20.170000000000002</v>
      </c>
      <c r="I341" s="6" cm="1">
        <f t="array" ref="I341">IFERROR(VALUE(TRIM(LEFT(E341,MIN(FIND({" ";"g";"k";"m";"o"},E341&amp;" gkmo"))-1))),0)</f>
        <v>115</v>
      </c>
      <c r="J341" s="6" t="str" cm="1">
        <f t="array" ref="J341">IFERROR(TRIM(MID(E341,MIN(FIND({" ";"g";"k";"m";"o"},E341&amp;" gkmo")),10)),"unknown")</f>
        <v>g</v>
      </c>
      <c r="K341" s="6" t="str">
        <f t="shared" si="20"/>
        <v>g</v>
      </c>
      <c r="L341" s="6" t="str">
        <f t="shared" si="21"/>
        <v>Unknown</v>
      </c>
      <c r="M341" s="6" t="str">
        <f t="shared" si="22"/>
        <v>Love, Corn (Sea Salt)</v>
      </c>
      <c r="N341" s="6" t="str">
        <f t="shared" si="23"/>
        <v>Gb</v>
      </c>
    </row>
    <row r="342" spans="1:14" x14ac:dyDescent="0.25">
      <c r="A342" s="6" t="s">
        <v>967</v>
      </c>
      <c r="B342" s="6">
        <v>9824</v>
      </c>
      <c r="C342" s="6" t="s">
        <v>7017</v>
      </c>
      <c r="D342" s="7" t="s">
        <v>7598</v>
      </c>
      <c r="E342" s="6"/>
      <c r="F342" s="6" t="s">
        <v>7599</v>
      </c>
      <c r="G342" s="8">
        <v>45327</v>
      </c>
      <c r="H342" s="6">
        <v>13.16</v>
      </c>
      <c r="I342" s="6" cm="1">
        <f t="array" ref="I342">IFERROR(VALUE(TRIM(LEFT(E342,MIN(FIND({" ";"g";"k";"m";"o"},E342&amp;" gkmo"))-1))),0)</f>
        <v>0</v>
      </c>
      <c r="J342" s="6" t="str" cm="1">
        <f t="array" ref="J342">IFERROR(TRIM(MID(E342,MIN(FIND({" ";"g";"k";"m";"o"},E342&amp;" gkmo")),10)),"unknown")</f>
        <v/>
      </c>
      <c r="K342" s="6" t="str">
        <f t="shared" si="20"/>
        <v>unknown</v>
      </c>
      <c r="L342" s="6" t="str">
        <f t="shared" si="21"/>
        <v>Florbàº</v>
      </c>
      <c r="M342" s="6" t="str">
        <f t="shared" si="22"/>
        <v>Unknown</v>
      </c>
      <c r="N342" s="6" t="str">
        <f t="shared" si="23"/>
        <v>Marruecos,Espaà±A</v>
      </c>
    </row>
    <row r="343" spans="1:14" x14ac:dyDescent="0.25">
      <c r="A343" s="6" t="s">
        <v>968</v>
      </c>
      <c r="B343" s="6">
        <v>6758</v>
      </c>
      <c r="C343" s="6" t="s">
        <v>969</v>
      </c>
      <c r="D343" s="7" t="s">
        <v>452</v>
      </c>
      <c r="E343" s="6" t="s">
        <v>504</v>
      </c>
      <c r="F343" s="6" t="s">
        <v>7595</v>
      </c>
      <c r="G343" s="8">
        <v>45904</v>
      </c>
      <c r="H343" s="6">
        <v>9.92</v>
      </c>
      <c r="I343" s="6" cm="1">
        <f t="array" ref="I343">IFERROR(VALUE(TRIM(LEFT(E343,MIN(FIND({" ";"g";"k";"m";"o"},E343&amp;" gkmo"))-1))),0)</f>
        <v>400</v>
      </c>
      <c r="J343" s="6" t="str" cm="1">
        <f t="array" ref="J343">IFERROR(TRIM(MID(E343,MIN(FIND({" ";"g";"k";"m";"o"},E343&amp;" gkmo")),10)),"unknown")</f>
        <v>g</v>
      </c>
      <c r="K343" s="6" t="str">
        <f t="shared" si="20"/>
        <v>g</v>
      </c>
      <c r="L343" s="6" t="str">
        <f t="shared" si="21"/>
        <v>Hacendado</v>
      </c>
      <c r="M343" s="6" t="str">
        <f t="shared" si="22"/>
        <v>Digestive 0%</v>
      </c>
      <c r="N343" s="6" t="str">
        <f t="shared" si="23"/>
        <v>Espaà±A</v>
      </c>
    </row>
    <row r="344" spans="1:14" x14ac:dyDescent="0.25">
      <c r="A344" s="6" t="s">
        <v>970</v>
      </c>
      <c r="B344" s="6">
        <v>12775</v>
      </c>
      <c r="C344" s="6" t="s">
        <v>7017</v>
      </c>
      <c r="D344" s="7" t="s">
        <v>7017</v>
      </c>
      <c r="E344" s="6"/>
      <c r="F344" s="6" t="s">
        <v>48</v>
      </c>
      <c r="G344" s="8">
        <v>45914</v>
      </c>
      <c r="H344" s="6">
        <v>13.16</v>
      </c>
      <c r="I344" s="6" cm="1">
        <f t="array" ref="I344">IFERROR(VALUE(TRIM(LEFT(E344,MIN(FIND({" ";"g";"k";"m";"o"},E344&amp;" gkmo"))-1))),0)</f>
        <v>0</v>
      </c>
      <c r="J344" s="6" t="str" cm="1">
        <f t="array" ref="J344">IFERROR(TRIM(MID(E344,MIN(FIND({" ";"g";"k";"m";"o"},E344&amp;" gkmo")),10)),"unknown")</f>
        <v/>
      </c>
      <c r="K344" s="6" t="str">
        <f t="shared" si="20"/>
        <v>unknown</v>
      </c>
      <c r="L344" s="6" t="str">
        <f t="shared" si="21"/>
        <v>Unknown</v>
      </c>
      <c r="M344" s="6" t="str">
        <f t="shared" si="22"/>
        <v>Unknown</v>
      </c>
      <c r="N344" s="6" t="str">
        <f t="shared" si="23"/>
        <v>Morocco</v>
      </c>
    </row>
    <row r="345" spans="1:14" x14ac:dyDescent="0.25">
      <c r="A345" s="6" t="s">
        <v>971</v>
      </c>
      <c r="B345" s="6">
        <v>12417</v>
      </c>
      <c r="C345" s="6" t="s">
        <v>972</v>
      </c>
      <c r="D345" s="7" t="s">
        <v>7017</v>
      </c>
      <c r="E345" s="6" t="s">
        <v>973</v>
      </c>
      <c r="F345" s="6" t="s">
        <v>48</v>
      </c>
      <c r="G345" s="8">
        <v>45786</v>
      </c>
      <c r="H345" s="6">
        <v>4.13</v>
      </c>
      <c r="I345" s="6" cm="1">
        <f t="array" ref="I345">IFERROR(VALUE(TRIM(LEFT(E345,MIN(FIND({" ";"g";"k";"m";"o"},E345&amp;" gkmo"))-1))),0)</f>
        <v>38</v>
      </c>
      <c r="J345" s="6" t="str" cm="1">
        <f t="array" ref="J345">IFERROR(TRIM(MID(E345,MIN(FIND({" ";"g";"k";"m";"o"},E345&amp;" gkmo")),10)),"unknown")</f>
        <v>g</v>
      </c>
      <c r="K345" s="6" t="str">
        <f t="shared" si="20"/>
        <v>g</v>
      </c>
      <c r="L345" s="6" t="str">
        <f t="shared" si="21"/>
        <v>Unknown</v>
      </c>
      <c r="M345" s="6" t="str">
        <f t="shared" si="22"/>
        <v>Genova - Double Creme</v>
      </c>
      <c r="N345" s="6" t="str">
        <f t="shared" si="23"/>
        <v>Morocco</v>
      </c>
    </row>
    <row r="346" spans="1:14" x14ac:dyDescent="0.25">
      <c r="A346" s="6" t="s">
        <v>974</v>
      </c>
      <c r="B346" s="6">
        <v>10685</v>
      </c>
      <c r="C346" s="6" t="s">
        <v>975</v>
      </c>
      <c r="D346" s="7" t="s">
        <v>976</v>
      </c>
      <c r="E346" s="6" t="s">
        <v>10</v>
      </c>
      <c r="F346" s="6" t="s">
        <v>977</v>
      </c>
      <c r="G346" s="8">
        <v>45476</v>
      </c>
      <c r="H346" s="6">
        <v>9.3699999999999992</v>
      </c>
      <c r="I346" s="6" cm="1">
        <f t="array" ref="I346">IFERROR(VALUE(TRIM(LEFT(E346,MIN(FIND({" ";"g";"k";"m";"o"},E346&amp;" gkmo"))-1))),0)</f>
        <v>100</v>
      </c>
      <c r="J346" s="6" t="str" cm="1">
        <f t="array" ref="J346">IFERROR(TRIM(MID(E346,MIN(FIND({" ";"g";"k";"m";"o"},E346&amp;" gkmo")),10)),"unknown")</f>
        <v>g</v>
      </c>
      <c r="K346" s="6" t="str">
        <f t="shared" si="20"/>
        <v>g</v>
      </c>
      <c r="L346" s="6" t="str">
        <f t="shared" si="21"/>
        <v>Preferred Selection</v>
      </c>
      <c r="M346" s="6" t="str">
        <f t="shared" si="22"/>
        <v>Madagascar Dark Chocolate Tummasuklaa</v>
      </c>
      <c r="N346" s="6" t="str">
        <f t="shared" si="23"/>
        <v>Czech Republic,Germany,Ireland</v>
      </c>
    </row>
    <row r="347" spans="1:14" x14ac:dyDescent="0.25">
      <c r="A347" s="6" t="s">
        <v>978</v>
      </c>
      <c r="B347" s="6">
        <v>12785</v>
      </c>
      <c r="C347" s="6" t="s">
        <v>979</v>
      </c>
      <c r="D347" s="7" t="s">
        <v>199</v>
      </c>
      <c r="E347" s="6" t="s">
        <v>980</v>
      </c>
      <c r="F347" s="6" t="s">
        <v>8448</v>
      </c>
      <c r="G347" s="8">
        <v>45771</v>
      </c>
      <c r="H347" s="6">
        <v>12.69</v>
      </c>
      <c r="I347" s="6" cm="1">
        <f t="array" ref="I347">IFERROR(VALUE(TRIM(LEFT(E347,MIN(FIND({" ";"g";"k";"m";"o"},E347&amp;" gkmo"))-1))),0)</f>
        <v>175</v>
      </c>
      <c r="J347" s="6" t="str" cm="1">
        <f t="array" ref="J347">IFERROR(TRIM(MID(E347,MIN(FIND({" ";"g";"k";"m";"o"},E347&amp;" gkmo")),10)),"unknown")</f>
        <v>g (5x35g)</v>
      </c>
      <c r="K347" s="6" t="str">
        <f t="shared" si="20"/>
        <v>g</v>
      </c>
      <c r="L347" s="6" t="str">
        <f t="shared" si="21"/>
        <v>Bn</v>
      </c>
      <c r="M347" s="6" t="str">
        <f t="shared" si="22"/>
        <v>Mini Bn Chocolat</v>
      </c>
      <c r="N347" s="6" t="str">
        <f t="shared" si="23"/>
        <v>Belgium,France,Morocco,La Reunion,Switzerland</v>
      </c>
    </row>
    <row r="348" spans="1:14" x14ac:dyDescent="0.25">
      <c r="A348" s="6" t="s">
        <v>981</v>
      </c>
      <c r="B348" s="6">
        <v>12482</v>
      </c>
      <c r="C348" s="6" t="s">
        <v>7078</v>
      </c>
      <c r="D348" s="7" t="s">
        <v>7030</v>
      </c>
      <c r="E348" s="6" t="s">
        <v>982</v>
      </c>
      <c r="F348" s="6" t="s">
        <v>139</v>
      </c>
      <c r="G348" s="8">
        <v>45831</v>
      </c>
      <c r="H348" s="6">
        <v>11.73</v>
      </c>
      <c r="I348" s="6" cm="1">
        <f t="array" ref="I348">IFERROR(VALUE(TRIM(LEFT(E348,MIN(FIND({" ";"g";"k";"m";"o"},E348&amp;" gkmo"))-1))),0)</f>
        <v>126</v>
      </c>
      <c r="J348" s="6" t="str" cm="1">
        <f t="array" ref="J348">IFERROR(TRIM(MID(E348,MIN(FIND({" ";"g";"k";"m";"o"},E348&amp;" gkmo")),10)),"unknown")</f>
        <v>g</v>
      </c>
      <c r="K348" s="6" t="str">
        <f t="shared" si="20"/>
        <v>g</v>
      </c>
      <c r="L348" s="6" t="str">
        <f t="shared" si="21"/>
        <v>Gerblé</v>
      </c>
      <c r="M348" s="6" t="str">
        <f t="shared" si="22"/>
        <v>Biscuit Fondant Choco Ðÿ«Noir (Sans Sucres Ajoutés)</v>
      </c>
      <c r="N348" s="6" t="str">
        <f t="shared" si="23"/>
        <v>France</v>
      </c>
    </row>
    <row r="349" spans="1:14" x14ac:dyDescent="0.25">
      <c r="A349" s="6" t="s">
        <v>983</v>
      </c>
      <c r="B349" s="6">
        <v>8880</v>
      </c>
      <c r="C349" s="6" t="s">
        <v>984</v>
      </c>
      <c r="D349" s="7" t="s">
        <v>7456</v>
      </c>
      <c r="E349" s="6" t="s">
        <v>985</v>
      </c>
      <c r="F349" s="6" t="s">
        <v>139</v>
      </c>
      <c r="G349" s="8">
        <v>45477</v>
      </c>
      <c r="H349" s="6">
        <v>7.65</v>
      </c>
      <c r="I349" s="6" cm="1">
        <f t="array" ref="I349">IFERROR(VALUE(TRIM(LEFT(E349,MIN(FIND({" ";"g";"k";"m";"o"},E349&amp;" gkmo"))-1))),0)</f>
        <v>340</v>
      </c>
      <c r="J349" s="6" t="str" cm="1">
        <f t="array" ref="J349">IFERROR(TRIM(MID(E349,MIN(FIND({" ";"g";"k";"m";"o"},E349&amp;" gkmo")),10)),"unknown")</f>
        <v>g</v>
      </c>
      <c r="K349" s="6" t="str">
        <f t="shared" si="20"/>
        <v>g</v>
      </c>
      <c r="L349" s="6" t="str">
        <f t="shared" si="21"/>
        <v>La Boulangère</v>
      </c>
      <c r="M349" s="6" t="str">
        <f t="shared" si="22"/>
        <v>4 Baguettes Viennoises 340G</v>
      </c>
      <c r="N349" s="6" t="str">
        <f t="shared" si="23"/>
        <v>France</v>
      </c>
    </row>
    <row r="350" spans="1:14" x14ac:dyDescent="0.25">
      <c r="A350" s="6" t="s">
        <v>986</v>
      </c>
      <c r="B350" s="6">
        <v>5410</v>
      </c>
      <c r="C350" s="6" t="s">
        <v>7079</v>
      </c>
      <c r="D350" s="7" t="s">
        <v>13</v>
      </c>
      <c r="E350" s="6" t="s">
        <v>987</v>
      </c>
      <c r="F350" s="6" t="s">
        <v>1181</v>
      </c>
      <c r="G350" s="8">
        <v>46006</v>
      </c>
      <c r="H350" s="6">
        <v>15.04</v>
      </c>
      <c r="I350" s="6" cm="1">
        <f t="array" ref="I350">IFERROR(VALUE(TRIM(LEFT(E350,MIN(FIND({" ";"g";"k";"m";"o"},E350&amp;" gkmo"))-1))),0)</f>
        <v>250</v>
      </c>
      <c r="J350" s="6" t="str" cm="1">
        <f t="array" ref="J350">IFERROR(TRIM(MID(E350,MIN(FIND({" ";"g";"k";"m";"o"},E350&amp;" gkmo")),10)),"unknown")</f>
        <v>g (10 x 25</v>
      </c>
      <c r="K350" s="6" t="str">
        <f t="shared" si="20"/>
        <v>g</v>
      </c>
      <c r="L350" s="6" t="str">
        <f t="shared" si="21"/>
        <v>Lu</v>
      </c>
      <c r="M350" s="6" t="str">
        <f t="shared" si="22"/>
        <v>Véritable Petit Écolier Pocket Chocolat Au Lait</v>
      </c>
      <c r="N350" s="6" t="str">
        <f t="shared" si="23"/>
        <v>France,Switzerland</v>
      </c>
    </row>
    <row r="351" spans="1:14" x14ac:dyDescent="0.25">
      <c r="A351" s="6" t="s">
        <v>988</v>
      </c>
      <c r="B351" s="6">
        <v>13531</v>
      </c>
      <c r="C351" s="6" t="s">
        <v>989</v>
      </c>
      <c r="D351" s="7" t="s">
        <v>990</v>
      </c>
      <c r="E351" s="6" t="s">
        <v>991</v>
      </c>
      <c r="F351" s="6" t="s">
        <v>7948</v>
      </c>
      <c r="G351" s="8">
        <v>45990</v>
      </c>
      <c r="H351" s="6">
        <v>11.55</v>
      </c>
      <c r="I351" s="6" cm="1">
        <f t="array" ref="I351">IFERROR(VALUE(TRIM(LEFT(E351,MIN(FIND({" ";"g";"k";"m";"o"},E351&amp;" gkmo"))-1))),0)</f>
        <v>20</v>
      </c>
      <c r="J351" s="6" t="str" cm="1">
        <f t="array" ref="J351">IFERROR(TRIM(MID(E351,MIN(FIND({" ";"g";"k";"m";"o"},E351&amp;" gkmo")),10)),"unknown")</f>
        <v>units, 30</v>
      </c>
      <c r="K351" s="6" t="str">
        <f t="shared" si="20"/>
        <v>g</v>
      </c>
      <c r="L351" s="6" t="str">
        <f t="shared" si="21"/>
        <v>Paterson'S</v>
      </c>
      <c r="M351" s="6" t="str">
        <f t="shared" si="22"/>
        <v>Shortbread Fingers</v>
      </c>
      <c r="N351" s="6" t="str">
        <f t="shared" si="23"/>
        <v>Spain, United-Kingdom</v>
      </c>
    </row>
    <row r="352" spans="1:14" x14ac:dyDescent="0.25">
      <c r="A352" s="6" t="s">
        <v>992</v>
      </c>
      <c r="B352" s="6">
        <v>10051</v>
      </c>
      <c r="C352" s="6" t="s">
        <v>993</v>
      </c>
      <c r="D352" s="7" t="s">
        <v>7017</v>
      </c>
      <c r="E352" s="6"/>
      <c r="F352" s="6" t="s">
        <v>7949</v>
      </c>
      <c r="G352" s="8">
        <v>45942</v>
      </c>
      <c r="H352" s="6">
        <v>13.16</v>
      </c>
      <c r="I352" s="6" cm="1">
        <f t="array" ref="I352">IFERROR(VALUE(TRIM(LEFT(E352,MIN(FIND({" ";"g";"k";"m";"o"},E352&amp;" gkmo"))-1))),0)</f>
        <v>0</v>
      </c>
      <c r="J352" s="6" t="str" cm="1">
        <f t="array" ref="J352">IFERROR(TRIM(MID(E352,MIN(FIND({" ";"g";"k";"m";"o"},E352&amp;" gkmo")),10)),"unknown")</f>
        <v/>
      </c>
      <c r="K352" s="6" t="str">
        <f t="shared" si="20"/>
        <v>unknown</v>
      </c>
      <c r="L352" s="6" t="str">
        <f t="shared" si="21"/>
        <v>Unknown</v>
      </c>
      <c r="M352" s="6" t="str">
        <f t="shared" si="22"/>
        <v>Ø³Ùšø±Ø¬Ùšùˆ Øµøºùšø±Ø©</v>
      </c>
      <c r="N352" s="6" t="str">
        <f t="shared" si="23"/>
        <v>Morocco</v>
      </c>
    </row>
    <row r="353" spans="1:14" x14ac:dyDescent="0.25">
      <c r="A353" s="6" t="s">
        <v>994</v>
      </c>
      <c r="B353" s="6">
        <v>11017</v>
      </c>
      <c r="C353" s="6" t="s">
        <v>995</v>
      </c>
      <c r="D353" s="7" t="s">
        <v>996</v>
      </c>
      <c r="E353" s="6" t="s">
        <v>151</v>
      </c>
      <c r="F353" s="6" t="s">
        <v>997</v>
      </c>
      <c r="G353" s="8">
        <v>45593</v>
      </c>
      <c r="H353" s="6">
        <v>5.48</v>
      </c>
      <c r="I353" s="6" cm="1">
        <f t="array" ref="I353">IFERROR(VALUE(TRIM(LEFT(E353,MIN(FIND({" ";"g";"k";"m";"o"},E353&amp;" gkmo"))-1))),0)</f>
        <v>200</v>
      </c>
      <c r="J353" s="6" t="str" cm="1">
        <f t="array" ref="J353">IFERROR(TRIM(MID(E353,MIN(FIND({" ";"g";"k";"m";"o"},E353&amp;" gkmo")),10)),"unknown")</f>
        <v>g</v>
      </c>
      <c r="K353" s="6" t="str">
        <f t="shared" si="20"/>
        <v>g</v>
      </c>
      <c r="L353" s="6" t="str">
        <f t="shared" si="21"/>
        <v>Fin Carre</v>
      </c>
      <c r="M353" s="6" t="str">
        <f t="shared" si="22"/>
        <v>Cioccolato Fondente</v>
      </c>
      <c r="N353" s="6" t="str">
        <f t="shared" si="23"/>
        <v>Italy</v>
      </c>
    </row>
    <row r="354" spans="1:14" x14ac:dyDescent="0.25">
      <c r="A354" s="6" t="s">
        <v>998</v>
      </c>
      <c r="B354" s="6">
        <v>5484</v>
      </c>
      <c r="C354" s="6" t="s">
        <v>999</v>
      </c>
      <c r="D354" s="7" t="s">
        <v>63</v>
      </c>
      <c r="E354" s="6" t="s">
        <v>64</v>
      </c>
      <c r="F354" s="6" t="s">
        <v>3183</v>
      </c>
      <c r="G354" s="8">
        <v>45812</v>
      </c>
      <c r="H354" s="6">
        <v>15.97</v>
      </c>
      <c r="I354" s="6" cm="1">
        <f t="array" ref="I354">IFERROR(VALUE(TRIM(LEFT(E354,MIN(FIND({" ";"g";"k";"m";"o"},E354&amp;" gkmo"))-1))),0)</f>
        <v>150</v>
      </c>
      <c r="J354" s="6" t="str" cm="1">
        <f t="array" ref="J354">IFERROR(TRIM(MID(E354,MIN(FIND({" ";"g";"k";"m";"o"},E354&amp;" gkmo")),10)),"unknown")</f>
        <v>g</v>
      </c>
      <c r="K354" s="6" t="str">
        <f t="shared" si="20"/>
        <v>g</v>
      </c>
      <c r="L354" s="6" t="str">
        <f t="shared" si="21"/>
        <v>Tyrrell'S</v>
      </c>
      <c r="M354" s="6" t="str">
        <f t="shared" si="22"/>
        <v>Chips Sel De Mer Et Poivre Noir</v>
      </c>
      <c r="N354" s="6" t="str">
        <f t="shared" si="23"/>
        <v>France,Germany,United Kingdom</v>
      </c>
    </row>
    <row r="355" spans="1:14" x14ac:dyDescent="0.25">
      <c r="A355" s="6" t="s">
        <v>1000</v>
      </c>
      <c r="B355" s="6">
        <v>9966</v>
      </c>
      <c r="C355" s="6" t="s">
        <v>7526</v>
      </c>
      <c r="D355" s="7" t="s">
        <v>7017</v>
      </c>
      <c r="E355" s="6" t="s">
        <v>1001</v>
      </c>
      <c r="F355" s="6" t="s">
        <v>139</v>
      </c>
      <c r="G355" s="8">
        <v>45641</v>
      </c>
      <c r="H355" s="6">
        <v>3.54</v>
      </c>
      <c r="I355" s="6" cm="1">
        <f t="array" ref="I355">IFERROR(VALUE(TRIM(LEFT(E355,MIN(FIND({" ";"g";"k";"m";"o"},E355&amp;" gkmo"))-1))),0)</f>
        <v>205</v>
      </c>
      <c r="J355" s="6" t="str" cm="1">
        <f t="array" ref="J355">IFERROR(TRIM(MID(E355,MIN(FIND({" ";"g";"k";"m";"o"},E355&amp;" gkmo")),10)),"unknown")</f>
        <v>g</v>
      </c>
      <c r="K355" s="6" t="str">
        <f t="shared" si="20"/>
        <v>g</v>
      </c>
      <c r="L355" s="6" t="str">
        <f t="shared" si="21"/>
        <v>Unknown</v>
      </c>
      <c r="M355" s="6" t="str">
        <f t="shared" si="22"/>
        <v>Nestlé Dessert Noir 205G</v>
      </c>
      <c r="N355" s="6" t="str">
        <f t="shared" si="23"/>
        <v>France</v>
      </c>
    </row>
    <row r="356" spans="1:14" x14ac:dyDescent="0.25">
      <c r="A356" s="6" t="s">
        <v>1002</v>
      </c>
      <c r="B356" s="6">
        <v>6407</v>
      </c>
      <c r="C356" s="6" t="s">
        <v>1003</v>
      </c>
      <c r="D356" s="7" t="s">
        <v>1004</v>
      </c>
      <c r="E356" s="6" t="s">
        <v>64</v>
      </c>
      <c r="F356" s="6" t="s">
        <v>1005</v>
      </c>
      <c r="G356" s="8">
        <v>45859</v>
      </c>
      <c r="H356" s="6">
        <v>2</v>
      </c>
      <c r="I356" s="6" cm="1">
        <f t="array" ref="I356">IFERROR(VALUE(TRIM(LEFT(E356,MIN(FIND({" ";"g";"k";"m";"o"},E356&amp;" gkmo"))-1))),0)</f>
        <v>150</v>
      </c>
      <c r="J356" s="6" t="str" cm="1">
        <f t="array" ref="J356">IFERROR(TRIM(MID(E356,MIN(FIND({" ";"g";"k";"m";"o"},E356&amp;" gkmo")),10)),"unknown")</f>
        <v>g</v>
      </c>
      <c r="K356" s="6" t="str">
        <f t="shared" si="20"/>
        <v>g</v>
      </c>
      <c r="L356" s="6" t="str">
        <f t="shared" si="21"/>
        <v>Real Foods</v>
      </c>
      <c r="M356" s="6" t="str">
        <f t="shared" si="22"/>
        <v>Corn Thins Original</v>
      </c>
      <c r="N356" s="6" t="str">
        <f t="shared" si="23"/>
        <v>Australia,France,New Zealand,United Kingdom</v>
      </c>
    </row>
    <row r="357" spans="1:14" x14ac:dyDescent="0.25">
      <c r="A357" s="6" t="s">
        <v>1006</v>
      </c>
      <c r="B357" s="6">
        <v>14067</v>
      </c>
      <c r="C357" s="6" t="s">
        <v>1007</v>
      </c>
      <c r="D357" s="7" t="s">
        <v>587</v>
      </c>
      <c r="E357" s="6" t="s">
        <v>10</v>
      </c>
      <c r="F357" s="6" t="s">
        <v>400</v>
      </c>
      <c r="G357" s="8">
        <v>45500</v>
      </c>
      <c r="H357" s="6">
        <v>22.51</v>
      </c>
      <c r="I357" s="6" cm="1">
        <f t="array" ref="I357">IFERROR(VALUE(TRIM(LEFT(E357,MIN(FIND({" ";"g";"k";"m";"o"},E357&amp;" gkmo"))-1))),0)</f>
        <v>100</v>
      </c>
      <c r="J357" s="6" t="str" cm="1">
        <f t="array" ref="J357">IFERROR(TRIM(MID(E357,MIN(FIND({" ";"g";"k";"m";"o"},E357&amp;" gkmo")),10)),"unknown")</f>
        <v>g</v>
      </c>
      <c r="K357" s="6" t="str">
        <f t="shared" si="20"/>
        <v>g</v>
      </c>
      <c r="L357" s="6" t="str">
        <f t="shared" si="21"/>
        <v>Graze</v>
      </c>
      <c r="M357" s="6" t="str">
        <f t="shared" si="22"/>
        <v>Marmite Crunch</v>
      </c>
      <c r="N357" s="6" t="str">
        <f t="shared" si="23"/>
        <v>France,United Kingdom</v>
      </c>
    </row>
    <row r="358" spans="1:14" x14ac:dyDescent="0.25">
      <c r="A358" s="6" t="s">
        <v>1008</v>
      </c>
      <c r="B358" s="6">
        <v>9336</v>
      </c>
      <c r="C358" s="6" t="s">
        <v>1009</v>
      </c>
      <c r="D358" s="7" t="s">
        <v>1010</v>
      </c>
      <c r="E358" s="6"/>
      <c r="F358" s="6" t="s">
        <v>2973</v>
      </c>
      <c r="G358" s="8">
        <v>45611</v>
      </c>
      <c r="H358" s="6">
        <v>3.67</v>
      </c>
      <c r="I358" s="6" cm="1">
        <f t="array" ref="I358">IFERROR(VALUE(TRIM(LEFT(E358,MIN(FIND({" ";"g";"k";"m";"o"},E358&amp;" gkmo"))-1))),0)</f>
        <v>0</v>
      </c>
      <c r="J358" s="6" t="str" cm="1">
        <f t="array" ref="J358">IFERROR(TRIM(MID(E358,MIN(FIND({" ";"g";"k";"m";"o"},E358&amp;" gkmo")),10)),"unknown")</f>
        <v/>
      </c>
      <c r="K358" s="6" t="str">
        <f t="shared" si="20"/>
        <v>unknown</v>
      </c>
      <c r="L358" s="6" t="str">
        <f t="shared" si="21"/>
        <v>Manomasa</v>
      </c>
      <c r="M358" s="6" t="str">
        <f t="shared" si="22"/>
        <v>Chipotle &amp; Lime</v>
      </c>
      <c r="N358" s="6" t="str">
        <f t="shared" si="23"/>
        <v>Gb</v>
      </c>
    </row>
    <row r="359" spans="1:14" x14ac:dyDescent="0.25">
      <c r="A359" s="6" t="s">
        <v>1011</v>
      </c>
      <c r="B359" s="6">
        <v>11539</v>
      </c>
      <c r="C359" s="6" t="s">
        <v>1012</v>
      </c>
      <c r="D359" s="7" t="s">
        <v>1013</v>
      </c>
      <c r="E359" s="6"/>
      <c r="F359" s="6" t="s">
        <v>8040</v>
      </c>
      <c r="G359" s="8">
        <v>45590</v>
      </c>
      <c r="H359" s="6">
        <v>12.73</v>
      </c>
      <c r="I359" s="6" cm="1">
        <f t="array" ref="I359">IFERROR(VALUE(TRIM(LEFT(E359,MIN(FIND({" ";"g";"k";"m";"o"},E359&amp;" gkmo"))-1))),0)</f>
        <v>0</v>
      </c>
      <c r="J359" s="6" t="str" cm="1">
        <f t="array" ref="J359">IFERROR(TRIM(MID(E359,MIN(FIND({" ";"g";"k";"m";"o"},E359&amp;" gkmo")),10)),"unknown")</f>
        <v/>
      </c>
      <c r="K359" s="6" t="str">
        <f t="shared" si="20"/>
        <v>unknown</v>
      </c>
      <c r="L359" s="6" t="str">
        <f t="shared" si="21"/>
        <v>Jacob'S, Jacobs</v>
      </c>
      <c r="M359" s="6" t="str">
        <f t="shared" si="22"/>
        <v>High Fibre Cream Crackers</v>
      </c>
      <c r="N359" s="6" t="str">
        <f t="shared" si="23"/>
        <v>United Kingdom, France</v>
      </c>
    </row>
    <row r="360" spans="1:14" x14ac:dyDescent="0.25">
      <c r="A360" s="6" t="s">
        <v>1014</v>
      </c>
      <c r="B360" s="6">
        <v>12806</v>
      </c>
      <c r="C360" s="6" t="s">
        <v>1015</v>
      </c>
      <c r="D360" s="7" t="s">
        <v>1016</v>
      </c>
      <c r="E360" s="6" t="s">
        <v>151</v>
      </c>
      <c r="F360" s="6" t="s">
        <v>1017</v>
      </c>
      <c r="G360" s="8">
        <v>46013</v>
      </c>
      <c r="H360" s="6">
        <v>16.670000000000002</v>
      </c>
      <c r="I360" s="6" cm="1">
        <f t="array" ref="I360">IFERROR(VALUE(TRIM(LEFT(E360,MIN(FIND({" ";"g";"k";"m";"o"},E360&amp;" gkmo"))-1))),0)</f>
        <v>200</v>
      </c>
      <c r="J360" s="6" t="str" cm="1">
        <f t="array" ref="J360">IFERROR(TRIM(MID(E360,MIN(FIND({" ";"g";"k";"m";"o"},E360&amp;" gkmo")),10)),"unknown")</f>
        <v>g</v>
      </c>
      <c r="K360" s="6" t="str">
        <f t="shared" si="20"/>
        <v>g</v>
      </c>
      <c r="L360" s="6" t="str">
        <f t="shared" si="21"/>
        <v>Ritz Bakery</v>
      </c>
      <c r="M360" s="6" t="str">
        <f t="shared" si="22"/>
        <v>The Original Cracker</v>
      </c>
      <c r="N360" s="6" t="str">
        <f t="shared" si="23"/>
        <v>United Kingdom, United States</v>
      </c>
    </row>
    <row r="361" spans="1:14" x14ac:dyDescent="0.25">
      <c r="A361" s="6" t="s">
        <v>1018</v>
      </c>
      <c r="B361" s="6">
        <v>7407</v>
      </c>
      <c r="C361" s="6" t="s">
        <v>7600</v>
      </c>
      <c r="D361" s="7" t="s">
        <v>1019</v>
      </c>
      <c r="E361" s="6" t="s">
        <v>1020</v>
      </c>
      <c r="F361" s="6" t="s">
        <v>1021</v>
      </c>
      <c r="G361" s="8">
        <v>45986</v>
      </c>
      <c r="H361" s="6">
        <v>13.16</v>
      </c>
      <c r="I361" s="6" cm="1">
        <f t="array" ref="I361">IFERROR(VALUE(TRIM(LEFT(E361,MIN(FIND({" ";"g";"k";"m";"o"},E361&amp;" gkmo"))-1))),0)</f>
        <v>60</v>
      </c>
      <c r="J361" s="6" t="str" cm="1">
        <f t="array" ref="J361">IFERROR(TRIM(MID(E361,MIN(FIND({" ";"g";"k";"m";"o"},E361&amp;" gkmo")),10)),"unknown")</f>
        <v>g</v>
      </c>
      <c r="K361" s="6" t="str">
        <f t="shared" si="20"/>
        <v>g</v>
      </c>
      <c r="L361" s="6" t="str">
        <f t="shared" si="21"/>
        <v>Emco</v>
      </c>
      <c r="M361" s="6" t="str">
        <f t="shared" si="22"/>
        <v>Mà¼Sli Oat Biscuits</v>
      </c>
      <c r="N361" s="6" t="str">
        <f t="shared" si="23"/>
        <v>France,Morocco,Czech Republic</v>
      </c>
    </row>
    <row r="362" spans="1:14" x14ac:dyDescent="0.25">
      <c r="A362" s="6" t="s">
        <v>1022</v>
      </c>
      <c r="B362" s="6">
        <v>9023</v>
      </c>
      <c r="C362" s="6" t="s">
        <v>1023</v>
      </c>
      <c r="D362" s="7" t="s">
        <v>43</v>
      </c>
      <c r="E362" s="6" t="s">
        <v>436</v>
      </c>
      <c r="F362" s="6" t="s">
        <v>7948</v>
      </c>
      <c r="G362" s="8">
        <v>45409</v>
      </c>
      <c r="H362" s="6">
        <v>13.16</v>
      </c>
      <c r="I362" s="6" cm="1">
        <f t="array" ref="I362">IFERROR(VALUE(TRIM(LEFT(E362,MIN(FIND({" ";"g";"k";"m";"o"},E362&amp;" gkmo"))-1))),0)</f>
        <v>90</v>
      </c>
      <c r="J362" s="6" t="str" cm="1">
        <f t="array" ref="J362">IFERROR(TRIM(MID(E362,MIN(FIND({" ";"g";"k";"m";"o"},E362&amp;" gkmo")),10)),"unknown")</f>
        <v>g</v>
      </c>
      <c r="K362" s="6" t="str">
        <f t="shared" si="20"/>
        <v>g</v>
      </c>
      <c r="L362" s="6" t="str">
        <f t="shared" si="21"/>
        <v>Green &amp; Black'S</v>
      </c>
      <c r="M362" s="6" t="str">
        <f t="shared" si="22"/>
        <v>Ginger 60% Cocoa Bar</v>
      </c>
      <c r="N362" s="6" t="str">
        <f t="shared" si="23"/>
        <v>Spain, United-Kingdom</v>
      </c>
    </row>
    <row r="363" spans="1:14" x14ac:dyDescent="0.25">
      <c r="A363" s="6" t="s">
        <v>1024</v>
      </c>
      <c r="B363" s="6">
        <v>11920</v>
      </c>
      <c r="C363" s="6" t="s">
        <v>1025</v>
      </c>
      <c r="D363" s="7" t="s">
        <v>1026</v>
      </c>
      <c r="E363" s="6" t="s">
        <v>1027</v>
      </c>
      <c r="F363" s="6" t="s">
        <v>1028</v>
      </c>
      <c r="G363" s="8">
        <v>45619</v>
      </c>
      <c r="H363" s="6">
        <v>4.6900000000000004</v>
      </c>
      <c r="I363" s="6" cm="1">
        <f t="array" ref="I363">IFERROR(VALUE(TRIM(LEFT(E363,MIN(FIND({" ";"g";"k";"m";"o"},E363&amp;" gkmo"))-1))),0)</f>
        <v>85</v>
      </c>
      <c r="J363" s="6" t="str" cm="1">
        <f t="array" ref="J363">IFERROR(TRIM(MID(E363,MIN(FIND({" ";"g";"k";"m";"o"},E363&amp;" gkmo")),10)),"unknown")</f>
        <v>gram</v>
      </c>
      <c r="K363" s="6" t="str">
        <f t="shared" si="20"/>
        <v>g</v>
      </c>
      <c r="L363" s="6" t="str">
        <f t="shared" si="21"/>
        <v>Proper</v>
      </c>
      <c r="M363" s="6" t="str">
        <f t="shared" si="22"/>
        <v>Barbecue Lentil Chips</v>
      </c>
      <c r="N363" s="6" t="str">
        <f t="shared" si="23"/>
        <v>United Kingdom,Netherlands</v>
      </c>
    </row>
    <row r="364" spans="1:14" x14ac:dyDescent="0.25">
      <c r="A364" s="6" t="s">
        <v>1029</v>
      </c>
      <c r="B364" s="6">
        <v>7936</v>
      </c>
      <c r="C364" s="6" t="s">
        <v>1030</v>
      </c>
      <c r="D364" s="7" t="s">
        <v>306</v>
      </c>
      <c r="E364" s="6" t="s">
        <v>423</v>
      </c>
      <c r="F364" s="6" t="s">
        <v>225</v>
      </c>
      <c r="G364" s="8">
        <v>45824</v>
      </c>
      <c r="H364" s="6">
        <v>14.74</v>
      </c>
      <c r="I364" s="6" cm="1">
        <f t="array" ref="I364">IFERROR(VALUE(TRIM(LEFT(E364,MIN(FIND({" ";"g";"k";"m";"o"},E364&amp;" gkmo"))-1))),0)</f>
        <v>125</v>
      </c>
      <c r="J364" s="6" t="str" cm="1">
        <f t="array" ref="J364">IFERROR(TRIM(MID(E364,MIN(FIND({" ";"g";"k";"m";"o"},E364&amp;" gkmo")),10)),"unknown")</f>
        <v>g</v>
      </c>
      <c r="K364" s="6" t="str">
        <f t="shared" si="20"/>
        <v>g</v>
      </c>
      <c r="L364" s="6" t="str">
        <f t="shared" si="21"/>
        <v>Lu</v>
      </c>
      <c r="M364" s="6" t="str">
        <f t="shared" si="22"/>
        <v>Lu - Grany Chocolate 5 Cereals Bar X6, 125G (4.5Oz)</v>
      </c>
      <c r="N364" s="6" t="str">
        <f t="shared" si="23"/>
        <v>France,Guadeloupe</v>
      </c>
    </row>
    <row r="365" spans="1:14" x14ac:dyDescent="0.25">
      <c r="A365" s="6" t="s">
        <v>1031</v>
      </c>
      <c r="B365" s="6">
        <v>11188</v>
      </c>
      <c r="C365" s="6" t="s">
        <v>1032</v>
      </c>
      <c r="D365" s="7" t="s">
        <v>1033</v>
      </c>
      <c r="E365" s="6" t="s">
        <v>77</v>
      </c>
      <c r="F365" s="6" t="s">
        <v>1034</v>
      </c>
      <c r="G365" s="8">
        <v>45785</v>
      </c>
      <c r="H365" s="6">
        <v>6.36</v>
      </c>
      <c r="I365" s="6" cm="1">
        <f t="array" ref="I365">IFERROR(VALUE(TRIM(LEFT(E365,MIN(FIND({" ";"g";"k";"m";"o"},E365&amp;" gkmo"))-1))),0)</f>
        <v>100</v>
      </c>
      <c r="J365" s="6" t="str" cm="1">
        <f t="array" ref="J365">IFERROR(TRIM(MID(E365,MIN(FIND({" ";"g";"k";"m";"o"},E365&amp;" gkmo")),10)),"unknown")</f>
        <v>gram</v>
      </c>
      <c r="K365" s="6" t="str">
        <f t="shared" si="20"/>
        <v>g</v>
      </c>
      <c r="L365" s="6" t="str">
        <f t="shared" si="21"/>
        <v>Ferrero Group,Kinder</v>
      </c>
      <c r="M365" s="6" t="str">
        <f t="shared" si="22"/>
        <v>Kinder Riegel Einzelpackung</v>
      </c>
      <c r="N365" s="6" t="str">
        <f t="shared" si="23"/>
        <v>Belgium,Bulgaria,France,Germany,Morocco,Poland,Spain,Switzerland</v>
      </c>
    </row>
    <row r="366" spans="1:14" x14ac:dyDescent="0.25">
      <c r="A366" s="6" t="s">
        <v>1035</v>
      </c>
      <c r="B366" s="6">
        <v>6224</v>
      </c>
      <c r="C366" s="6" t="s">
        <v>1036</v>
      </c>
      <c r="D366" s="7" t="s">
        <v>7017</v>
      </c>
      <c r="E366" s="6"/>
      <c r="F366" s="6" t="s">
        <v>8457</v>
      </c>
      <c r="G366" s="8">
        <v>45642</v>
      </c>
      <c r="H366" s="6">
        <v>5.46</v>
      </c>
      <c r="I366" s="6" cm="1">
        <f t="array" ref="I366">IFERROR(VALUE(TRIM(LEFT(E366,MIN(FIND({" ";"g";"k";"m";"o"},E366&amp;" gkmo"))-1))),0)</f>
        <v>0</v>
      </c>
      <c r="J366" s="6" t="str" cm="1">
        <f t="array" ref="J366">IFERROR(TRIM(MID(E366,MIN(FIND({" ";"g";"k";"m";"o"},E366&amp;" gkmo")),10)),"unknown")</f>
        <v/>
      </c>
      <c r="K366" s="6" t="str">
        <f t="shared" si="20"/>
        <v>unknown</v>
      </c>
      <c r="L366" s="6" t="str">
        <f t="shared" si="21"/>
        <v>Unknown</v>
      </c>
      <c r="M366" s="6" t="str">
        <f t="shared" si="22"/>
        <v>Melloeux Fruit Rouges</v>
      </c>
      <c r="N366" s="6" t="str">
        <f t="shared" si="23"/>
        <v>Belgium,France,Portugal,La Reunion,Switzerland</v>
      </c>
    </row>
    <row r="367" spans="1:14" x14ac:dyDescent="0.25">
      <c r="A367" s="6" t="s">
        <v>1037</v>
      </c>
      <c r="B367" s="6">
        <v>10267</v>
      </c>
      <c r="C367" s="6" t="s">
        <v>1038</v>
      </c>
      <c r="D367" s="7" t="s">
        <v>1039</v>
      </c>
      <c r="E367" s="6" t="s">
        <v>151</v>
      </c>
      <c r="F367" s="6" t="s">
        <v>177</v>
      </c>
      <c r="G367" s="8">
        <v>46048</v>
      </c>
      <c r="H367" s="6">
        <v>11.85</v>
      </c>
      <c r="I367" s="6" cm="1">
        <f t="array" ref="I367">IFERROR(VALUE(TRIM(LEFT(E367,MIN(FIND({" ";"g";"k";"m";"o"},E367&amp;" gkmo"))-1))),0)</f>
        <v>200</v>
      </c>
      <c r="J367" s="6" t="str" cm="1">
        <f t="array" ref="J367">IFERROR(TRIM(MID(E367,MIN(FIND({" ";"g";"k";"m";"o"},E367&amp;" gkmo")),10)),"unknown")</f>
        <v>g</v>
      </c>
      <c r="K367" s="6" t="str">
        <f t="shared" si="20"/>
        <v>g</v>
      </c>
      <c r="L367" s="6" t="str">
        <f t="shared" si="21"/>
        <v>Sainsbury'S Basics</v>
      </c>
      <c r="M367" s="6" t="str">
        <f t="shared" si="22"/>
        <v>Just Snax Tortilla Chips</v>
      </c>
      <c r="N367" s="6" t="str">
        <f t="shared" si="23"/>
        <v>United Kingdom</v>
      </c>
    </row>
    <row r="368" spans="1:14" x14ac:dyDescent="0.25">
      <c r="A368" s="6" t="s">
        <v>1040</v>
      </c>
      <c r="B368" s="6">
        <v>7787</v>
      </c>
      <c r="C368" s="6" t="s">
        <v>1041</v>
      </c>
      <c r="D368" s="7" t="s">
        <v>514</v>
      </c>
      <c r="E368" s="6" t="s">
        <v>515</v>
      </c>
      <c r="F368" s="6" t="s">
        <v>177</v>
      </c>
      <c r="G368" s="8">
        <v>45527</v>
      </c>
      <c r="H368" s="6">
        <v>10.4</v>
      </c>
      <c r="I368" s="6" cm="1">
        <f t="array" ref="I368">IFERROR(VALUE(TRIM(LEFT(E368,MIN(FIND({" ";"g";"k";"m";"o"},E368&amp;" gkmo"))-1))),0)</f>
        <v>3</v>
      </c>
      <c r="J368" s="6" t="str" cm="1">
        <f t="array" ref="J368">IFERROR(TRIM(MID(E368,MIN(FIND({" ";"g";"k";"m";"o"},E368&amp;" gkmo")),10)),"unknown")</f>
        <v>x 50g</v>
      </c>
      <c r="K368" s="6" t="str">
        <f t="shared" si="20"/>
        <v>g</v>
      </c>
      <c r="L368" s="6" t="str">
        <f t="shared" si="21"/>
        <v>Deliciously Ella</v>
      </c>
      <c r="M368" s="6" t="str">
        <f t="shared" si="22"/>
        <v>Hazelnut, Pecan &amp; Maple Oat Bars</v>
      </c>
      <c r="N368" s="6" t="str">
        <f t="shared" si="23"/>
        <v>United Kingdom</v>
      </c>
    </row>
    <row r="369" spans="1:14" x14ac:dyDescent="0.25">
      <c r="A369" s="6" t="s">
        <v>1042</v>
      </c>
      <c r="B369" s="6">
        <v>6573</v>
      </c>
      <c r="C369" s="6" t="s">
        <v>1043</v>
      </c>
      <c r="D369" s="7" t="s">
        <v>488</v>
      </c>
      <c r="E369" s="6" t="s">
        <v>1044</v>
      </c>
      <c r="F369" s="6" t="s">
        <v>139</v>
      </c>
      <c r="G369" s="8">
        <v>45457</v>
      </c>
      <c r="H369" s="6">
        <v>5.56</v>
      </c>
      <c r="I369" s="6" cm="1">
        <f t="array" ref="I369">IFERROR(VALUE(TRIM(LEFT(E369,MIN(FIND({" ";"g";"k";"m";"o"},E369&amp;" gkmo"))-1))),0)</f>
        <v>500</v>
      </c>
      <c r="J369" s="6" t="str" cm="1">
        <f t="array" ref="J369">IFERROR(TRIM(MID(E369,MIN(FIND({" ";"g";"k";"m";"o"},E369&amp;" gkmo")),10)),"unknown")</f>
        <v>g e</v>
      </c>
      <c r="K369" s="6" t="str">
        <f t="shared" si="20"/>
        <v>g</v>
      </c>
      <c r="L369" s="6" t="str">
        <f t="shared" si="21"/>
        <v>Bonne Maman</v>
      </c>
      <c r="M369" s="6" t="str">
        <f t="shared" si="22"/>
        <v>Bonne Maman - Quatre Quarts, 500G (17.6Oz)</v>
      </c>
      <c r="N369" s="6" t="str">
        <f t="shared" si="23"/>
        <v>France</v>
      </c>
    </row>
    <row r="370" spans="1:14" x14ac:dyDescent="0.25">
      <c r="A370" s="6" t="s">
        <v>1045</v>
      </c>
      <c r="B370" s="6">
        <v>12499</v>
      </c>
      <c r="C370" s="6" t="s">
        <v>1046</v>
      </c>
      <c r="D370" s="7" t="s">
        <v>7017</v>
      </c>
      <c r="E370" s="6" t="s">
        <v>423</v>
      </c>
      <c r="F370" s="6" t="s">
        <v>1047</v>
      </c>
      <c r="G370" s="8">
        <v>45876</v>
      </c>
      <c r="H370" s="6">
        <v>19.510000000000002</v>
      </c>
      <c r="I370" s="6" cm="1">
        <f t="array" ref="I370">IFERROR(VALUE(TRIM(LEFT(E370,MIN(FIND({" ";"g";"k";"m";"o"},E370&amp;" gkmo"))-1))),0)</f>
        <v>125</v>
      </c>
      <c r="J370" s="6" t="str" cm="1">
        <f t="array" ref="J370">IFERROR(TRIM(MID(E370,MIN(FIND({" ";"g";"k";"m";"o"},E370&amp;" gkmo")),10)),"unknown")</f>
        <v>g</v>
      </c>
      <c r="K370" s="6" t="str">
        <f t="shared" si="20"/>
        <v>g</v>
      </c>
      <c r="L370" s="6" t="str">
        <f t="shared" si="21"/>
        <v>Unknown</v>
      </c>
      <c r="M370" s="6" t="str">
        <f t="shared" si="22"/>
        <v>Chips Saveur Sel &amp; Vinaigre</v>
      </c>
      <c r="N370" s="6" t="str">
        <f t="shared" si="23"/>
        <v>Croatie,France</v>
      </c>
    </row>
    <row r="371" spans="1:14" x14ac:dyDescent="0.25">
      <c r="A371" s="6" t="s">
        <v>1048</v>
      </c>
      <c r="B371" s="6">
        <v>10674</v>
      </c>
      <c r="C371" s="6" t="s">
        <v>1049</v>
      </c>
      <c r="D371" s="7" t="s">
        <v>7601</v>
      </c>
      <c r="E371" s="6"/>
      <c r="F371" s="6" t="s">
        <v>1050</v>
      </c>
      <c r="G371" s="8">
        <v>45741</v>
      </c>
      <c r="H371" s="6">
        <v>14.93</v>
      </c>
      <c r="I371" s="6" cm="1">
        <f t="array" ref="I371">IFERROR(VALUE(TRIM(LEFT(E371,MIN(FIND({" ";"g";"k";"m";"o"},E371&amp;" gkmo"))-1))),0)</f>
        <v>0</v>
      </c>
      <c r="J371" s="6" t="str" cm="1">
        <f t="array" ref="J371">IFERROR(TRIM(MID(E371,MIN(FIND({" ";"g";"k";"m";"o"},E371&amp;" gkmo")),10)),"unknown")</f>
        <v/>
      </c>
      <c r="K371" s="6" t="str">
        <f t="shared" si="20"/>
        <v>unknown</v>
      </c>
      <c r="L371" s="6" t="str">
        <f t="shared" si="21"/>
        <v>Cà´Te D'Or,Kraft Foods,Mondelez International</v>
      </c>
      <c r="M371" s="6" t="str">
        <f t="shared" si="22"/>
        <v>Mignonnette Noir De Noir</v>
      </c>
      <c r="N371" s="6" t="str">
        <f t="shared" si="23"/>
        <v>Belgium,China,France</v>
      </c>
    </row>
    <row r="372" spans="1:14" x14ac:dyDescent="0.25">
      <c r="A372" s="6" t="s">
        <v>1051</v>
      </c>
      <c r="B372" s="6">
        <v>13112</v>
      </c>
      <c r="C372" s="6" t="s">
        <v>1052</v>
      </c>
      <c r="D372" s="7" t="s">
        <v>1053</v>
      </c>
      <c r="E372" s="6" t="s">
        <v>352</v>
      </c>
      <c r="F372" s="6" t="s">
        <v>8333</v>
      </c>
      <c r="G372" s="8">
        <v>45360</v>
      </c>
      <c r="H372" s="6">
        <v>22.58</v>
      </c>
      <c r="I372" s="6" cm="1">
        <f t="array" ref="I372">IFERROR(VALUE(TRIM(LEFT(E372,MIN(FIND({" ";"g";"k";"m";"o"},E372&amp;" gkmo"))-1))),0)</f>
        <v>170</v>
      </c>
      <c r="J372" s="6" t="str" cm="1">
        <f t="array" ref="J372">IFERROR(TRIM(MID(E372,MIN(FIND({" ";"g";"k";"m";"o"},E372&amp;" gkmo")),10)),"unknown")</f>
        <v>g</v>
      </c>
      <c r="K372" s="6" t="str">
        <f t="shared" si="20"/>
        <v>g</v>
      </c>
      <c r="L372" s="6" t="str">
        <f t="shared" si="21"/>
        <v>Lu, Mondelez International</v>
      </c>
      <c r="M372" s="6" t="str">
        <f t="shared" si="22"/>
        <v>La Paille D'Or Aux Framboises</v>
      </c>
      <c r="N372" s="6" t="str">
        <f t="shared" si="23"/>
        <v>France,Switzerland, Belgium</v>
      </c>
    </row>
    <row r="373" spans="1:14" x14ac:dyDescent="0.25">
      <c r="A373" s="6" t="s">
        <v>1054</v>
      </c>
      <c r="B373" s="6">
        <v>13647</v>
      </c>
      <c r="C373" s="6" t="s">
        <v>1055</v>
      </c>
      <c r="D373" s="7" t="s">
        <v>936</v>
      </c>
      <c r="E373" s="6" t="s">
        <v>327</v>
      </c>
      <c r="F373" s="6" t="s">
        <v>8302</v>
      </c>
      <c r="G373" s="8">
        <v>45753</v>
      </c>
      <c r="H373" s="6">
        <v>13.16</v>
      </c>
      <c r="I373" s="6" cm="1">
        <f t="array" ref="I373">IFERROR(VALUE(TRIM(LEFT(E373,MIN(FIND({" ";"g";"k";"m";"o"},E373&amp;" gkmo"))-1))),0)</f>
        <v>180</v>
      </c>
      <c r="J373" s="6" t="str" cm="1">
        <f t="array" ref="J373">IFERROR(TRIM(MID(E373,MIN(FIND({" ";"g";"k";"m";"o"},E373&amp;" gkmo")),10)),"unknown")</f>
        <v>g (6 x 30</v>
      </c>
      <c r="K373" s="6" t="str">
        <f t="shared" si="20"/>
        <v>g</v>
      </c>
      <c r="L373" s="6" t="str">
        <f t="shared" si="21"/>
        <v>Milka,Mondelä“Z</v>
      </c>
      <c r="M373" s="6" t="str">
        <f t="shared" si="22"/>
        <v>Choco Wafer</v>
      </c>
      <c r="N373" s="6" t="str">
        <f t="shared" si="23"/>
        <v>Belgium,France,Italie,Morocco,Portugal,Spain</v>
      </c>
    </row>
    <row r="374" spans="1:14" x14ac:dyDescent="0.25">
      <c r="A374" s="6" t="s">
        <v>1056</v>
      </c>
      <c r="B374" s="6">
        <v>12477</v>
      </c>
      <c r="C374" s="6" t="s">
        <v>1057</v>
      </c>
      <c r="D374" s="7" t="s">
        <v>1019</v>
      </c>
      <c r="E374" s="6" t="s">
        <v>1058</v>
      </c>
      <c r="F374" s="6" t="s">
        <v>7919</v>
      </c>
      <c r="G374" s="8">
        <v>45603</v>
      </c>
      <c r="H374" s="6">
        <v>17.899999999999999</v>
      </c>
      <c r="I374" s="6" cm="1">
        <f t="array" ref="I374">IFERROR(VALUE(TRIM(LEFT(E374,MIN(FIND({" ";"g";"k";"m";"o"},E374&amp;" gkmo"))-1))),0)</f>
        <v>0</v>
      </c>
      <c r="J374" s="6" t="str" cm="1">
        <f t="array" ref="J374">IFERROR(TRIM(MID(E374,MIN(FIND({" ";"g";"k";"m";"o"},E374&amp;" gkmo")),10)),"unknown")</f>
        <v>gh 60g, 6</v>
      </c>
      <c r="K374" s="6" t="str">
        <f t="shared" si="20"/>
        <v>g</v>
      </c>
      <c r="L374" s="6" t="str">
        <f t="shared" si="21"/>
        <v>Emco</v>
      </c>
      <c r="M374" s="6" t="str">
        <f t="shared" si="22"/>
        <v>Musli Oat Biscuits (Blueberry)</v>
      </c>
      <c r="N374" s="6" t="str">
        <f t="shared" si="23"/>
        <v>France, Morocco</v>
      </c>
    </row>
    <row r="375" spans="1:14" x14ac:dyDescent="0.25">
      <c r="A375" s="6" t="s">
        <v>1059</v>
      </c>
      <c r="B375" s="6">
        <v>8005</v>
      </c>
      <c r="C375" s="6" t="s">
        <v>1060</v>
      </c>
      <c r="D375" s="7" t="s">
        <v>180</v>
      </c>
      <c r="E375" s="6" t="s">
        <v>643</v>
      </c>
      <c r="F375" s="6" t="s">
        <v>2973</v>
      </c>
      <c r="G375" s="8">
        <v>45829</v>
      </c>
      <c r="H375" s="6">
        <v>4.21</v>
      </c>
      <c r="I375" s="6" cm="1">
        <f t="array" ref="I375">IFERROR(VALUE(TRIM(LEFT(E375,MIN(FIND({" ";"g";"k";"m";"o"},E375&amp;" gkmo"))-1))),0)</f>
        <v>25</v>
      </c>
      <c r="J375" s="6" t="str" cm="1">
        <f t="array" ref="J375">IFERROR(TRIM(MID(E375,MIN(FIND({" ";"g";"k";"m";"o"},E375&amp;" gkmo")),10)),"unknown")</f>
        <v>g</v>
      </c>
      <c r="K375" s="6" t="str">
        <f t="shared" si="20"/>
        <v>g</v>
      </c>
      <c r="L375" s="6" t="str">
        <f t="shared" si="21"/>
        <v>Kettle</v>
      </c>
      <c r="M375" s="6" t="str">
        <f t="shared" si="22"/>
        <v>Lightly Salted Potato Chips</v>
      </c>
      <c r="N375" s="6" t="str">
        <f t="shared" si="23"/>
        <v>Gb</v>
      </c>
    </row>
    <row r="376" spans="1:14" x14ac:dyDescent="0.25">
      <c r="A376" s="6" t="s">
        <v>1061</v>
      </c>
      <c r="B376" s="6">
        <v>6538</v>
      </c>
      <c r="C376" s="6" t="s">
        <v>1062</v>
      </c>
      <c r="D376" s="7" t="s">
        <v>1063</v>
      </c>
      <c r="E376" s="6" t="s">
        <v>1064</v>
      </c>
      <c r="F376" s="6" t="s">
        <v>8473</v>
      </c>
      <c r="G376" s="8">
        <v>45811</v>
      </c>
      <c r="H376" s="6">
        <v>13.16</v>
      </c>
      <c r="I376" s="6" cm="1">
        <f t="array" ref="I376">IFERROR(VALUE(TRIM(LEFT(E376,MIN(FIND({" ";"g";"k";"m";"o"},E376&amp;" gkmo"))-1))),0)</f>
        <v>100</v>
      </c>
      <c r="J376" s="6" t="str" cm="1">
        <f t="array" ref="J376">IFERROR(TRIM(MID(E376,MIN(FIND({" ";"g";"k";"m";"o"},E376&amp;" gkmo")),10)),"unknown")</f>
        <v>g, 2 sach</v>
      </c>
      <c r="K376" s="6" t="str">
        <f t="shared" si="20"/>
        <v>g</v>
      </c>
      <c r="L376" s="6" t="str">
        <f t="shared" si="21"/>
        <v>Lu, Mondelez</v>
      </c>
      <c r="M376" s="6" t="str">
        <f t="shared" si="22"/>
        <v>Palmito L'Original</v>
      </c>
      <c r="N376" s="6" t="str">
        <f t="shared" si="23"/>
        <v>Belgium,France,Guadeloupe,New Caledonia,La Reunion,Luxembourg</v>
      </c>
    </row>
    <row r="377" spans="1:14" x14ac:dyDescent="0.25">
      <c r="A377" s="6" t="s">
        <v>1065</v>
      </c>
      <c r="B377" s="6">
        <v>9026</v>
      </c>
      <c r="C377" s="6" t="s">
        <v>7460</v>
      </c>
      <c r="D377" s="7" t="s">
        <v>7017</v>
      </c>
      <c r="E377" s="6" t="s">
        <v>99</v>
      </c>
      <c r="F377" s="6" t="s">
        <v>789</v>
      </c>
      <c r="G377" s="8">
        <v>45890</v>
      </c>
      <c r="H377" s="6">
        <v>4.9800000000000004</v>
      </c>
      <c r="I377" s="6" cm="1">
        <f t="array" ref="I377">IFERROR(VALUE(TRIM(LEFT(E377,MIN(FIND({" ";"g";"k";"m";"o"},E377&amp;" gkmo"))-1))),0)</f>
        <v>160</v>
      </c>
      <c r="J377" s="6" t="str" cm="1">
        <f t="array" ref="J377">IFERROR(TRIM(MID(E377,MIN(FIND({" ";"g";"k";"m";"o"},E377&amp;" gkmo")),10)),"unknown")</f>
        <v>g</v>
      </c>
      <c r="K377" s="6" t="str">
        <f t="shared" si="20"/>
        <v>g</v>
      </c>
      <c r="L377" s="6" t="str">
        <f t="shared" si="21"/>
        <v>Unknown</v>
      </c>
      <c r="M377" s="6" t="str">
        <f t="shared" si="22"/>
        <v>Curly Cacahuète L'Original</v>
      </c>
      <c r="N377" s="6" t="str">
        <f t="shared" si="23"/>
        <v>Canada,France</v>
      </c>
    </row>
    <row r="378" spans="1:14" x14ac:dyDescent="0.25">
      <c r="A378" s="6" t="s">
        <v>1066</v>
      </c>
      <c r="B378" s="6">
        <v>11614</v>
      </c>
      <c r="C378" s="6" t="s">
        <v>1067</v>
      </c>
      <c r="D378" s="7" t="s">
        <v>726</v>
      </c>
      <c r="E378" s="6" t="s">
        <v>727</v>
      </c>
      <c r="F378" s="6" t="s">
        <v>177</v>
      </c>
      <c r="G378" s="8">
        <v>46037</v>
      </c>
      <c r="H378" s="6">
        <v>17.12</v>
      </c>
      <c r="I378" s="6" cm="1">
        <f t="array" ref="I378">IFERROR(VALUE(TRIM(LEFT(E378,MIN(FIND({" ";"g";"k";"m";"o"},E378&amp;" gkmo"))-1))),0)</f>
        <v>25</v>
      </c>
      <c r="J378" s="6" t="str" cm="1">
        <f t="array" ref="J378">IFERROR(TRIM(MID(E378,MIN(FIND({" ";"g";"k";"m";"o"},E378&amp;" gkmo")),10)),"unknown")</f>
        <v>g</v>
      </c>
      <c r="K378" s="6" t="str">
        <f t="shared" si="20"/>
        <v>g</v>
      </c>
      <c r="L378" s="6" t="str">
        <f t="shared" si="21"/>
        <v>Walkers</v>
      </c>
      <c r="M378" s="6" t="str">
        <f t="shared" si="22"/>
        <v>Salt And Vinegar Flavour Potato Crisps</v>
      </c>
      <c r="N378" s="6" t="str">
        <f t="shared" si="23"/>
        <v>United Kingdom</v>
      </c>
    </row>
    <row r="379" spans="1:14" x14ac:dyDescent="0.25">
      <c r="A379" s="6" t="s">
        <v>1068</v>
      </c>
      <c r="B379" s="6">
        <v>7160</v>
      </c>
      <c r="C379" s="6" t="s">
        <v>7080</v>
      </c>
      <c r="D379" s="7" t="s">
        <v>1069</v>
      </c>
      <c r="E379" s="6"/>
      <c r="F379" s="6" t="s">
        <v>8458</v>
      </c>
      <c r="G379" s="8">
        <v>45442</v>
      </c>
      <c r="H379" s="6">
        <v>13.35</v>
      </c>
      <c r="I379" s="6" cm="1">
        <f t="array" ref="I379">IFERROR(VALUE(TRIM(LEFT(E379,MIN(FIND({" ";"g";"k";"m";"o"},E379&amp;" gkmo"))-1))),0)</f>
        <v>0</v>
      </c>
      <c r="J379" s="6" t="str" cm="1">
        <f t="array" ref="J379">IFERROR(TRIM(MID(E379,MIN(FIND({" ";"g";"k";"m";"o"},E379&amp;" gkmo")),10)),"unknown")</f>
        <v/>
      </c>
      <c r="K379" s="6" t="str">
        <f t="shared" si="20"/>
        <v>unknown</v>
      </c>
      <c r="L379" s="6" t="str">
        <f t="shared" si="21"/>
        <v>Belvita, Lu, Mondelez</v>
      </c>
      <c r="M379" s="6" t="str">
        <f t="shared" si="22"/>
        <v>Belvita Original - Biscuits Petit Déjeuner Miel &amp; Pépites De Chocolat</v>
      </c>
      <c r="N379" s="6" t="str">
        <f t="shared" si="23"/>
        <v>France,La Reunion,Switzerland</v>
      </c>
    </row>
    <row r="380" spans="1:14" x14ac:dyDescent="0.25">
      <c r="A380" s="6" t="s">
        <v>1070</v>
      </c>
      <c r="B380" s="6">
        <v>14600</v>
      </c>
      <c r="C380" s="6" t="s">
        <v>1071</v>
      </c>
      <c r="D380" s="7" t="s">
        <v>7602</v>
      </c>
      <c r="E380" s="6" t="s">
        <v>436</v>
      </c>
      <c r="F380" s="6" t="s">
        <v>8446</v>
      </c>
      <c r="G380" s="8">
        <v>45791</v>
      </c>
      <c r="H380" s="6">
        <v>10.199999999999999</v>
      </c>
      <c r="I380" s="6" cm="1">
        <f t="array" ref="I380">IFERROR(VALUE(TRIM(LEFT(E380,MIN(FIND({" ";"g";"k";"m";"o"},E380&amp;" gkmo"))-1))),0)</f>
        <v>90</v>
      </c>
      <c r="J380" s="6" t="str" cm="1">
        <f t="array" ref="J380">IFERROR(TRIM(MID(E380,MIN(FIND({" ";"g";"k";"m";"o"},E380&amp;" gkmo")),10)),"unknown")</f>
        <v>g</v>
      </c>
      <c r="K380" s="6" t="str">
        <f t="shared" si="20"/>
        <v>g</v>
      </c>
      <c r="L380" s="6" t="str">
        <f t="shared" si="21"/>
        <v>Cà´Te D'Or,Mondelez International</v>
      </c>
      <c r="M380" s="6" t="str">
        <f t="shared" si="22"/>
        <v>Chocolat Noir Bio 70%</v>
      </c>
      <c r="N380" s="6" t="str">
        <f t="shared" si="23"/>
        <v>Belgium,France,Reunion</v>
      </c>
    </row>
    <row r="381" spans="1:14" x14ac:dyDescent="0.25">
      <c r="A381" s="6" t="s">
        <v>1072</v>
      </c>
      <c r="B381" s="6">
        <v>7650</v>
      </c>
      <c r="C381" s="6" t="s">
        <v>1073</v>
      </c>
      <c r="D381" s="7" t="s">
        <v>1074</v>
      </c>
      <c r="E381" s="6" t="s">
        <v>64</v>
      </c>
      <c r="F381" s="6" t="s">
        <v>7926</v>
      </c>
      <c r="G381" s="8">
        <v>45627</v>
      </c>
      <c r="H381" s="6">
        <v>19.93</v>
      </c>
      <c r="I381" s="6" cm="1">
        <f t="array" ref="I381">IFERROR(VALUE(TRIM(LEFT(E381,MIN(FIND({" ";"g";"k";"m";"o"},E381&amp;" gkmo"))-1))),0)</f>
        <v>150</v>
      </c>
      <c r="J381" s="6" t="str" cm="1">
        <f t="array" ref="J381">IFERROR(TRIM(MID(E381,MIN(FIND({" ";"g";"k";"m";"o"},E381&amp;" gkmo")),10)),"unknown")</f>
        <v>g</v>
      </c>
      <c r="K381" s="6" t="str">
        <f t="shared" si="20"/>
        <v>g</v>
      </c>
      <c r="L381" s="6" t="str">
        <f t="shared" si="21"/>
        <v>Tyrrels</v>
      </c>
      <c r="M381" s="6" t="str">
        <f t="shared" si="22"/>
        <v>Chips Sea Salt &amp; Cider Vinegar</v>
      </c>
      <c r="N381" s="6" t="str">
        <f t="shared" si="23"/>
        <v>France, United-Kingdom</v>
      </c>
    </row>
    <row r="382" spans="1:14" x14ac:dyDescent="0.25">
      <c r="A382" s="6" t="s">
        <v>1075</v>
      </c>
      <c r="B382" s="6">
        <v>10477</v>
      </c>
      <c r="C382" s="6" t="s">
        <v>889</v>
      </c>
      <c r="D382" s="7" t="s">
        <v>1076</v>
      </c>
      <c r="E382" s="6" t="s">
        <v>64</v>
      </c>
      <c r="F382" s="6" t="s">
        <v>1077</v>
      </c>
      <c r="G382" s="8">
        <v>45479</v>
      </c>
      <c r="H382" s="6">
        <v>16.989999999999998</v>
      </c>
      <c r="I382" s="6" cm="1">
        <f t="array" ref="I382">IFERROR(VALUE(TRIM(LEFT(E382,MIN(FIND({" ";"g";"k";"m";"o"},E382&amp;" gkmo"))-1))),0)</f>
        <v>150</v>
      </c>
      <c r="J382" s="6" t="str" cm="1">
        <f t="array" ref="J382">IFERROR(TRIM(MID(E382,MIN(FIND({" ";"g";"k";"m";"o"},E382&amp;" gkmo")),10)),"unknown")</f>
        <v>g</v>
      </c>
      <c r="K382" s="6" t="str">
        <f t="shared" si="20"/>
        <v>g</v>
      </c>
      <c r="L382" s="6" t="str">
        <f t="shared" si="21"/>
        <v>Tesco Finest</v>
      </c>
      <c r="M382" s="6" t="str">
        <f t="shared" si="22"/>
        <v>Ready Salted Crisps</v>
      </c>
      <c r="N382" s="6" t="str">
        <f t="shared" si="23"/>
        <v>United Kingdom,Czech Republic</v>
      </c>
    </row>
    <row r="383" spans="1:14" x14ac:dyDescent="0.25">
      <c r="A383" s="6" t="s">
        <v>1078</v>
      </c>
      <c r="B383" s="6">
        <v>10035</v>
      </c>
      <c r="C383" s="6" t="s">
        <v>1079</v>
      </c>
      <c r="D383" s="7" t="s">
        <v>248</v>
      </c>
      <c r="E383" s="6" t="s">
        <v>1080</v>
      </c>
      <c r="F383" s="6" t="s">
        <v>2973</v>
      </c>
      <c r="G383" s="8">
        <v>45628</v>
      </c>
      <c r="H383" s="6">
        <v>10.44</v>
      </c>
      <c r="I383" s="6" cm="1">
        <f t="array" ref="I383">IFERROR(VALUE(TRIM(LEFT(E383,MIN(FIND({" ";"g";"k";"m";"o"},E383&amp;" gkmo"))-1))),0)</f>
        <v>210</v>
      </c>
      <c r="J383" s="6" t="str" cm="1">
        <f t="array" ref="J383">IFERROR(TRIM(MID(E383,MIN(FIND({" ";"g";"k";"m";"o"},E383&amp;" gkmo")),10)),"unknown")</f>
        <v>g</v>
      </c>
      <c r="K383" s="6" t="str">
        <f t="shared" si="20"/>
        <v>g</v>
      </c>
      <c r="L383" s="6" t="str">
        <f t="shared" si="21"/>
        <v>Tesco</v>
      </c>
      <c r="M383" s="6" t="str">
        <f t="shared" si="22"/>
        <v>All Butter Shortbread Fingers</v>
      </c>
      <c r="N383" s="6" t="str">
        <f t="shared" si="23"/>
        <v>Gb</v>
      </c>
    </row>
    <row r="384" spans="1:14" x14ac:dyDescent="0.25">
      <c r="A384" s="6" t="s">
        <v>1081</v>
      </c>
      <c r="B384" s="6">
        <v>7241</v>
      </c>
      <c r="C384" s="6" t="s">
        <v>309</v>
      </c>
      <c r="D384" s="7" t="s">
        <v>310</v>
      </c>
      <c r="E384" s="6" t="s">
        <v>7081</v>
      </c>
      <c r="F384" s="6" t="s">
        <v>7950</v>
      </c>
      <c r="G384" s="8">
        <v>45679</v>
      </c>
      <c r="H384" s="6">
        <v>13.16</v>
      </c>
      <c r="I384" s="6" cm="1">
        <f t="array" ref="I384">IFERROR(VALUE(TRIM(LEFT(E384,MIN(FIND({" ";"g";"k";"m";"o"},E384&amp;" gkmo"))-1))),0)</f>
        <v>1</v>
      </c>
      <c r="J384" s="6" t="str" cm="1">
        <f t="array" ref="J384">IFERROR(TRIM(MID(E384,MIN(FIND({" ";"g";"k";"m";"o"},E384&amp;" gkmo")),10)),"unknown")</f>
        <v>kg (57 un</v>
      </c>
      <c r="K384" s="6" t="str">
        <f t="shared" si="20"/>
        <v>kg</v>
      </c>
      <c r="L384" s="6" t="str">
        <f t="shared" si="21"/>
        <v>St Michel</v>
      </c>
      <c r="M384" s="6" t="str">
        <f t="shared" si="22"/>
        <v>Petites Madeleines</v>
      </c>
      <c r="N384" s="6" t="str">
        <f t="shared" si="23"/>
        <v>France, Reunion</v>
      </c>
    </row>
    <row r="385" spans="1:14" x14ac:dyDescent="0.25">
      <c r="A385" s="6" t="s">
        <v>1082</v>
      </c>
      <c r="B385" s="6">
        <v>13400</v>
      </c>
      <c r="C385" s="6" t="s">
        <v>1083</v>
      </c>
      <c r="D385" s="7" t="s">
        <v>1084</v>
      </c>
      <c r="E385" s="6"/>
      <c r="F385" s="6" t="s">
        <v>8264</v>
      </c>
      <c r="G385" s="8">
        <v>45467</v>
      </c>
      <c r="H385" s="6">
        <v>19.8</v>
      </c>
      <c r="I385" s="6" cm="1">
        <f t="array" ref="I385">IFERROR(VALUE(TRIM(LEFT(E385,MIN(FIND({" ";"g";"k";"m";"o"},E385&amp;" gkmo"))-1))),0)</f>
        <v>0</v>
      </c>
      <c r="J385" s="6" t="str" cm="1">
        <f t="array" ref="J385">IFERROR(TRIM(MID(E385,MIN(FIND({" ";"g";"k";"m";"o"},E385&amp;" gkmo")),10)),"unknown")</f>
        <v/>
      </c>
      <c r="K385" s="6" t="str">
        <f t="shared" si="20"/>
        <v>unknown</v>
      </c>
      <c r="L385" s="6" t="str">
        <f t="shared" si="21"/>
        <v>Lotus</v>
      </c>
      <c r="M385" s="6" t="str">
        <f t="shared" si="22"/>
        <v>The Original Speculoos</v>
      </c>
      <c r="N385" s="6" t="str">
        <f t="shared" si="23"/>
        <v>France,Germany,Marruecos,Polonia,Espaà±A</v>
      </c>
    </row>
    <row r="386" spans="1:14" x14ac:dyDescent="0.25">
      <c r="A386" s="6" t="s">
        <v>1085</v>
      </c>
      <c r="B386" s="6">
        <v>12654</v>
      </c>
      <c r="C386" s="6" t="s">
        <v>67</v>
      </c>
      <c r="D386" s="7" t="s">
        <v>552</v>
      </c>
      <c r="E386" s="6" t="s">
        <v>643</v>
      </c>
      <c r="F386" s="6" t="s">
        <v>2973</v>
      </c>
      <c r="G386" s="8">
        <v>45470</v>
      </c>
      <c r="H386" s="6">
        <v>5.52</v>
      </c>
      <c r="I386" s="6" cm="1">
        <f t="array" ref="I386">IFERROR(VALUE(TRIM(LEFT(E386,MIN(FIND({" ";"g";"k";"m";"o"},E386&amp;" gkmo"))-1))),0)</f>
        <v>25</v>
      </c>
      <c r="J386" s="6" t="str" cm="1">
        <f t="array" ref="J386">IFERROR(TRIM(MID(E386,MIN(FIND({" ";"g";"k";"m";"o"},E386&amp;" gkmo")),10)),"unknown")</f>
        <v>g</v>
      </c>
      <c r="K386" s="6" t="str">
        <f t="shared" si="20"/>
        <v>g</v>
      </c>
      <c r="L386" s="6" t="str">
        <f t="shared" si="21"/>
        <v>Moser Roth</v>
      </c>
      <c r="M386" s="6" t="str">
        <f t="shared" si="22"/>
        <v>Dark Chocolate</v>
      </c>
      <c r="N386" s="6" t="str">
        <f t="shared" si="23"/>
        <v>Gb</v>
      </c>
    </row>
    <row r="387" spans="1:14" x14ac:dyDescent="0.25">
      <c r="A387" s="6" t="s">
        <v>1086</v>
      </c>
      <c r="B387" s="6">
        <v>6405</v>
      </c>
      <c r="C387" s="6" t="s">
        <v>1087</v>
      </c>
      <c r="D387" s="7" t="s">
        <v>1088</v>
      </c>
      <c r="E387" s="6" t="s">
        <v>18</v>
      </c>
      <c r="F387" s="6" t="s">
        <v>177</v>
      </c>
      <c r="G387" s="8">
        <v>45496</v>
      </c>
      <c r="H387" s="6">
        <v>4.62</v>
      </c>
      <c r="I387" s="6" cm="1">
        <f t="array" ref="I387">IFERROR(VALUE(TRIM(LEFT(E387,MIN(FIND({" ";"g";"k";"m";"o"},E387&amp;" gkmo"))-1))),0)</f>
        <v>100</v>
      </c>
      <c r="J387" s="6" t="str" cm="1">
        <f t="array" ref="J387">IFERROR(TRIM(MID(E387,MIN(FIND({" ";"g";"k";"m";"o"},E387&amp;" gkmo")),10)),"unknown")</f>
        <v>g</v>
      </c>
      <c r="K387" s="6" t="str">
        <f t="shared" ref="K387:K450" si="24">IF(E387="","unknown",IF(OR(J387="g",LEFT(J387,1)="g"),"g",IF(OR(LEFT(J387,2)="kg",LEFT(J387,2)="ki"),"kg",IF(OR(LEFT(J387,2)="ml",LEFT(J387,1)="m"),"ml",IF(LEFT(J387,1)="l","l",IF(ISNUMBER(SEARCH("g",E387)),"g",IF(ISNUMBER(SEARCH("kg",E387)),"kg",IF(ISNUMBER(SEARCH("ml",E387)),"ml","unknown"))))))))</f>
        <v>g</v>
      </c>
      <c r="L387" s="6" t="str">
        <f t="shared" ref="L387:L450" si="25">IF(D387="","Unknown",PROPER(TRIM(D387)))</f>
        <v>Waitrose</v>
      </c>
      <c r="M387" s="6" t="str">
        <f t="shared" ref="M387:M450" si="26">IF(C387="Unknown","Unknown",PROPER(TRIM(C387)))</f>
        <v>Milk Single Origin Chocolate</v>
      </c>
      <c r="N387" s="6" t="str">
        <f t="shared" ref="N387:N450" si="27">IF(F387="","Unknown",PROPER(TRIM(F387)))</f>
        <v>United Kingdom</v>
      </c>
    </row>
    <row r="388" spans="1:14" x14ac:dyDescent="0.25">
      <c r="A388" s="6" t="s">
        <v>1089</v>
      </c>
      <c r="B388" s="6">
        <v>10082</v>
      </c>
      <c r="C388" s="6" t="s">
        <v>7017</v>
      </c>
      <c r="D388" s="7" t="s">
        <v>47</v>
      </c>
      <c r="E388" s="6"/>
      <c r="F388" s="6" t="s">
        <v>48</v>
      </c>
      <c r="G388" s="8">
        <v>45966</v>
      </c>
      <c r="H388" s="6">
        <v>13.16</v>
      </c>
      <c r="I388" s="6" cm="1">
        <f t="array" ref="I388">IFERROR(VALUE(TRIM(LEFT(E388,MIN(FIND({" ";"g";"k";"m";"o"},E388&amp;" gkmo"))-1))),0)</f>
        <v>0</v>
      </c>
      <c r="J388" s="6" t="str" cm="1">
        <f t="array" ref="J388">IFERROR(TRIM(MID(E388,MIN(FIND({" ";"g";"k";"m";"o"},E388&amp;" gkmo")),10)),"unknown")</f>
        <v/>
      </c>
      <c r="K388" s="6" t="str">
        <f t="shared" si="24"/>
        <v>unknown</v>
      </c>
      <c r="L388" s="6" t="str">
        <f t="shared" si="25"/>
        <v>Excelo</v>
      </c>
      <c r="M388" s="6" t="str">
        <f t="shared" si="26"/>
        <v>Unknown</v>
      </c>
      <c r="N388" s="6" t="str">
        <f t="shared" si="27"/>
        <v>Morocco</v>
      </c>
    </row>
    <row r="389" spans="1:14" x14ac:dyDescent="0.25">
      <c r="A389" s="6" t="s">
        <v>1090</v>
      </c>
      <c r="B389" s="6">
        <v>11348</v>
      </c>
      <c r="C389" s="6" t="s">
        <v>7082</v>
      </c>
      <c r="D389" s="7" t="s">
        <v>1091</v>
      </c>
      <c r="E389" s="6" t="s">
        <v>84</v>
      </c>
      <c r="F389" s="6" t="s">
        <v>1092</v>
      </c>
      <c r="G389" s="8">
        <v>45345</v>
      </c>
      <c r="H389" s="6">
        <v>22.83</v>
      </c>
      <c r="I389" s="6" cm="1">
        <f t="array" ref="I389">IFERROR(VALUE(TRIM(LEFT(E389,MIN(FIND({" ";"g";"k";"m";"o"},E389&amp;" gkmo"))-1))),0)</f>
        <v>85</v>
      </c>
      <c r="J389" s="6" t="str" cm="1">
        <f t="array" ref="J389">IFERROR(TRIM(MID(E389,MIN(FIND({" ";"g";"k";"m";"o"},E389&amp;" gkmo")),10)),"unknown")</f>
        <v>g</v>
      </c>
      <c r="K389" s="6" t="str">
        <f t="shared" si="24"/>
        <v>g</v>
      </c>
      <c r="L389" s="6" t="str">
        <f t="shared" si="25"/>
        <v>Too Goodfrance</v>
      </c>
      <c r="M389" s="6" t="str">
        <f t="shared" si="26"/>
        <v>Snack Poppé T&amp;H</v>
      </c>
      <c r="N389" s="6" t="str">
        <f t="shared" si="27"/>
        <v>Frankrijk</v>
      </c>
    </row>
    <row r="390" spans="1:14" x14ac:dyDescent="0.25">
      <c r="A390" s="6" t="s">
        <v>1093</v>
      </c>
      <c r="B390" s="6">
        <v>6566</v>
      </c>
      <c r="C390" s="6" t="s">
        <v>1094</v>
      </c>
      <c r="D390" s="7" t="s">
        <v>376</v>
      </c>
      <c r="E390" s="6" t="s">
        <v>1095</v>
      </c>
      <c r="F390" s="6" t="s">
        <v>7923</v>
      </c>
      <c r="G390" s="8">
        <v>45825</v>
      </c>
      <c r="H390" s="6">
        <v>8.07</v>
      </c>
      <c r="I390" s="6" cm="1">
        <f t="array" ref="I390">IFERROR(VALUE(TRIM(LEFT(E390,MIN(FIND({" ";"g";"k";"m";"o"},E390&amp;" gkmo"))-1))),0)</f>
        <v>200</v>
      </c>
      <c r="J390" s="6" t="str" cm="1">
        <f t="array" ref="J390">IFERROR(TRIM(MID(E390,MIN(FIND({" ";"g";"k";"m";"o"},E390&amp;" gkmo")),10)),"unknown")</f>
        <v>g - 5g cad</v>
      </c>
      <c r="K390" s="6" t="str">
        <f t="shared" si="24"/>
        <v>g</v>
      </c>
      <c r="L390" s="6" t="str">
        <f t="shared" si="25"/>
        <v>Ryvita</v>
      </c>
      <c r="M390" s="6" t="str">
        <f t="shared" si="26"/>
        <v>Crackerbread</v>
      </c>
      <c r="N390" s="6" t="str">
        <f t="shared" si="27"/>
        <v>France, United Kingdom, Ireland</v>
      </c>
    </row>
    <row r="391" spans="1:14" x14ac:dyDescent="0.25">
      <c r="A391" s="6" t="s">
        <v>1096</v>
      </c>
      <c r="B391" s="6">
        <v>6216</v>
      </c>
      <c r="C391" s="6" t="s">
        <v>1097</v>
      </c>
      <c r="D391" s="7" t="s">
        <v>1098</v>
      </c>
      <c r="E391" s="6"/>
      <c r="F391" s="6" t="s">
        <v>7595</v>
      </c>
      <c r="G391" s="8">
        <v>45932</v>
      </c>
      <c r="H391" s="6">
        <v>16.559999999999999</v>
      </c>
      <c r="I391" s="6" cm="1">
        <f t="array" ref="I391">IFERROR(VALUE(TRIM(LEFT(E391,MIN(FIND({" ";"g";"k";"m";"o"},E391&amp;" gkmo"))-1))),0)</f>
        <v>0</v>
      </c>
      <c r="J391" s="6" t="str" cm="1">
        <f t="array" ref="J391">IFERROR(TRIM(MID(E391,MIN(FIND({" ";"g";"k";"m";"o"},E391&amp;" gkmo")),10)),"unknown")</f>
        <v/>
      </c>
      <c r="K391" s="6" t="str">
        <f t="shared" si="24"/>
        <v>unknown</v>
      </c>
      <c r="L391" s="6" t="str">
        <f t="shared" si="25"/>
        <v>Hacendado</v>
      </c>
      <c r="M391" s="6" t="str">
        <f t="shared" si="26"/>
        <v>Chocolate Negro 99% Cacao</v>
      </c>
      <c r="N391" s="6" t="str">
        <f t="shared" si="27"/>
        <v>Espaà±A</v>
      </c>
    </row>
    <row r="392" spans="1:14" x14ac:dyDescent="0.25">
      <c r="A392" s="6" t="s">
        <v>1099</v>
      </c>
      <c r="B392" s="6">
        <v>13701</v>
      </c>
      <c r="C392" s="6" t="s">
        <v>1100</v>
      </c>
      <c r="D392" s="7" t="s">
        <v>1101</v>
      </c>
      <c r="E392" s="6" t="s">
        <v>291</v>
      </c>
      <c r="F392" s="6" t="s">
        <v>1092</v>
      </c>
      <c r="G392" s="8">
        <v>45663</v>
      </c>
      <c r="H392" s="6">
        <v>15.23</v>
      </c>
      <c r="I392" s="6" cm="1">
        <f t="array" ref="I392">IFERROR(VALUE(TRIM(LEFT(E392,MIN(FIND({" ";"g";"k";"m";"o"},E392&amp;" gkmo"))-1))),0)</f>
        <v>140</v>
      </c>
      <c r="J392" s="6" t="str" cm="1">
        <f t="array" ref="J392">IFERROR(TRIM(MID(E392,MIN(FIND({" ";"g";"k";"m";"o"},E392&amp;" gkmo")),10)),"unknown")</f>
        <v>g</v>
      </c>
      <c r="K392" s="6" t="str">
        <f t="shared" si="24"/>
        <v>g</v>
      </c>
      <c r="L392" s="6" t="str">
        <f t="shared" si="25"/>
        <v>Lidl, Sondey</v>
      </c>
      <c r="M392" s="6" t="str">
        <f t="shared" si="26"/>
        <v>Carres Graines Pepites De Chocolat</v>
      </c>
      <c r="N392" s="6" t="str">
        <f t="shared" si="27"/>
        <v>Frankrijk</v>
      </c>
    </row>
    <row r="393" spans="1:14" x14ac:dyDescent="0.25">
      <c r="A393" s="6" t="s">
        <v>1102</v>
      </c>
      <c r="B393" s="6">
        <v>13836</v>
      </c>
      <c r="C393" s="6" t="s">
        <v>1103</v>
      </c>
      <c r="D393" s="7" t="s">
        <v>7017</v>
      </c>
      <c r="E393" s="6"/>
      <c r="F393" s="6" t="s">
        <v>139</v>
      </c>
      <c r="G393" s="8">
        <v>45385</v>
      </c>
      <c r="H393" s="6">
        <v>4.82</v>
      </c>
      <c r="I393" s="6" cm="1">
        <f t="array" ref="I393">IFERROR(VALUE(TRIM(LEFT(E393,MIN(FIND({" ";"g";"k";"m";"o"},E393&amp;" gkmo"))-1))),0)</f>
        <v>0</v>
      </c>
      <c r="J393" s="6" t="str" cm="1">
        <f t="array" ref="J393">IFERROR(TRIM(MID(E393,MIN(FIND({" ";"g";"k";"m";"o"},E393&amp;" gkmo")),10)),"unknown")</f>
        <v/>
      </c>
      <c r="K393" s="6" t="str">
        <f t="shared" si="24"/>
        <v>unknown</v>
      </c>
      <c r="L393" s="6" t="str">
        <f t="shared" si="25"/>
        <v>Unknown</v>
      </c>
      <c r="M393" s="6" t="str">
        <f t="shared" si="26"/>
        <v>Sucre Pure Via Specialpatisserie</v>
      </c>
      <c r="N393" s="6" t="str">
        <f t="shared" si="27"/>
        <v>France</v>
      </c>
    </row>
    <row r="394" spans="1:14" x14ac:dyDescent="0.25">
      <c r="A394" s="6" t="s">
        <v>1104</v>
      </c>
      <c r="B394" s="6">
        <v>10486</v>
      </c>
      <c r="C394" s="6" t="s">
        <v>7083</v>
      </c>
      <c r="D394" s="7" t="s">
        <v>1105</v>
      </c>
      <c r="E394" s="6" t="s">
        <v>84</v>
      </c>
      <c r="F394" s="6" t="s">
        <v>139</v>
      </c>
      <c r="G394" s="8">
        <v>45542</v>
      </c>
      <c r="H394" s="6">
        <v>7.75</v>
      </c>
      <c r="I394" s="6" cm="1">
        <f t="array" ref="I394">IFERROR(VALUE(TRIM(LEFT(E394,MIN(FIND({" ";"g";"k";"m";"o"},E394&amp;" gkmo"))-1))),0)</f>
        <v>85</v>
      </c>
      <c r="J394" s="6" t="str" cm="1">
        <f t="array" ref="J394">IFERROR(TRIM(MID(E394,MIN(FIND({" ";"g";"k";"m";"o"},E394&amp;" gkmo")),10)),"unknown")</f>
        <v>g</v>
      </c>
      <c r="K394" s="6" t="str">
        <f t="shared" si="24"/>
        <v>g</v>
      </c>
      <c r="L394" s="6" t="str">
        <f t="shared" si="25"/>
        <v>Vico</v>
      </c>
      <c r="M394" s="6" t="str">
        <f t="shared" si="26"/>
        <v>Chips De Lentilles Saveur Oignons Caramélisés</v>
      </c>
      <c r="N394" s="6" t="str">
        <f t="shared" si="27"/>
        <v>France</v>
      </c>
    </row>
    <row r="395" spans="1:14" x14ac:dyDescent="0.25">
      <c r="A395" s="6" t="s">
        <v>1106</v>
      </c>
      <c r="B395" s="6">
        <v>8422</v>
      </c>
      <c r="C395" s="6" t="s">
        <v>7603</v>
      </c>
      <c r="D395" s="7" t="s">
        <v>60</v>
      </c>
      <c r="E395" s="6" t="s">
        <v>10</v>
      </c>
      <c r="F395" s="6" t="s">
        <v>139</v>
      </c>
      <c r="G395" s="8">
        <v>45860</v>
      </c>
      <c r="H395" s="6">
        <v>3.72</v>
      </c>
      <c r="I395" s="6" cm="1">
        <f t="array" ref="I395">IFERROR(VALUE(TRIM(LEFT(E395,MIN(FIND({" ";"g";"k";"m";"o"},E395&amp;" gkmo"))-1))),0)</f>
        <v>100</v>
      </c>
      <c r="J395" s="6" t="str" cm="1">
        <f t="array" ref="J395">IFERROR(TRIM(MID(E395,MIN(FIND({" ";"g";"k";"m";"o"},E395&amp;" gkmo")),10)),"unknown")</f>
        <v>g</v>
      </c>
      <c r="K395" s="6" t="str">
        <f t="shared" si="24"/>
        <v>g</v>
      </c>
      <c r="L395" s="6" t="str">
        <f t="shared" si="25"/>
        <v>Lindt</v>
      </c>
      <c r="M395" s="6" t="str">
        <f t="shared" si="26"/>
        <v>Excellence Noir Caramel À  La Pointe De Sel</v>
      </c>
      <c r="N395" s="6" t="str">
        <f t="shared" si="27"/>
        <v>France</v>
      </c>
    </row>
    <row r="396" spans="1:14" x14ac:dyDescent="0.25">
      <c r="A396" s="6" t="s">
        <v>1107</v>
      </c>
      <c r="B396" s="6">
        <v>11609</v>
      </c>
      <c r="C396" s="6" t="s">
        <v>1108</v>
      </c>
      <c r="D396" s="7" t="s">
        <v>538</v>
      </c>
      <c r="E396" s="6" t="s">
        <v>1109</v>
      </c>
      <c r="F396" s="6" t="s">
        <v>8256</v>
      </c>
      <c r="G396" s="8">
        <v>45825</v>
      </c>
      <c r="H396" s="6">
        <v>22.65</v>
      </c>
      <c r="I396" s="6" cm="1">
        <f t="array" ref="I396">IFERROR(VALUE(TRIM(LEFT(E396,MIN(FIND({" ";"g";"k";"m";"o"},E396&amp;" gkmo"))-1))),0)</f>
        <v>240</v>
      </c>
      <c r="J396" s="6" t="str" cm="1">
        <f t="array" ref="J396">IFERROR(TRIM(MID(E396,MIN(FIND({" ";"g";"k";"m";"o"},E396&amp;" gkmo")),10)),"unknown")</f>
        <v>g</v>
      </c>
      <c r="K396" s="6" t="str">
        <f t="shared" si="24"/>
        <v>g</v>
      </c>
      <c r="L396" s="6" t="str">
        <f t="shared" si="25"/>
        <v>Kinder, Ferrero</v>
      </c>
      <c r="M396" s="6" t="str">
        <f t="shared" si="26"/>
        <v>Kinder Pinguin</v>
      </c>
      <c r="N396" s="6" t="str">
        <f t="shared" si="27"/>
        <v>France,Germany,Italie,Roumanie</v>
      </c>
    </row>
    <row r="397" spans="1:14" x14ac:dyDescent="0.25">
      <c r="A397" s="6" t="s">
        <v>1110</v>
      </c>
      <c r="B397" s="6">
        <v>5811</v>
      </c>
      <c r="C397" s="6" t="s">
        <v>7084</v>
      </c>
      <c r="D397" s="7" t="s">
        <v>7030</v>
      </c>
      <c r="E397" s="6" t="s">
        <v>99</v>
      </c>
      <c r="F397" s="6" t="s">
        <v>139</v>
      </c>
      <c r="G397" s="8">
        <v>45664</v>
      </c>
      <c r="H397" s="6">
        <v>17.72</v>
      </c>
      <c r="I397" s="6" cm="1">
        <f t="array" ref="I397">IFERROR(VALUE(TRIM(LEFT(E397,MIN(FIND({" ";"g";"k";"m";"o"},E397&amp;" gkmo"))-1))),0)</f>
        <v>160</v>
      </c>
      <c r="J397" s="6" t="str" cm="1">
        <f t="array" ref="J397">IFERROR(TRIM(MID(E397,MIN(FIND({" ";"g";"k";"m";"o"},E397&amp;" gkmo")),10)),"unknown")</f>
        <v>g</v>
      </c>
      <c r="K397" s="6" t="str">
        <f t="shared" si="24"/>
        <v>g</v>
      </c>
      <c r="L397" s="6" t="str">
        <f t="shared" si="25"/>
        <v>Gerblé</v>
      </c>
      <c r="M397" s="6" t="str">
        <f t="shared" si="26"/>
        <v>Gerblé Cacao Céréales</v>
      </c>
      <c r="N397" s="6" t="str">
        <f t="shared" si="27"/>
        <v>France</v>
      </c>
    </row>
    <row r="398" spans="1:14" x14ac:dyDescent="0.25">
      <c r="A398" s="6" t="s">
        <v>1111</v>
      </c>
      <c r="B398" s="6">
        <v>14107</v>
      </c>
      <c r="C398" s="6" t="s">
        <v>1112</v>
      </c>
      <c r="D398" s="7" t="s">
        <v>1113</v>
      </c>
      <c r="E398" s="6"/>
      <c r="F398" s="6" t="s">
        <v>860</v>
      </c>
      <c r="G398" s="8">
        <v>45446</v>
      </c>
      <c r="H398" s="6">
        <v>23.59</v>
      </c>
      <c r="I398" s="6" cm="1">
        <f t="array" ref="I398">IFERROR(VALUE(TRIM(LEFT(E398,MIN(FIND({" ";"g";"k";"m";"o"},E398&amp;" gkmo"))-1))),0)</f>
        <v>0</v>
      </c>
      <c r="J398" s="6" t="str" cm="1">
        <f t="array" ref="J398">IFERROR(TRIM(MID(E398,MIN(FIND({" ";"g";"k";"m";"o"},E398&amp;" gkmo")),10)),"unknown")</f>
        <v/>
      </c>
      <c r="K398" s="6" t="str">
        <f t="shared" si="24"/>
        <v>unknown</v>
      </c>
      <c r="L398" s="6" t="str">
        <f t="shared" si="25"/>
        <v>Excelo</v>
      </c>
      <c r="M398" s="6" t="str">
        <f t="shared" si="26"/>
        <v>Crakes Choc</v>
      </c>
      <c r="N398" s="6" t="str">
        <f t="shared" si="27"/>
        <v>Ma</v>
      </c>
    </row>
    <row r="399" spans="1:14" x14ac:dyDescent="0.25">
      <c r="A399" s="6" t="s">
        <v>1114</v>
      </c>
      <c r="B399" s="6">
        <v>9558</v>
      </c>
      <c r="C399" s="6" t="s">
        <v>7085</v>
      </c>
      <c r="D399" s="7" t="s">
        <v>7030</v>
      </c>
      <c r="E399" s="6"/>
      <c r="F399" s="6" t="s">
        <v>139</v>
      </c>
      <c r="G399" s="8">
        <v>45735</v>
      </c>
      <c r="H399" s="6">
        <v>13.16</v>
      </c>
      <c r="I399" s="6" cm="1">
        <f t="array" ref="I399">IFERROR(VALUE(TRIM(LEFT(E399,MIN(FIND({" ";"g";"k";"m";"o"},E399&amp;" gkmo"))-1))),0)</f>
        <v>0</v>
      </c>
      <c r="J399" s="6" t="str" cm="1">
        <f t="array" ref="J399">IFERROR(TRIM(MID(E399,MIN(FIND({" ";"g";"k";"m";"o"},E399&amp;" gkmo")),10)),"unknown")</f>
        <v/>
      </c>
      <c r="K399" s="6" t="str">
        <f t="shared" si="24"/>
        <v>unknown</v>
      </c>
      <c r="L399" s="6" t="str">
        <f t="shared" si="25"/>
        <v>Gerblé</v>
      </c>
      <c r="M399" s="6" t="str">
        <f t="shared" si="26"/>
        <v>Petit Déjeuner Fruits Rouges</v>
      </c>
      <c r="N399" s="6" t="str">
        <f t="shared" si="27"/>
        <v>France</v>
      </c>
    </row>
    <row r="400" spans="1:14" x14ac:dyDescent="0.25">
      <c r="A400" s="6" t="s">
        <v>1115</v>
      </c>
      <c r="B400" s="6">
        <v>8164</v>
      </c>
      <c r="C400" s="6" t="s">
        <v>1116</v>
      </c>
      <c r="D400" s="7" t="s">
        <v>525</v>
      </c>
      <c r="E400" s="6"/>
      <c r="F400" s="6" t="s">
        <v>8212</v>
      </c>
      <c r="G400" s="8">
        <v>45565</v>
      </c>
      <c r="H400" s="6">
        <v>12.82</v>
      </c>
      <c r="I400" s="6" cm="1">
        <f t="array" ref="I400">IFERROR(VALUE(TRIM(LEFT(E400,MIN(FIND({" ";"g";"k";"m";"o"},E400&amp;" gkmo"))-1))),0)</f>
        <v>0</v>
      </c>
      <c r="J400" s="6" t="str" cm="1">
        <f t="array" ref="J400">IFERROR(TRIM(MID(E400,MIN(FIND({" ";"g";"k";"m";"o"},E400&amp;" gkmo")),10)),"unknown")</f>
        <v/>
      </c>
      <c r="K400" s="6" t="str">
        <f t="shared" si="24"/>
        <v>unknown</v>
      </c>
      <c r="L400" s="6" t="str">
        <f t="shared" si="25"/>
        <v>Aiguebelle</v>
      </c>
      <c r="M400" s="6" t="str">
        <f t="shared" si="26"/>
        <v>Chocolat Tentation Noir Gourmand Amandes</v>
      </c>
      <c r="N400" s="6" t="str">
        <f t="shared" si="27"/>
        <v>France,Morocco,Morocco</v>
      </c>
    </row>
    <row r="401" spans="1:14" x14ac:dyDescent="0.25">
      <c r="A401" s="6" t="s">
        <v>1117</v>
      </c>
      <c r="B401" s="6">
        <v>10725</v>
      </c>
      <c r="C401" s="6" t="s">
        <v>7461</v>
      </c>
      <c r="D401" s="7" t="s">
        <v>7604</v>
      </c>
      <c r="E401" s="6" t="s">
        <v>284</v>
      </c>
      <c r="F401" s="6" t="s">
        <v>511</v>
      </c>
      <c r="G401" s="8">
        <v>45454</v>
      </c>
      <c r="H401" s="6">
        <v>10.09</v>
      </c>
      <c r="I401" s="6" cm="1">
        <f t="array" ref="I401">IFERROR(VALUE(TRIM(LEFT(E401,MIN(FIND({" ";"g";"k";"m";"o"},E401&amp;" gkmo"))-1))),0)</f>
        <v>180</v>
      </c>
      <c r="J401" s="6" t="str" cm="1">
        <f t="array" ref="J401">IFERROR(TRIM(MID(E401,MIN(FIND({" ";"g";"k";"m";"o"},E401&amp;" gkmo")),10)),"unknown")</f>
        <v>g</v>
      </c>
      <c r="K401" s="6" t="str">
        <f t="shared" si="24"/>
        <v>g</v>
      </c>
      <c r="L401" s="6" t="str">
        <f t="shared" si="25"/>
        <v>Cà´Te D'Or,Mondelez</v>
      </c>
      <c r="M401" s="6" t="str">
        <f t="shared" si="26"/>
        <v>Noir Amandes Entières</v>
      </c>
      <c r="N401" s="6" t="str">
        <f t="shared" si="27"/>
        <v>France,Morocco</v>
      </c>
    </row>
    <row r="402" spans="1:14" x14ac:dyDescent="0.25">
      <c r="A402" s="6" t="s">
        <v>1118</v>
      </c>
      <c r="B402" s="6">
        <v>7706</v>
      </c>
      <c r="C402" s="6" t="s">
        <v>1119</v>
      </c>
      <c r="D402" s="7" t="s">
        <v>828</v>
      </c>
      <c r="E402" s="6" t="s">
        <v>284</v>
      </c>
      <c r="F402" s="6" t="s">
        <v>177</v>
      </c>
      <c r="G402" s="8">
        <v>45557</v>
      </c>
      <c r="H402" s="6">
        <v>13.16</v>
      </c>
      <c r="I402" s="6" cm="1">
        <f t="array" ref="I402">IFERROR(VALUE(TRIM(LEFT(E402,MIN(FIND({" ";"g";"k";"m";"o"},E402&amp;" gkmo"))-1))),0)</f>
        <v>180</v>
      </c>
      <c r="J402" s="6" t="str" cm="1">
        <f t="array" ref="J402">IFERROR(TRIM(MID(E402,MIN(FIND({" ";"g";"k";"m";"o"},E402&amp;" gkmo")),10)),"unknown")</f>
        <v>g</v>
      </c>
      <c r="K402" s="6" t="str">
        <f t="shared" si="24"/>
        <v>g</v>
      </c>
      <c r="L402" s="6" t="str">
        <f t="shared" si="25"/>
        <v>Tony'S Chocolonely</v>
      </c>
      <c r="M402" s="6" t="str">
        <f t="shared" si="26"/>
        <v>Milk Caramel Sea Salt Chocolate</v>
      </c>
      <c r="N402" s="6" t="str">
        <f t="shared" si="27"/>
        <v>United Kingdom</v>
      </c>
    </row>
    <row r="403" spans="1:14" x14ac:dyDescent="0.25">
      <c r="A403" s="6" t="s">
        <v>1120</v>
      </c>
      <c r="B403" s="6">
        <v>12941</v>
      </c>
      <c r="C403" s="6" t="s">
        <v>1121</v>
      </c>
      <c r="D403" s="7" t="s">
        <v>287</v>
      </c>
      <c r="E403" s="6" t="s">
        <v>436</v>
      </c>
      <c r="F403" s="6" t="s">
        <v>8399</v>
      </c>
      <c r="G403" s="8">
        <v>45921</v>
      </c>
      <c r="H403" s="6">
        <v>24.36</v>
      </c>
      <c r="I403" s="6" cm="1">
        <f t="array" ref="I403">IFERROR(VALUE(TRIM(LEFT(E403,MIN(FIND({" ";"g";"k";"m";"o"},E403&amp;" gkmo"))-1))),0)</f>
        <v>90</v>
      </c>
      <c r="J403" s="6" t="str" cm="1">
        <f t="array" ref="J403">IFERROR(TRIM(MID(E403,MIN(FIND({" ";"g";"k";"m";"o"},E403&amp;" gkmo")),10)),"unknown")</f>
        <v>g</v>
      </c>
      <c r="K403" s="6" t="str">
        <f t="shared" si="24"/>
        <v>g</v>
      </c>
      <c r="L403" s="6" t="str">
        <f t="shared" si="25"/>
        <v>Ferrero</v>
      </c>
      <c r="M403" s="6" t="str">
        <f t="shared" si="26"/>
        <v>Raffaello - Confetteria - Kokos &amp; Mandelcreme</v>
      </c>
      <c r="N403" s="6" t="str">
        <f t="shared" si="27"/>
        <v>Bulgaria,France,Germany,Marruecos,Rumania,United Kingdom</v>
      </c>
    </row>
    <row r="404" spans="1:14" x14ac:dyDescent="0.25">
      <c r="A404" s="6" t="s">
        <v>1122</v>
      </c>
      <c r="B404" s="6">
        <v>10319</v>
      </c>
      <c r="C404" s="6" t="s">
        <v>1123</v>
      </c>
      <c r="D404" s="7" t="s">
        <v>633</v>
      </c>
      <c r="E404" s="6" t="s">
        <v>99</v>
      </c>
      <c r="F404" s="6" t="s">
        <v>1124</v>
      </c>
      <c r="G404" s="8">
        <v>45705</v>
      </c>
      <c r="H404" s="6">
        <v>19.59</v>
      </c>
      <c r="I404" s="6" cm="1">
        <f t="array" ref="I404">IFERROR(VALUE(TRIM(LEFT(E404,MIN(FIND({" ";"g";"k";"m";"o"},E404&amp;" gkmo"))-1))),0)</f>
        <v>160</v>
      </c>
      <c r="J404" s="6" t="str" cm="1">
        <f t="array" ref="J404">IFERROR(TRIM(MID(E404,MIN(FIND({" ";"g";"k";"m";"o"},E404&amp;" gkmo")),10)),"unknown")</f>
        <v>g</v>
      </c>
      <c r="K404" s="6" t="str">
        <f t="shared" si="24"/>
        <v>g</v>
      </c>
      <c r="L404" s="6" t="str">
        <f t="shared" si="25"/>
        <v>Nairn'S</v>
      </c>
      <c r="M404" s="6" t="str">
        <f t="shared" si="26"/>
        <v>Chocolate Chip Oat Biscuit Breaks</v>
      </c>
      <c r="N404" s="6" t="str">
        <f t="shared" si="27"/>
        <v>Czech Republic,Portugal,United Kingdom</v>
      </c>
    </row>
    <row r="405" spans="1:14" x14ac:dyDescent="0.25">
      <c r="A405" s="6" t="s">
        <v>1125</v>
      </c>
      <c r="B405" s="6">
        <v>10721</v>
      </c>
      <c r="C405" s="6" t="s">
        <v>1126</v>
      </c>
      <c r="D405" s="7" t="s">
        <v>1127</v>
      </c>
      <c r="E405" s="6">
        <v>100</v>
      </c>
      <c r="F405" s="6" t="s">
        <v>1128</v>
      </c>
      <c r="G405" s="8">
        <v>45920</v>
      </c>
      <c r="H405" s="6">
        <v>18.32</v>
      </c>
      <c r="I405" s="6" cm="1">
        <f t="array" ref="I405">IFERROR(VALUE(TRIM(LEFT(E405,MIN(FIND({" ";"g";"k";"m";"o"},E405&amp;" gkmo"))-1))),0)</f>
        <v>100</v>
      </c>
      <c r="J405" s="6" t="str" cm="1">
        <f t="array" ref="J405">IFERROR(TRIM(MID(E405,MIN(FIND({" ";"g";"k";"m";"o"},E405&amp;" gkmo")),10)),"unknown")</f>
        <v/>
      </c>
      <c r="K405" s="6" t="str">
        <f t="shared" si="24"/>
        <v>unknown</v>
      </c>
      <c r="L405" s="6" t="str">
        <f t="shared" si="25"/>
        <v>Fin Carre</v>
      </c>
      <c r="M405" s="6" t="str">
        <f t="shared" si="26"/>
        <v>Milk Chocolate Nut</v>
      </c>
      <c r="N405" s="6" t="str">
        <f t="shared" si="27"/>
        <v>Bulgaria,France,Germany</v>
      </c>
    </row>
    <row r="406" spans="1:14" x14ac:dyDescent="0.25">
      <c r="A406" s="6" t="s">
        <v>1129</v>
      </c>
      <c r="B406" s="6">
        <v>8583</v>
      </c>
      <c r="C406" s="6" t="s">
        <v>1130</v>
      </c>
      <c r="D406" s="7" t="s">
        <v>60</v>
      </c>
      <c r="E406" s="6" t="s">
        <v>10</v>
      </c>
      <c r="F406" s="6" t="s">
        <v>1131</v>
      </c>
      <c r="G406" s="8">
        <v>45356</v>
      </c>
      <c r="H406" s="6">
        <v>17.95</v>
      </c>
      <c r="I406" s="6" cm="1">
        <f t="array" ref="I406">IFERROR(VALUE(TRIM(LEFT(E406,MIN(FIND({" ";"g";"k";"m";"o"},E406&amp;" gkmo"))-1))),0)</f>
        <v>100</v>
      </c>
      <c r="J406" s="6" t="str" cm="1">
        <f t="array" ref="J406">IFERROR(TRIM(MID(E406,MIN(FIND({" ";"g";"k";"m";"o"},E406&amp;" gkmo")),10)),"unknown")</f>
        <v>g</v>
      </c>
      <c r="K406" s="6" t="str">
        <f t="shared" si="24"/>
        <v>g</v>
      </c>
      <c r="L406" s="6" t="str">
        <f t="shared" si="25"/>
        <v>Lindt</v>
      </c>
      <c r="M406" s="6" t="str">
        <f t="shared" si="26"/>
        <v>Lindt Excellence Dark Orange Intense</v>
      </c>
      <c r="N406" s="6" t="str">
        <f t="shared" si="27"/>
        <v>À¸›À¸£À¸°À¹€À¸—À¸¨À¸­À¸­À¸ªà¹€À¸•À¸£À¸µà¸¢,À¸›À¸£À¸°À¹€À¸—À¸¨À¹€À¸Šà¸¥À¹€À¸¢À¸µà¸¢À¸¡,À¸›À¸£À¸°À¹€À¸—À¸¨À¹‚À¸Šà¸¥À¸´À¹€À¸§À¸µà¸¢,À¸ªà¸²À¸˜À¸²À¸£À¸“À¸£À¸±À¸À¹€À¸Šà¹‡À¸,À¸›À¸£À¸°À¹€À¸—À¸¨À¹€À¸”À¸™À¸¡À¸²À¸£À¹Œà¸,À¸›À¸£À¸°À¹€À¸—À¸¨À¹€À¸­À¸ªà¹‚À¸•À¹€À¸™À¸µà¸¢,À¸›À¸£À¸°À¹€À¸—À¸¨À¸À¸£À¸±À¹ˆÀ¸‡À¹€À¸¨À¸ª,À¸›À¸£À¸°À¹€À¸—À¸¨À¸®À¸±À¸‡À¸À¸²À¸£À¸µ,À¸›À¸£À¸°À¹€À¸—À¸¨À¸­À¸´À¸•À¸²À¸¥À¸µ,À¸›À¸£À¸°À¹€À¸—À¸¨À¹‚À¸¡À¸£À¹‡À¸­À¸À¹‚À¸,À¸›À¸£À¸°À¹€À¸—À¸¨À¹€À¸™À¹€À¸˜À¸­À¸£À¹Œà¹À¸¥À¸™À¸”À¹Œ,À¸›À¸£À¸°À¹€À¸—À¸¨À¹‚À¸›À¹À¸¥À¸™À¸”À¹Œ,À¸›À¸£À¸°À¹€À¸—À¸¨À¸ªà¹€À¸›À¸™,À¸›À¸£À¸°À¹€À¸—À¸¨À¸ªà¸§À¸´À¸•À¹€À¸‹À¸­À¸£À¹Œà¹À¸¥À¸™À¸”À¹Œ,À¸›À¸£À¸°À¹€À¸—À¸¨À¹„À¸—À¸¢ (Thai),À¸ªà¸«À¸£À¸²À¸Šà¸­À¸²À¸“À¸²À¸ˆÀ¸±À¸À¸£</v>
      </c>
    </row>
    <row r="407" spans="1:14" x14ac:dyDescent="0.25">
      <c r="A407" s="6" t="s">
        <v>1132</v>
      </c>
      <c r="B407" s="6">
        <v>6246</v>
      </c>
      <c r="C407" s="6" t="s">
        <v>1133</v>
      </c>
      <c r="D407" s="7" t="s">
        <v>63</v>
      </c>
      <c r="E407" s="6" t="s">
        <v>64</v>
      </c>
      <c r="F407" s="6" t="s">
        <v>1134</v>
      </c>
      <c r="G407" s="8">
        <v>45425</v>
      </c>
      <c r="H407" s="6">
        <v>13.16</v>
      </c>
      <c r="I407" s="6" cm="1">
        <f t="array" ref="I407">IFERROR(VALUE(TRIM(LEFT(E407,MIN(FIND({" ";"g";"k";"m";"o"},E407&amp;" gkmo"))-1))),0)</f>
        <v>150</v>
      </c>
      <c r="J407" s="6" t="str" cm="1">
        <f t="array" ref="J407">IFERROR(TRIM(MID(E407,MIN(FIND({" ";"g";"k";"m";"o"},E407&amp;" gkmo")),10)),"unknown")</f>
        <v>g</v>
      </c>
      <c r="K407" s="6" t="str">
        <f t="shared" si="24"/>
        <v>g</v>
      </c>
      <c r="L407" s="6" t="str">
        <f t="shared" si="25"/>
        <v>Tyrrell'S</v>
      </c>
      <c r="M407" s="6" t="str">
        <f t="shared" si="26"/>
        <v>Tyrrell'S Sweet Chilli &amp; Red Pepper</v>
      </c>
      <c r="N407" s="6" t="str">
        <f t="shared" si="27"/>
        <v>France,Germany,Switzerland,United Kingdom,Netherlands</v>
      </c>
    </row>
    <row r="408" spans="1:14" x14ac:dyDescent="0.25">
      <c r="A408" s="6" t="s">
        <v>1135</v>
      </c>
      <c r="B408" s="6">
        <v>9251</v>
      </c>
      <c r="C408" s="6" t="s">
        <v>7086</v>
      </c>
      <c r="D408" s="7" t="s">
        <v>209</v>
      </c>
      <c r="E408" s="6" t="s">
        <v>1136</v>
      </c>
      <c r="F408" s="6" t="s">
        <v>139</v>
      </c>
      <c r="G408" s="8">
        <v>46052</v>
      </c>
      <c r="H408" s="6">
        <v>18.510000000000002</v>
      </c>
      <c r="I408" s="6" cm="1">
        <f t="array" ref="I408">IFERROR(VALUE(TRIM(LEFT(E408,MIN(FIND({" ";"g";"k";"m";"o"},E408&amp;" gkmo"))-1))),0)</f>
        <v>680</v>
      </c>
      <c r="J408" s="6" t="str" cm="1">
        <f t="array" ref="J408">IFERROR(TRIM(MID(E408,MIN(FIND({" ";"g";"k";"m";"o"},E408&amp;" gkmo")),10)),"unknown")</f>
        <v>g</v>
      </c>
      <c r="K408" s="6" t="str">
        <f t="shared" si="24"/>
        <v>g</v>
      </c>
      <c r="L408" s="6" t="str">
        <f t="shared" si="25"/>
        <v>Harrys</v>
      </c>
      <c r="M408" s="6" t="str">
        <f t="shared" si="26"/>
        <v>Brioche Tranchée Nature Ss Additif</v>
      </c>
      <c r="N408" s="6" t="str">
        <f t="shared" si="27"/>
        <v>France</v>
      </c>
    </row>
    <row r="409" spans="1:14" x14ac:dyDescent="0.25">
      <c r="A409" s="6" t="s">
        <v>1137</v>
      </c>
      <c r="B409" s="6">
        <v>13367</v>
      </c>
      <c r="C409" s="6" t="s">
        <v>112</v>
      </c>
      <c r="D409" s="7" t="s">
        <v>112</v>
      </c>
      <c r="E409" s="6" t="s">
        <v>840</v>
      </c>
      <c r="F409" s="6" t="s">
        <v>1092</v>
      </c>
      <c r="G409" s="8">
        <v>45770</v>
      </c>
      <c r="H409" s="6">
        <v>14.67</v>
      </c>
      <c r="I409" s="6" cm="1">
        <f t="array" ref="I409">IFERROR(VALUE(TRIM(LEFT(E409,MIN(FIND({" ";"g";"k";"m";"o"},E409&amp;" gkmo"))-1))),0)</f>
        <v>175</v>
      </c>
      <c r="J409" s="6" t="str" cm="1">
        <f t="array" ref="J409">IFERROR(TRIM(MID(E409,MIN(FIND({" ";"g";"k";"m";"o"},E409&amp;" gkmo")),10)),"unknown")</f>
        <v>g</v>
      </c>
      <c r="K409" s="6" t="str">
        <f t="shared" si="24"/>
        <v>g</v>
      </c>
      <c r="L409" s="6" t="str">
        <f t="shared" si="25"/>
        <v>Pringles</v>
      </c>
      <c r="M409" s="6" t="str">
        <f t="shared" si="26"/>
        <v>Pringles</v>
      </c>
      <c r="N409" s="6" t="str">
        <f t="shared" si="27"/>
        <v>Frankrijk</v>
      </c>
    </row>
    <row r="410" spans="1:14" x14ac:dyDescent="0.25">
      <c r="A410" s="6" t="s">
        <v>1138</v>
      </c>
      <c r="B410" s="6">
        <v>12019</v>
      </c>
      <c r="C410" s="6" t="s">
        <v>1139</v>
      </c>
      <c r="D410" s="7" t="s">
        <v>248</v>
      </c>
      <c r="E410" s="6" t="s">
        <v>528</v>
      </c>
      <c r="F410" s="6" t="s">
        <v>7951</v>
      </c>
      <c r="G410" s="8">
        <v>45497</v>
      </c>
      <c r="H410" s="6">
        <v>23.48</v>
      </c>
      <c r="I410" s="6" cm="1">
        <f t="array" ref="I410">IFERROR(VALUE(TRIM(LEFT(E410,MIN(FIND({" ";"g";"k";"m";"o"},E410&amp;" gkmo"))-1))),0)</f>
        <v>200</v>
      </c>
      <c r="J410" s="6" t="str" cm="1">
        <f t="array" ref="J410">IFERROR(TRIM(MID(E410,MIN(FIND({" ";"g";"k";"m";"o"},E410&amp;" gkmo")),10)),"unknown")</f>
        <v>g</v>
      </c>
      <c r="K410" s="6" t="str">
        <f t="shared" si="24"/>
        <v>g</v>
      </c>
      <c r="L410" s="6" t="str">
        <f t="shared" si="25"/>
        <v>Tesco</v>
      </c>
      <c r="M410" s="6" t="str">
        <f t="shared" si="26"/>
        <v>Tortilla Chips</v>
      </c>
      <c r="N410" s="6" t="str">
        <f t="shared" si="27"/>
        <v>Isle Of Man, United-Kingdom</v>
      </c>
    </row>
    <row r="411" spans="1:14" x14ac:dyDescent="0.25">
      <c r="A411" s="6" t="s">
        <v>1140</v>
      </c>
      <c r="B411" s="6">
        <v>9950</v>
      </c>
      <c r="C411" s="6" t="s">
        <v>1141</v>
      </c>
      <c r="D411" s="7" t="s">
        <v>1142</v>
      </c>
      <c r="E411" s="6"/>
      <c r="F411" s="6" t="s">
        <v>1143</v>
      </c>
      <c r="G411" s="8">
        <v>45464</v>
      </c>
      <c r="H411" s="6">
        <v>4.5599999999999996</v>
      </c>
      <c r="I411" s="6" cm="1">
        <f t="array" ref="I411">IFERROR(VALUE(TRIM(LEFT(E411,MIN(FIND({" ";"g";"k";"m";"o"},E411&amp;" gkmo"))-1))),0)</f>
        <v>0</v>
      </c>
      <c r="J411" s="6" t="str" cm="1">
        <f t="array" ref="J411">IFERROR(TRIM(MID(E411,MIN(FIND({" ";"g";"k";"m";"o"},E411&amp;" gkmo")),10)),"unknown")</f>
        <v/>
      </c>
      <c r="K411" s="6" t="str">
        <f t="shared" si="24"/>
        <v>unknown</v>
      </c>
      <c r="L411" s="6" t="str">
        <f t="shared" si="25"/>
        <v>J.D. Gross, Lidl</v>
      </c>
      <c r="M411" s="6" t="str">
        <f t="shared" si="26"/>
        <v>Mints</v>
      </c>
      <c r="N411" s="6" t="str">
        <f t="shared" si="27"/>
        <v>Germany,France,Finland,Spain,Bulgaria,Lithuania,Czech Republic</v>
      </c>
    </row>
    <row r="412" spans="1:14" x14ac:dyDescent="0.25">
      <c r="A412" s="6" t="s">
        <v>1144</v>
      </c>
      <c r="B412" s="6">
        <v>13993</v>
      </c>
      <c r="C412" s="6" t="s">
        <v>1145</v>
      </c>
      <c r="D412" s="7" t="s">
        <v>131</v>
      </c>
      <c r="E412" s="6"/>
      <c r="F412" s="6" t="s">
        <v>139</v>
      </c>
      <c r="G412" s="8">
        <v>45812</v>
      </c>
      <c r="H412" s="6">
        <v>13.16</v>
      </c>
      <c r="I412" s="6" cm="1">
        <f t="array" ref="I412">IFERROR(VALUE(TRIM(LEFT(E412,MIN(FIND({" ";"g";"k";"m";"o"},E412&amp;" gkmo"))-1))),0)</f>
        <v>0</v>
      </c>
      <c r="J412" s="6" t="str" cm="1">
        <f t="array" ref="J412">IFERROR(TRIM(MID(E412,MIN(FIND({" ";"g";"k";"m";"o"},E412&amp;" gkmo")),10)),"unknown")</f>
        <v/>
      </c>
      <c r="K412" s="6" t="str">
        <f t="shared" si="24"/>
        <v>unknown</v>
      </c>
      <c r="L412" s="6" t="str">
        <f t="shared" si="25"/>
        <v>Pasquier</v>
      </c>
      <c r="M412" s="6" t="str">
        <f t="shared" si="26"/>
        <v>Pains Au Chocolat</v>
      </c>
      <c r="N412" s="6" t="str">
        <f t="shared" si="27"/>
        <v>France</v>
      </c>
    </row>
    <row r="413" spans="1:14" x14ac:dyDescent="0.25">
      <c r="A413" s="6" t="s">
        <v>1146</v>
      </c>
      <c r="B413" s="6">
        <v>11967</v>
      </c>
      <c r="C413" s="6" t="s">
        <v>7462</v>
      </c>
      <c r="D413" s="7" t="s">
        <v>1147</v>
      </c>
      <c r="E413" s="6" t="s">
        <v>423</v>
      </c>
      <c r="F413" s="6" t="s">
        <v>7919</v>
      </c>
      <c r="G413" s="8">
        <v>45495</v>
      </c>
      <c r="H413" s="6">
        <v>3.98</v>
      </c>
      <c r="I413" s="6" cm="1">
        <f t="array" ref="I413">IFERROR(VALUE(TRIM(LEFT(E413,MIN(FIND({" ";"g";"k";"m";"o"},E413&amp;" gkmo"))-1))),0)</f>
        <v>125</v>
      </c>
      <c r="J413" s="6" t="str" cm="1">
        <f t="array" ref="J413">IFERROR(TRIM(MID(E413,MIN(FIND({" ";"g";"k";"m";"o"},E413&amp;" gkmo")),10)),"unknown")</f>
        <v>g</v>
      </c>
      <c r="K413" s="6" t="str">
        <f t="shared" si="24"/>
        <v>g</v>
      </c>
      <c r="L413" s="6" t="str">
        <f t="shared" si="25"/>
        <v>Bret'S</v>
      </c>
      <c r="M413" s="6" t="str">
        <f t="shared" si="26"/>
        <v>Chèvre Piment D'Espelette</v>
      </c>
      <c r="N413" s="6" t="str">
        <f t="shared" si="27"/>
        <v>France, Morocco</v>
      </c>
    </row>
    <row r="414" spans="1:14" x14ac:dyDescent="0.25">
      <c r="A414" s="6" t="s">
        <v>1148</v>
      </c>
      <c r="B414" s="6">
        <v>11203</v>
      </c>
      <c r="C414" s="6" t="s">
        <v>286</v>
      </c>
      <c r="D414" s="7" t="s">
        <v>287</v>
      </c>
      <c r="E414" s="6" t="s">
        <v>24</v>
      </c>
      <c r="F414" s="6" t="s">
        <v>7952</v>
      </c>
      <c r="G414" s="8">
        <v>45529</v>
      </c>
      <c r="H414" s="6">
        <v>5.63</v>
      </c>
      <c r="I414" s="6" cm="1">
        <f t="array" ref="I414">IFERROR(VALUE(TRIM(LEFT(E414,MIN(FIND({" ";"g";"k";"m";"o"},E414&amp;" gkmo"))-1))),0)</f>
        <v>230</v>
      </c>
      <c r="J414" s="6" t="str" cm="1">
        <f t="array" ref="J414">IFERROR(TRIM(MID(E414,MIN(FIND({" ";"g";"k";"m";"o"},E414&amp;" gkmo")),10)),"unknown")</f>
        <v>g</v>
      </c>
      <c r="K414" s="6" t="str">
        <f t="shared" si="24"/>
        <v>g</v>
      </c>
      <c r="L414" s="6" t="str">
        <f t="shared" si="25"/>
        <v>Ferrero</v>
      </c>
      <c r="M414" s="6" t="str">
        <f t="shared" si="26"/>
        <v>Raffaello</v>
      </c>
      <c r="N414" s="6" t="str">
        <f t="shared" si="27"/>
        <v>Austria, Belgium, Bulgaria, France, Germany, Hungary, Poland, Romania, Switzerland, United Kingdom, Latvia</v>
      </c>
    </row>
    <row r="415" spans="1:14" x14ac:dyDescent="0.25">
      <c r="A415" s="6" t="s">
        <v>1149</v>
      </c>
      <c r="B415" s="6">
        <v>12550</v>
      </c>
      <c r="C415" s="6" t="s">
        <v>1150</v>
      </c>
      <c r="D415" s="7" t="s">
        <v>1151</v>
      </c>
      <c r="E415" s="6"/>
      <c r="F415" s="6" t="s">
        <v>8459</v>
      </c>
      <c r="G415" s="8">
        <v>45946</v>
      </c>
      <c r="H415" s="6">
        <v>24.99</v>
      </c>
      <c r="I415" s="6" cm="1">
        <f t="array" ref="I415">IFERROR(VALUE(TRIM(LEFT(E415,MIN(FIND({" ";"g";"k";"m";"o"},E415&amp;" gkmo"))-1))),0)</f>
        <v>0</v>
      </c>
      <c r="J415" s="6" t="str" cm="1">
        <f t="array" ref="J415">IFERROR(TRIM(MID(E415,MIN(FIND({" ";"g";"k";"m";"o"},E415&amp;" gkmo")),10)),"unknown")</f>
        <v/>
      </c>
      <c r="K415" s="6" t="str">
        <f t="shared" si="24"/>
        <v>unknown</v>
      </c>
      <c r="L415" s="6" t="str">
        <f t="shared" si="25"/>
        <v>Tyrell'S</v>
      </c>
      <c r="M415" s="6" t="str">
        <f t="shared" si="26"/>
        <v>Mature Cheddar &amp; Chive</v>
      </c>
      <c r="N415" s="6" t="str">
        <f t="shared" si="27"/>
        <v>France, Germany, Reunion, United-Kingdom</v>
      </c>
    </row>
    <row r="416" spans="1:14" x14ac:dyDescent="0.25">
      <c r="A416" s="6" t="s">
        <v>1152</v>
      </c>
      <c r="B416" s="6">
        <v>13814</v>
      </c>
      <c r="C416" s="6" t="s">
        <v>1153</v>
      </c>
      <c r="D416" s="7" t="s">
        <v>339</v>
      </c>
      <c r="E416" s="6" t="s">
        <v>495</v>
      </c>
      <c r="F416" s="6" t="s">
        <v>177</v>
      </c>
      <c r="G416" s="8">
        <v>45968</v>
      </c>
      <c r="H416" s="6">
        <v>22.45</v>
      </c>
      <c r="I416" s="6" cm="1">
        <f t="array" ref="I416">IFERROR(VALUE(TRIM(LEFT(E416,MIN(FIND({" ";"g";"k";"m";"o"},E416&amp;" gkmo"))-1))),0)</f>
        <v>35</v>
      </c>
      <c r="J416" s="6" t="str" cm="1">
        <f t="array" ref="J416">IFERROR(TRIM(MID(E416,MIN(FIND({" ";"g";"k";"m";"o"},E416&amp;" gkmo")),10)),"unknown")</f>
        <v>g</v>
      </c>
      <c r="K416" s="6" t="str">
        <f t="shared" si="24"/>
        <v>g</v>
      </c>
      <c r="L416" s="6" t="str">
        <f t="shared" si="25"/>
        <v>Nakd</v>
      </c>
      <c r="M416" s="6" t="str">
        <f t="shared" si="26"/>
        <v>Raw Fruit &amp; Nut Bar</v>
      </c>
      <c r="N416" s="6" t="str">
        <f t="shared" si="27"/>
        <v>United Kingdom</v>
      </c>
    </row>
    <row r="417" spans="1:14" x14ac:dyDescent="0.25">
      <c r="A417" s="6" t="s">
        <v>1154</v>
      </c>
      <c r="B417" s="6">
        <v>13025</v>
      </c>
      <c r="C417" s="6" t="s">
        <v>1155</v>
      </c>
      <c r="D417" s="7" t="s">
        <v>1156</v>
      </c>
      <c r="E417" s="6"/>
      <c r="F417" s="6" t="s">
        <v>400</v>
      </c>
      <c r="G417" s="8">
        <v>45406</v>
      </c>
      <c r="H417" s="6">
        <v>13.78</v>
      </c>
      <c r="I417" s="6" cm="1">
        <f t="array" ref="I417">IFERROR(VALUE(TRIM(LEFT(E417,MIN(FIND({" ";"g";"k";"m";"o"},E417&amp;" gkmo"))-1))),0)</f>
        <v>0</v>
      </c>
      <c r="J417" s="6" t="str" cm="1">
        <f t="array" ref="J417">IFERROR(TRIM(MID(E417,MIN(FIND({" ";"g";"k";"m";"o"},E417&amp;" gkmo")),10)),"unknown")</f>
        <v/>
      </c>
      <c r="K417" s="6" t="str">
        <f t="shared" si="24"/>
        <v>unknown</v>
      </c>
      <c r="L417" s="6" t="str">
        <f t="shared" si="25"/>
        <v>Strong Roots</v>
      </c>
      <c r="M417" s="6" t="str">
        <f t="shared" si="26"/>
        <v>Oven Baked Sweet Potato Fries</v>
      </c>
      <c r="N417" s="6" t="str">
        <f t="shared" si="27"/>
        <v>France,United Kingdom</v>
      </c>
    </row>
    <row r="418" spans="1:14" x14ac:dyDescent="0.25">
      <c r="A418" s="6" t="s">
        <v>1157</v>
      </c>
      <c r="B418" s="6">
        <v>7199</v>
      </c>
      <c r="C418" s="6" t="s">
        <v>7527</v>
      </c>
      <c r="D418" s="7" t="s">
        <v>7087</v>
      </c>
      <c r="E418" s="6" t="s">
        <v>352</v>
      </c>
      <c r="F418" s="6" t="s">
        <v>8449</v>
      </c>
      <c r="G418" s="8">
        <v>45985</v>
      </c>
      <c r="H418" s="6">
        <v>2.61</v>
      </c>
      <c r="I418" s="6" cm="1">
        <f t="array" ref="I418">IFERROR(VALUE(TRIM(LEFT(E418,MIN(FIND({" ";"g";"k";"m";"o"},E418&amp;" gkmo"))-1))),0)</f>
        <v>170</v>
      </c>
      <c r="J418" s="6" t="str" cm="1">
        <f t="array" ref="J418">IFERROR(TRIM(MID(E418,MIN(FIND({" ";"g";"k";"m";"o"},E418&amp;" gkmo")),10)),"unknown")</f>
        <v>g</v>
      </c>
      <c r="K418" s="6" t="str">
        <f t="shared" si="24"/>
        <v>g</v>
      </c>
      <c r="L418" s="6" t="str">
        <f t="shared" si="25"/>
        <v>Nestlé,Nestlé Dessert,Tablettes</v>
      </c>
      <c r="M418" s="6" t="str">
        <f t="shared" si="26"/>
        <v>Nestlé Dessert 70% Absolu 170G</v>
      </c>
      <c r="N418" s="6" t="str">
        <f t="shared" si="27"/>
        <v>France,La Reunion</v>
      </c>
    </row>
    <row r="419" spans="1:14" x14ac:dyDescent="0.25">
      <c r="A419" s="6" t="s">
        <v>1158</v>
      </c>
      <c r="B419" s="6">
        <v>12219</v>
      </c>
      <c r="C419" s="6" t="s">
        <v>1159</v>
      </c>
      <c r="D419" s="7" t="s">
        <v>7088</v>
      </c>
      <c r="E419" s="6" t="s">
        <v>1160</v>
      </c>
      <c r="F419" s="6" t="s">
        <v>1161</v>
      </c>
      <c r="G419" s="8">
        <v>45794</v>
      </c>
      <c r="H419" s="6">
        <v>3.4</v>
      </c>
      <c r="I419" s="6" cm="1">
        <f t="array" ref="I419">IFERROR(VALUE(TRIM(LEFT(E419,MIN(FIND({" ";"g";"k";"m";"o"},E419&amp;" gkmo"))-1))),0)</f>
        <v>570</v>
      </c>
      <c r="J419" s="6" t="str" cm="1">
        <f t="array" ref="J419">IFERROR(TRIM(MID(E419,MIN(FIND({" ";"g";"k";"m";"o"},E419&amp;" gkmo")),10)),"unknown")</f>
        <v>g</v>
      </c>
      <c r="K419" s="6" t="str">
        <f t="shared" si="24"/>
        <v>g</v>
      </c>
      <c r="L419" s="6" t="str">
        <f t="shared" si="25"/>
        <v>Cuétara</v>
      </c>
      <c r="M419" s="6" t="str">
        <f t="shared" si="26"/>
        <v>Tosta Rica</v>
      </c>
      <c r="N419" s="6" t="str">
        <f t="shared" si="27"/>
        <v>France,Morocco,Spain</v>
      </c>
    </row>
    <row r="420" spans="1:14" x14ac:dyDescent="0.25">
      <c r="A420" s="6" t="s">
        <v>1162</v>
      </c>
      <c r="B420" s="6">
        <v>9551</v>
      </c>
      <c r="C420" s="6" t="s">
        <v>1163</v>
      </c>
      <c r="D420" s="7" t="s">
        <v>116</v>
      </c>
      <c r="E420" s="6" t="s">
        <v>1164</v>
      </c>
      <c r="F420" s="6" t="s">
        <v>8400</v>
      </c>
      <c r="G420" s="8">
        <v>45991</v>
      </c>
      <c r="H420" s="6">
        <v>15.06</v>
      </c>
      <c r="I420" s="6" cm="1">
        <f t="array" ref="I420">IFERROR(VALUE(TRIM(LEFT(E420,MIN(FIND({" ";"g";"k";"m";"o"},E420&amp;" gkmo"))-1))),0)</f>
        <v>210</v>
      </c>
      <c r="J420" s="6" t="str" cm="1">
        <f t="array" ref="J420">IFERROR(TRIM(MID(E420,MIN(FIND({" ";"g";"k";"m";"o"},E420&amp;" gkmo")),10)),"unknown")</f>
        <v>gram</v>
      </c>
      <c r="K420" s="6" t="str">
        <f t="shared" si="24"/>
        <v>g</v>
      </c>
      <c r="L420" s="6" t="str">
        <f t="shared" si="25"/>
        <v>Nature Valley</v>
      </c>
      <c r="M420" s="6" t="str">
        <f t="shared" si="26"/>
        <v>Crunchy Canadian Maple Syrup</v>
      </c>
      <c r="N420" s="6" t="str">
        <f t="shared" si="27"/>
        <v>France,Espaà±A,United Kingdom</v>
      </c>
    </row>
    <row r="421" spans="1:14" x14ac:dyDescent="0.25">
      <c r="A421" s="6" t="s">
        <v>1165</v>
      </c>
      <c r="B421" s="6">
        <v>12721</v>
      </c>
      <c r="C421" s="6" t="s">
        <v>1166</v>
      </c>
      <c r="D421" s="7" t="s">
        <v>1167</v>
      </c>
      <c r="E421" s="6" t="s">
        <v>151</v>
      </c>
      <c r="F421" s="6" t="s">
        <v>1092</v>
      </c>
      <c r="G421" s="8">
        <v>45679</v>
      </c>
      <c r="H421" s="6">
        <v>22.68</v>
      </c>
      <c r="I421" s="6" cm="1">
        <f t="array" ref="I421">IFERROR(VALUE(TRIM(LEFT(E421,MIN(FIND({" ";"g";"k";"m";"o"},E421&amp;" gkmo"))-1))),0)</f>
        <v>200</v>
      </c>
      <c r="J421" s="6" t="str" cm="1">
        <f t="array" ref="J421">IFERROR(TRIM(MID(E421,MIN(FIND({" ";"g";"k";"m";"o"},E421&amp;" gkmo")),10)),"unknown")</f>
        <v>g</v>
      </c>
      <c r="K421" s="6" t="str">
        <f t="shared" si="24"/>
        <v>g</v>
      </c>
      <c r="L421" s="6" t="str">
        <f t="shared" si="25"/>
        <v>Lidl</v>
      </c>
      <c r="M421" s="6" t="str">
        <f t="shared" si="26"/>
        <v>Bio Crackers</v>
      </c>
      <c r="N421" s="6" t="str">
        <f t="shared" si="27"/>
        <v>Frankrijk</v>
      </c>
    </row>
    <row r="422" spans="1:14" x14ac:dyDescent="0.25">
      <c r="A422" s="6" t="s">
        <v>1168</v>
      </c>
      <c r="B422" s="6">
        <v>9144</v>
      </c>
      <c r="C422" s="6" t="s">
        <v>1169</v>
      </c>
      <c r="D422" s="7" t="s">
        <v>204</v>
      </c>
      <c r="E422" s="6" t="s">
        <v>14</v>
      </c>
      <c r="F422" s="6" t="s">
        <v>7920</v>
      </c>
      <c r="G422" s="8">
        <v>45352</v>
      </c>
      <c r="H422" s="6">
        <v>22.32</v>
      </c>
      <c r="I422" s="6" cm="1">
        <f t="array" ref="I422">IFERROR(VALUE(TRIM(LEFT(E422,MIN(FIND({" ";"g";"k";"m";"o"},E422&amp;" gkmo"))-1))),0)</f>
        <v>300</v>
      </c>
      <c r="J422" s="6" t="str" cm="1">
        <f t="array" ref="J422">IFERROR(TRIM(MID(E422,MIN(FIND({" ";"g";"k";"m";"o"},E422&amp;" gkmo")),10)),"unknown")</f>
        <v>g</v>
      </c>
      <c r="K422" s="6" t="str">
        <f t="shared" si="24"/>
        <v>g</v>
      </c>
      <c r="L422" s="6" t="str">
        <f t="shared" si="25"/>
        <v>Mcvitie'S</v>
      </c>
      <c r="M422" s="6" t="str">
        <f t="shared" si="26"/>
        <v>Mcvities Rich Tea Biscuits</v>
      </c>
      <c r="N422" s="6" t="str">
        <f t="shared" si="27"/>
        <v>United Kingdom, Ireland</v>
      </c>
    </row>
    <row r="423" spans="1:14" x14ac:dyDescent="0.25">
      <c r="A423" s="6" t="s">
        <v>1170</v>
      </c>
      <c r="B423" s="6">
        <v>13821</v>
      </c>
      <c r="C423" s="6" t="s">
        <v>1171</v>
      </c>
      <c r="D423" s="7" t="s">
        <v>1172</v>
      </c>
      <c r="E423" s="6" t="s">
        <v>1173</v>
      </c>
      <c r="F423" s="6" t="s">
        <v>1174</v>
      </c>
      <c r="G423" s="8">
        <v>45380</v>
      </c>
      <c r="H423" s="6">
        <v>3.79</v>
      </c>
      <c r="I423" s="6" cm="1">
        <f t="array" ref="I423">IFERROR(VALUE(TRIM(LEFT(E423,MIN(FIND({" ";"g";"k";"m";"o"},E423&amp;" gkmo"))-1))),0)</f>
        <v>336</v>
      </c>
      <c r="J423" s="6" t="str" cm="1">
        <f t="array" ref="J423">IFERROR(TRIM(MID(E423,MIN(FIND({" ";"g";"k";"m";"o"},E423&amp;" gkmo")),10)),"unknown")</f>
        <v>g</v>
      </c>
      <c r="K423" s="6" t="str">
        <f t="shared" si="24"/>
        <v>g</v>
      </c>
      <c r="L423" s="6" t="str">
        <f t="shared" si="25"/>
        <v>Barilla, Mulino Bianco</v>
      </c>
      <c r="M423" s="6" t="str">
        <f t="shared" si="26"/>
        <v>Baiocchi Nocciola Snack Mb</v>
      </c>
      <c r="N423" s="6" t="str">
        <f t="shared" si="27"/>
        <v>France,Italie</v>
      </c>
    </row>
    <row r="424" spans="1:14" x14ac:dyDescent="0.25">
      <c r="A424" s="6" t="s">
        <v>1175</v>
      </c>
      <c r="B424" s="6">
        <v>7343</v>
      </c>
      <c r="C424" s="6" t="s">
        <v>7017</v>
      </c>
      <c r="D424" s="7" t="s">
        <v>1176</v>
      </c>
      <c r="E424" s="6" t="s">
        <v>1177</v>
      </c>
      <c r="F424" s="6" t="s">
        <v>7605</v>
      </c>
      <c r="G424" s="8">
        <v>45982</v>
      </c>
      <c r="H424" s="6">
        <v>13.16</v>
      </c>
      <c r="I424" s="6" cm="1">
        <f t="array" ref="I424">IFERROR(VALUE(TRIM(LEFT(E424,MIN(FIND({" ";"g";"k";"m";"o"},E424&amp;" gkmo"))-1))),0)</f>
        <v>370</v>
      </c>
      <c r="J424" s="6" t="str" cm="1">
        <f t="array" ref="J424">IFERROR(TRIM(MID(E424,MIN(FIND({" ";"g";"k";"m";"o"},E424&amp;" gkmo")),10)),"unknown")</f>
        <v>g</v>
      </c>
      <c r="K424" s="6" t="str">
        <f t="shared" si="24"/>
        <v>g</v>
      </c>
      <c r="L424" s="6" t="str">
        <f t="shared" si="25"/>
        <v>Snack Day</v>
      </c>
      <c r="M424" s="6" t="str">
        <f t="shared" si="26"/>
        <v>Unknown</v>
      </c>
      <c r="N424" s="6" t="str">
        <f t="shared" si="27"/>
        <v>À–Sterreich, Bulgarien, Kroatien, Tschechien, Ungarn, Litauen, Polen, Rumà¤Nien, Serbien, Slowakei, Slowenien, Germany</v>
      </c>
    </row>
    <row r="425" spans="1:14" x14ac:dyDescent="0.25">
      <c r="A425" s="6" t="s">
        <v>1178</v>
      </c>
      <c r="B425" s="6">
        <v>12280</v>
      </c>
      <c r="C425" s="6" t="s">
        <v>1179</v>
      </c>
      <c r="D425" s="7" t="s">
        <v>578</v>
      </c>
      <c r="E425" s="6" t="s">
        <v>556</v>
      </c>
      <c r="F425" s="6" t="s">
        <v>400</v>
      </c>
      <c r="G425" s="8">
        <v>45796</v>
      </c>
      <c r="H425" s="6">
        <v>5.0199999999999996</v>
      </c>
      <c r="I425" s="6" cm="1">
        <f t="array" ref="I425">IFERROR(VALUE(TRIM(LEFT(E425,MIN(FIND({" ";"g";"k";"m";"o"},E425&amp;" gkmo"))-1))),0)</f>
        <v>100</v>
      </c>
      <c r="J425" s="6" t="str" cm="1">
        <f t="array" ref="J425">IFERROR(TRIM(MID(E425,MIN(FIND({" ";"g";"k";"m";"o"},E425&amp;" gkmo")),10)),"unknown")</f>
        <v>g e</v>
      </c>
      <c r="K425" s="6" t="str">
        <f t="shared" si="24"/>
        <v>g</v>
      </c>
      <c r="L425" s="6" t="str">
        <f t="shared" si="25"/>
        <v>Marks &amp; Spencer</v>
      </c>
      <c r="M425" s="6" t="str">
        <f t="shared" si="26"/>
        <v>Intense Dark Chocolate 85% Cocoa Solids</v>
      </c>
      <c r="N425" s="6" t="str">
        <f t="shared" si="27"/>
        <v>France,United Kingdom</v>
      </c>
    </row>
    <row r="426" spans="1:14" x14ac:dyDescent="0.25">
      <c r="A426" s="6" t="s">
        <v>1180</v>
      </c>
      <c r="B426" s="6">
        <v>13367</v>
      </c>
      <c r="C426" s="6" t="s">
        <v>7089</v>
      </c>
      <c r="D426" s="7" t="s">
        <v>7090</v>
      </c>
      <c r="E426" s="6" t="s">
        <v>379</v>
      </c>
      <c r="F426" s="6" t="s">
        <v>1181</v>
      </c>
      <c r="G426" s="8">
        <v>45619</v>
      </c>
      <c r="H426" s="6">
        <v>19.21</v>
      </c>
      <c r="I426" s="6" cm="1">
        <f t="array" ref="I426">IFERROR(VALUE(TRIM(LEFT(E426,MIN(FIND({" ";"g";"k";"m";"o"},E426&amp;" gkmo"))-1))),0)</f>
        <v>145</v>
      </c>
      <c r="J426" s="6" t="str" cm="1">
        <f t="array" ref="J426">IFERROR(TRIM(MID(E426,MIN(FIND({" ";"g";"k";"m";"o"},E426&amp;" gkmo")),10)),"unknown")</f>
        <v>g</v>
      </c>
      <c r="K426" s="6" t="str">
        <f t="shared" si="24"/>
        <v>g</v>
      </c>
      <c r="L426" s="6" t="str">
        <f t="shared" si="25"/>
        <v>Céréal Bio</v>
      </c>
      <c r="M426" s="6" t="str">
        <f t="shared" si="26"/>
        <v>Tartines Craquantes Multi-Céréales</v>
      </c>
      <c r="N426" s="6" t="str">
        <f t="shared" si="27"/>
        <v>France,Switzerland</v>
      </c>
    </row>
    <row r="427" spans="1:14" x14ac:dyDescent="0.25">
      <c r="A427" s="6" t="s">
        <v>1182</v>
      </c>
      <c r="B427" s="6">
        <v>11640</v>
      </c>
      <c r="C427" s="6" t="s">
        <v>7091</v>
      </c>
      <c r="D427" s="7" t="s">
        <v>439</v>
      </c>
      <c r="E427" s="6" t="s">
        <v>1183</v>
      </c>
      <c r="F427" s="6" t="s">
        <v>139</v>
      </c>
      <c r="G427" s="8">
        <v>45610</v>
      </c>
      <c r="H427" s="6">
        <v>5.33</v>
      </c>
      <c r="I427" s="6" cm="1">
        <f t="array" ref="I427">IFERROR(VALUE(TRIM(LEFT(E427,MIN(FIND({" ";"g";"k";"m";"o"},E427&amp;" gkmo"))-1))),0)</f>
        <v>95</v>
      </c>
      <c r="J427" s="6" t="str" cm="1">
        <f t="array" ref="J427">IFERROR(TRIM(MID(E427,MIN(FIND({" ";"g";"k";"m";"o"},E427&amp;" gkmo")),10)),"unknown")</f>
        <v>g</v>
      </c>
      <c r="K427" s="6" t="str">
        <f t="shared" si="24"/>
        <v>g</v>
      </c>
      <c r="L427" s="6" t="str">
        <f t="shared" si="25"/>
        <v>Poulain</v>
      </c>
      <c r="M427" s="6" t="str">
        <f t="shared" si="26"/>
        <v>Chocolat Au Lait Feuilleté Caramel</v>
      </c>
      <c r="N427" s="6" t="str">
        <f t="shared" si="27"/>
        <v>France</v>
      </c>
    </row>
    <row r="428" spans="1:14" x14ac:dyDescent="0.25">
      <c r="A428" s="6" t="s">
        <v>1184</v>
      </c>
      <c r="B428" s="6">
        <v>6909</v>
      </c>
      <c r="C428" s="6" t="s">
        <v>7606</v>
      </c>
      <c r="D428" s="7" t="s">
        <v>7017</v>
      </c>
      <c r="E428" s="6" t="s">
        <v>10</v>
      </c>
      <c r="F428" s="6" t="s">
        <v>1185</v>
      </c>
      <c r="G428" s="8">
        <v>45640</v>
      </c>
      <c r="H428" s="6">
        <v>2.21</v>
      </c>
      <c r="I428" s="6" cm="1">
        <f t="array" ref="I428">IFERROR(VALUE(TRIM(LEFT(E428,MIN(FIND({" ";"g";"k";"m";"o"},E428&amp;" gkmo"))-1))),0)</f>
        <v>100</v>
      </c>
      <c r="J428" s="6" t="str" cm="1">
        <f t="array" ref="J428">IFERROR(TRIM(MID(E428,MIN(FIND({" ";"g";"k";"m";"o"},E428&amp;" gkmo")),10)),"unknown")</f>
        <v>g</v>
      </c>
      <c r="K428" s="6" t="str">
        <f t="shared" si="24"/>
        <v>g</v>
      </c>
      <c r="L428" s="6" t="str">
        <f t="shared" si="25"/>
        <v>Unknown</v>
      </c>
      <c r="M428" s="6" t="str">
        <f t="shared" si="26"/>
        <v>Chocolate Negro 0% Azàºcares Aà±Adidos 85% Cacao</v>
      </c>
      <c r="N428" s="6" t="str">
        <f t="shared" si="27"/>
        <v>Spain</v>
      </c>
    </row>
    <row r="429" spans="1:14" x14ac:dyDescent="0.25">
      <c r="A429" s="6" t="s">
        <v>1186</v>
      </c>
      <c r="B429" s="6">
        <v>14781</v>
      </c>
      <c r="C429" s="6" t="s">
        <v>1187</v>
      </c>
      <c r="D429" s="7" t="s">
        <v>624</v>
      </c>
      <c r="E429" s="6" t="s">
        <v>1188</v>
      </c>
      <c r="F429" s="6" t="s">
        <v>139</v>
      </c>
      <c r="G429" s="8">
        <v>45360</v>
      </c>
      <c r="H429" s="6">
        <v>18.89</v>
      </c>
      <c r="I429" s="6" cm="1">
        <f t="array" ref="I429">IFERROR(VALUE(TRIM(LEFT(E429,MIN(FIND({" ";"g";"k";"m";"o"},E429&amp;" gkmo"))-1))),0)</f>
        <v>120</v>
      </c>
      <c r="J429" s="6" t="str" cm="1">
        <f t="array" ref="J429">IFERROR(TRIM(MID(E429,MIN(FIND({" ";"g";"k";"m";"o"},E429&amp;" gkmo")),10)),"unknown")</f>
        <v>g e</v>
      </c>
      <c r="K429" s="6" t="str">
        <f t="shared" si="24"/>
        <v>g</v>
      </c>
      <c r="L429" s="6" t="str">
        <f t="shared" si="25"/>
        <v>Brets</v>
      </c>
      <c r="M429" s="6" t="str">
        <f t="shared" si="26"/>
        <v>Chips De Sarrasin Au Sel De Guerande</v>
      </c>
      <c r="N429" s="6" t="str">
        <f t="shared" si="27"/>
        <v>France</v>
      </c>
    </row>
    <row r="430" spans="1:14" x14ac:dyDescent="0.25">
      <c r="A430" s="6" t="s">
        <v>1189</v>
      </c>
      <c r="B430" s="6">
        <v>10404</v>
      </c>
      <c r="C430" s="6" t="s">
        <v>1190</v>
      </c>
      <c r="D430" s="7" t="s">
        <v>199</v>
      </c>
      <c r="E430" s="6" t="s">
        <v>200</v>
      </c>
      <c r="F430" s="6" t="s">
        <v>213</v>
      </c>
      <c r="G430" s="8">
        <v>45455</v>
      </c>
      <c r="H430" s="6">
        <v>6.24</v>
      </c>
      <c r="I430" s="6" cm="1">
        <f t="array" ref="I430">IFERROR(VALUE(TRIM(LEFT(E430,MIN(FIND({" ";"g";"k";"m";"o"},E430&amp;" gkmo"))-1))),0)</f>
        <v>285</v>
      </c>
      <c r="J430" s="6" t="str" cm="1">
        <f t="array" ref="J430">IFERROR(TRIM(MID(E430,MIN(FIND({" ";"g";"k";"m";"o"},E430&amp;" gkmo")),10)),"unknown")</f>
        <v>g</v>
      </c>
      <c r="K430" s="6" t="str">
        <f t="shared" si="24"/>
        <v>g</v>
      </c>
      <c r="L430" s="6" t="str">
        <f t="shared" si="25"/>
        <v>Bn</v>
      </c>
      <c r="M430" s="6" t="str">
        <f t="shared" si="26"/>
        <v>Bn - Strawberry Cookies, 285G (10Oz)</v>
      </c>
      <c r="N430" s="6" t="str">
        <f t="shared" si="27"/>
        <v>Belgium,France</v>
      </c>
    </row>
    <row r="431" spans="1:14" x14ac:dyDescent="0.25">
      <c r="A431" s="6" t="s">
        <v>1191</v>
      </c>
      <c r="B431" s="6">
        <v>10657</v>
      </c>
      <c r="C431" s="6" t="s">
        <v>1192</v>
      </c>
      <c r="D431" s="7" t="s">
        <v>726</v>
      </c>
      <c r="E431" s="6" t="s">
        <v>1193</v>
      </c>
      <c r="F431" s="6" t="s">
        <v>1194</v>
      </c>
      <c r="G431" s="8">
        <v>45574</v>
      </c>
      <c r="H431" s="6">
        <v>20.350000000000001</v>
      </c>
      <c r="I431" s="6" cm="1">
        <f t="array" ref="I431">IFERROR(VALUE(TRIM(LEFT(E431,MIN(FIND({" ";"g";"k";"m";"o"},E431&amp;" gkmo"))-1))),0)</f>
        <v>6</v>
      </c>
      <c r="J431" s="6" t="str" cm="1">
        <f t="array" ref="J431">IFERROR(TRIM(MID(E431,MIN(FIND({" ";"g";"k";"m";"o"},E431&amp;" gkmo")),10)),"unknown")</f>
        <v>x 22g</v>
      </c>
      <c r="K431" s="6" t="str">
        <f t="shared" si="24"/>
        <v>g</v>
      </c>
      <c r="L431" s="6" t="str">
        <f t="shared" si="25"/>
        <v>Walkers</v>
      </c>
      <c r="M431" s="6" t="str">
        <f t="shared" si="26"/>
        <v>Baked Sea Salt</v>
      </c>
      <c r="N431" s="6" t="str">
        <f t="shared" si="27"/>
        <v>United Kingdom, Germany</v>
      </c>
    </row>
    <row r="432" spans="1:14" x14ac:dyDescent="0.25">
      <c r="A432" s="6" t="s">
        <v>1195</v>
      </c>
      <c r="B432" s="6">
        <v>13969</v>
      </c>
      <c r="C432" s="6" t="s">
        <v>1196</v>
      </c>
      <c r="D432" s="7" t="s">
        <v>7017</v>
      </c>
      <c r="E432" s="6" t="s">
        <v>1197</v>
      </c>
      <c r="F432" s="6" t="s">
        <v>177</v>
      </c>
      <c r="G432" s="8">
        <v>45972</v>
      </c>
      <c r="H432" s="6">
        <v>15.91</v>
      </c>
      <c r="I432" s="6" cm="1">
        <f t="array" ref="I432">IFERROR(VALUE(TRIM(LEFT(E432,MIN(FIND({" ";"g";"k";"m";"o"},E432&amp;" gkmo"))-1))),0)</f>
        <v>117</v>
      </c>
      <c r="J432" s="6" t="str" cm="1">
        <f t="array" ref="J432">IFERROR(TRIM(MID(E432,MIN(FIND({" ";"g";"k";"m";"o"},E432&amp;" gkmo")),10)),"unknown")</f>
        <v>g</v>
      </c>
      <c r="K432" s="6" t="str">
        <f t="shared" si="24"/>
        <v>g</v>
      </c>
      <c r="L432" s="6" t="str">
        <f t="shared" si="25"/>
        <v>Unknown</v>
      </c>
      <c r="M432" s="6" t="str">
        <f t="shared" si="26"/>
        <v>Salt And Vinegar Flavour Rice And Corn Cakes</v>
      </c>
      <c r="N432" s="6" t="str">
        <f t="shared" si="27"/>
        <v>United Kingdom</v>
      </c>
    </row>
    <row r="433" spans="1:14" x14ac:dyDescent="0.25">
      <c r="A433" s="6" t="s">
        <v>1198</v>
      </c>
      <c r="B433" s="6">
        <v>6912</v>
      </c>
      <c r="C433" s="6" t="s">
        <v>7607</v>
      </c>
      <c r="D433" s="7" t="s">
        <v>7017</v>
      </c>
      <c r="E433" s="6"/>
      <c r="F433" s="6" t="s">
        <v>1199</v>
      </c>
      <c r="G433" s="8">
        <v>45491</v>
      </c>
      <c r="H433" s="6">
        <v>20.13</v>
      </c>
      <c r="I433" s="6" cm="1">
        <f t="array" ref="I433">IFERROR(VALUE(TRIM(LEFT(E433,MIN(FIND({" ";"g";"k";"m";"o"},E433&amp;" gkmo"))-1))),0)</f>
        <v>0</v>
      </c>
      <c r="J433" s="6" t="str" cm="1">
        <f t="array" ref="J433">IFERROR(TRIM(MID(E433,MIN(FIND({" ";"g";"k";"m";"o"},E433&amp;" gkmo")),10)),"unknown")</f>
        <v/>
      </c>
      <c r="K433" s="6" t="str">
        <f t="shared" si="24"/>
        <v>unknown</v>
      </c>
      <c r="L433" s="6" t="str">
        <f t="shared" si="25"/>
        <v>Unknown</v>
      </c>
      <c r="M433" s="6" t="str">
        <f t="shared" si="26"/>
        <v>Bonbon À  La Sève De Pin</v>
      </c>
      <c r="N433" s="6" t="str">
        <f t="shared" si="27"/>
        <v>Belgium,Brazil,Canada,France,Switzerland</v>
      </c>
    </row>
    <row r="434" spans="1:14" x14ac:dyDescent="0.25">
      <c r="A434" s="6" t="s">
        <v>1200</v>
      </c>
      <c r="B434" s="6">
        <v>14062</v>
      </c>
      <c r="C434" s="6" t="s">
        <v>1201</v>
      </c>
      <c r="D434" s="7" t="s">
        <v>13</v>
      </c>
      <c r="E434" s="6"/>
      <c r="F434" s="6" t="s">
        <v>8460</v>
      </c>
      <c r="G434" s="8">
        <v>45583</v>
      </c>
      <c r="H434" s="6">
        <v>4.25</v>
      </c>
      <c r="I434" s="6" cm="1">
        <f t="array" ref="I434">IFERROR(VALUE(TRIM(LEFT(E434,MIN(FIND({" ";"g";"k";"m";"o"},E434&amp;" gkmo"))-1))),0)</f>
        <v>0</v>
      </c>
      <c r="J434" s="6" t="str" cm="1">
        <f t="array" ref="J434">IFERROR(TRIM(MID(E434,MIN(FIND({" ";"g";"k";"m";"o"},E434&amp;" gkmo")),10)),"unknown")</f>
        <v/>
      </c>
      <c r="K434" s="6" t="str">
        <f t="shared" si="24"/>
        <v>unknown</v>
      </c>
      <c r="L434" s="6" t="str">
        <f t="shared" si="25"/>
        <v>Lu</v>
      </c>
      <c r="M434" s="6" t="str">
        <f t="shared" si="26"/>
        <v>La Barquette (Chocolat)</v>
      </c>
      <c r="N434" s="6" t="str">
        <f t="shared" si="27"/>
        <v>France,La Reunion,Spain</v>
      </c>
    </row>
    <row r="435" spans="1:14" x14ac:dyDescent="0.25">
      <c r="A435" s="6" t="s">
        <v>1202</v>
      </c>
      <c r="B435" s="6">
        <v>8289</v>
      </c>
      <c r="C435" s="6" t="s">
        <v>7092</v>
      </c>
      <c r="D435" s="7" t="s">
        <v>60</v>
      </c>
      <c r="E435" s="6"/>
      <c r="F435" s="6" t="s">
        <v>8257</v>
      </c>
      <c r="G435" s="8">
        <v>45806</v>
      </c>
      <c r="H435" s="6">
        <v>5.35</v>
      </c>
      <c r="I435" s="6" cm="1">
        <f t="array" ref="I435">IFERROR(VALUE(TRIM(LEFT(E435,MIN(FIND({" ";"g";"k";"m";"o"},E435&amp;" gkmo"))-1))),0)</f>
        <v>0</v>
      </c>
      <c r="J435" s="6" t="str" cm="1">
        <f t="array" ref="J435">IFERROR(TRIM(MID(E435,MIN(FIND({" ";"g";"k";"m";"o"},E435&amp;" gkmo")),10)),"unknown")</f>
        <v/>
      </c>
      <c r="K435" s="6" t="str">
        <f t="shared" si="24"/>
        <v>unknown</v>
      </c>
      <c r="L435" s="6" t="str">
        <f t="shared" si="25"/>
        <v>Lindt</v>
      </c>
      <c r="M435" s="6" t="str">
        <f t="shared" si="26"/>
        <v>Création Rocher Noir</v>
      </c>
      <c r="N435" s="6" t="str">
        <f t="shared" si="27"/>
        <v>France,Germany,Morocco</v>
      </c>
    </row>
    <row r="436" spans="1:14" x14ac:dyDescent="0.25">
      <c r="A436" s="6" t="s">
        <v>1203</v>
      </c>
      <c r="B436" s="6">
        <v>10303</v>
      </c>
      <c r="C436" s="6" t="s">
        <v>1204</v>
      </c>
      <c r="D436" s="7" t="s">
        <v>1205</v>
      </c>
      <c r="E436" s="6" t="s">
        <v>335</v>
      </c>
      <c r="F436" s="6" t="s">
        <v>7920</v>
      </c>
      <c r="G436" s="8">
        <v>45751</v>
      </c>
      <c r="H436" s="6">
        <v>22.63</v>
      </c>
      <c r="I436" s="6" cm="1">
        <f t="array" ref="I436">IFERROR(VALUE(TRIM(LEFT(E436,MIN(FIND({" ";"g";"k";"m";"o"},E436&amp;" gkmo"))-1))),0)</f>
        <v>250</v>
      </c>
      <c r="J436" s="6" t="str" cm="1">
        <f t="array" ref="J436">IFERROR(TRIM(MID(E436,MIN(FIND({" ";"g";"k";"m";"o"},E436&amp;" gkmo")),10)),"unknown")</f>
        <v>g</v>
      </c>
      <c r="K436" s="6" t="str">
        <f t="shared" si="24"/>
        <v>g</v>
      </c>
      <c r="L436" s="6" t="str">
        <f t="shared" si="25"/>
        <v>Savour Bakes</v>
      </c>
      <c r="M436" s="6" t="str">
        <f t="shared" si="26"/>
        <v>Scottish Rough Oatcakes</v>
      </c>
      <c r="N436" s="6" t="str">
        <f t="shared" si="27"/>
        <v>United Kingdom, Ireland</v>
      </c>
    </row>
    <row r="437" spans="1:14" x14ac:dyDescent="0.25">
      <c r="A437" s="6" t="s">
        <v>1206</v>
      </c>
      <c r="B437" s="6">
        <v>10861</v>
      </c>
      <c r="C437" s="6" t="s">
        <v>1207</v>
      </c>
      <c r="D437" s="7" t="s">
        <v>7017</v>
      </c>
      <c r="E437" s="6" t="s">
        <v>848</v>
      </c>
      <c r="F437" s="6" t="s">
        <v>48</v>
      </c>
      <c r="G437" s="8">
        <v>45726</v>
      </c>
      <c r="H437" s="6">
        <v>13.16</v>
      </c>
      <c r="I437" s="6" cm="1">
        <f t="array" ref="I437">IFERROR(VALUE(TRIM(LEFT(E437,MIN(FIND({" ";"g";"k";"m";"o"},E437&amp;" gkmo"))-1))),0)</f>
        <v>32</v>
      </c>
      <c r="J437" s="6" t="str" cm="1">
        <f t="array" ref="J437">IFERROR(TRIM(MID(E437,MIN(FIND({" ";"g";"k";"m";"o"},E437&amp;" gkmo")),10)),"unknown")</f>
        <v>g</v>
      </c>
      <c r="K437" s="6" t="str">
        <f t="shared" si="24"/>
        <v>g</v>
      </c>
      <c r="L437" s="6" t="str">
        <f t="shared" si="25"/>
        <v>Unknown</v>
      </c>
      <c r="M437" s="6" t="str">
        <f t="shared" si="26"/>
        <v>Itri Choco</v>
      </c>
      <c r="N437" s="6" t="str">
        <f t="shared" si="27"/>
        <v>Morocco</v>
      </c>
    </row>
    <row r="438" spans="1:14" x14ac:dyDescent="0.25">
      <c r="A438" s="6" t="s">
        <v>1208</v>
      </c>
      <c r="B438" s="6">
        <v>10560</v>
      </c>
      <c r="C438" s="6" t="s">
        <v>7093</v>
      </c>
      <c r="D438" s="7" t="s">
        <v>7459</v>
      </c>
      <c r="E438" s="6" t="s">
        <v>132</v>
      </c>
      <c r="F438" s="6" t="s">
        <v>139</v>
      </c>
      <c r="G438" s="8">
        <v>45818</v>
      </c>
      <c r="H438" s="6">
        <v>16.21</v>
      </c>
      <c r="I438" s="6" cm="1">
        <f t="array" ref="I438">IFERROR(VALUE(TRIM(LEFT(E438,MIN(FIND({" ";"g";"k";"m";"o"},E438&amp;" gkmo"))-1))),0)</f>
        <v>350</v>
      </c>
      <c r="J438" s="6" t="str" cm="1">
        <f t="array" ref="J438">IFERROR(TRIM(MID(E438,MIN(FIND({" ";"g";"k";"m";"o"},E438&amp;" gkmo")),10)),"unknown")</f>
        <v>g</v>
      </c>
      <c r="K438" s="6" t="str">
        <f t="shared" si="24"/>
        <v>g</v>
      </c>
      <c r="L438" s="6" t="str">
        <f t="shared" si="25"/>
        <v>La Boulangère</v>
      </c>
      <c r="M438" s="6" t="str">
        <f t="shared" si="26"/>
        <v>10 Pains Au Lait Frais Sans Sucres Ajoutés 350G</v>
      </c>
      <c r="N438" s="6" t="str">
        <f t="shared" si="27"/>
        <v>France</v>
      </c>
    </row>
    <row r="439" spans="1:14" x14ac:dyDescent="0.25">
      <c r="A439" s="6" t="s">
        <v>1209</v>
      </c>
      <c r="B439" s="6">
        <v>13265</v>
      </c>
      <c r="C439" s="6" t="s">
        <v>1210</v>
      </c>
      <c r="D439" s="7" t="s">
        <v>7017</v>
      </c>
      <c r="E439" s="6" t="s">
        <v>887</v>
      </c>
      <c r="F439" s="6" t="s">
        <v>5759</v>
      </c>
      <c r="G439" s="8">
        <v>45917</v>
      </c>
      <c r="H439" s="6">
        <v>14.11</v>
      </c>
      <c r="I439" s="6" cm="1">
        <f t="array" ref="I439">IFERROR(VALUE(TRIM(LEFT(E439,MIN(FIND({" ";"g";"k";"m";"o"},E439&amp;" gkmo"))-1))),0)</f>
        <v>155</v>
      </c>
      <c r="J439" s="6" t="str" cm="1">
        <f t="array" ref="J439">IFERROR(TRIM(MID(E439,MIN(FIND({" ";"g";"k";"m";"o"},E439&amp;" gkmo")),10)),"unknown")</f>
        <v>g</v>
      </c>
      <c r="K439" s="6" t="str">
        <f t="shared" si="24"/>
        <v>g</v>
      </c>
      <c r="L439" s="6" t="str">
        <f t="shared" si="25"/>
        <v>Unknown</v>
      </c>
      <c r="M439" s="6" t="str">
        <f t="shared" si="26"/>
        <v>Pomme De Terre Nature</v>
      </c>
      <c r="N439" s="6" t="str">
        <f t="shared" si="27"/>
        <v>Fr</v>
      </c>
    </row>
    <row r="440" spans="1:14" x14ac:dyDescent="0.25">
      <c r="A440" s="6" t="s">
        <v>1211</v>
      </c>
      <c r="B440" s="6">
        <v>7611</v>
      </c>
      <c r="C440" s="6" t="s">
        <v>1212</v>
      </c>
      <c r="D440" s="7" t="s">
        <v>1213</v>
      </c>
      <c r="E440" s="6" t="s">
        <v>1080</v>
      </c>
      <c r="F440" s="6" t="s">
        <v>1214</v>
      </c>
      <c r="G440" s="8">
        <v>45900</v>
      </c>
      <c r="H440" s="6">
        <v>22.34</v>
      </c>
      <c r="I440" s="6" cm="1">
        <f t="array" ref="I440">IFERROR(VALUE(TRIM(LEFT(E440,MIN(FIND({" ";"g";"k";"m";"o"},E440&amp;" gkmo"))-1))),0)</f>
        <v>210</v>
      </c>
      <c r="J440" s="6" t="str" cm="1">
        <f t="array" ref="J440">IFERROR(TRIM(MID(E440,MIN(FIND({" ";"g";"k";"m";"o"},E440&amp;" gkmo")),10)),"unknown")</f>
        <v>g</v>
      </c>
      <c r="K440" s="6" t="str">
        <f t="shared" si="24"/>
        <v>g</v>
      </c>
      <c r="L440" s="6" t="str">
        <f t="shared" si="25"/>
        <v>Tower Gate</v>
      </c>
      <c r="M440" s="6" t="str">
        <f t="shared" si="26"/>
        <v>All Butter Shortbread Fingers</v>
      </c>
      <c r="N440" s="6" t="str">
        <f t="shared" si="27"/>
        <v>Czech Republic,France,Germany</v>
      </c>
    </row>
    <row r="441" spans="1:14" x14ac:dyDescent="0.25">
      <c r="A441" s="6" t="s">
        <v>1215</v>
      </c>
      <c r="B441" s="6">
        <v>13387</v>
      </c>
      <c r="C441" s="6" t="s">
        <v>1216</v>
      </c>
      <c r="D441" s="7" t="s">
        <v>1217</v>
      </c>
      <c r="E441" s="6" t="s">
        <v>10</v>
      </c>
      <c r="F441" s="6" t="s">
        <v>139</v>
      </c>
      <c r="G441" s="8">
        <v>45726</v>
      </c>
      <c r="H441" s="6">
        <v>13.16</v>
      </c>
      <c r="I441" s="6" cm="1">
        <f t="array" ref="I441">IFERROR(VALUE(TRIM(LEFT(E441,MIN(FIND({" ";"g";"k";"m";"o"},E441&amp;" gkmo"))-1))),0)</f>
        <v>100</v>
      </c>
      <c r="J441" s="6" t="str" cm="1">
        <f t="array" ref="J441">IFERROR(TRIM(MID(E441,MIN(FIND({" ";"g";"k";"m";"o"},E441&amp;" gkmo")),10)),"unknown")</f>
        <v>g</v>
      </c>
      <c r="K441" s="6" t="str">
        <f t="shared" si="24"/>
        <v>g</v>
      </c>
      <c r="L441" s="6" t="str">
        <f t="shared" si="25"/>
        <v>Curly, Vico</v>
      </c>
      <c r="M441" s="6" t="str">
        <f t="shared" si="26"/>
        <v>Curly Cacahuete</v>
      </c>
      <c r="N441" s="6" t="str">
        <f t="shared" si="27"/>
        <v>France</v>
      </c>
    </row>
    <row r="442" spans="1:14" x14ac:dyDescent="0.25">
      <c r="A442" s="6" t="s">
        <v>1218</v>
      </c>
      <c r="B442" s="6">
        <v>5519</v>
      </c>
      <c r="C442" s="6" t="s">
        <v>7463</v>
      </c>
      <c r="D442" s="7" t="s">
        <v>1219</v>
      </c>
      <c r="E442" s="6" t="s">
        <v>1220</v>
      </c>
      <c r="F442" s="6" t="s">
        <v>139</v>
      </c>
      <c r="G442" s="8">
        <v>45506</v>
      </c>
      <c r="H442" s="6">
        <v>1.56</v>
      </c>
      <c r="I442" s="6" cm="1">
        <f t="array" ref="I442">IFERROR(VALUE(TRIM(LEFT(E442,MIN(FIND({" ";"g";"k";"m";"o"},E442&amp;" gkmo"))-1))),0)</f>
        <v>550</v>
      </c>
      <c r="J442" s="6" t="str" cm="1">
        <f t="array" ref="J442">IFERROR(TRIM(MID(E442,MIN(FIND({" ";"g";"k";"m";"o"},E442&amp;" gkmo")),10)),"unknown")</f>
        <v>g</v>
      </c>
      <c r="K442" s="6" t="str">
        <f t="shared" si="24"/>
        <v>g</v>
      </c>
      <c r="L442" s="6" t="str">
        <f t="shared" si="25"/>
        <v>M&amp;M'S, Mars</v>
      </c>
      <c r="M442" s="6" t="str">
        <f t="shared" si="26"/>
        <v>M&amp;M'S Cacahuètes - Pack Familial</v>
      </c>
      <c r="N442" s="6" t="str">
        <f t="shared" si="27"/>
        <v>France</v>
      </c>
    </row>
    <row r="443" spans="1:14" x14ac:dyDescent="0.25">
      <c r="A443" s="6" t="s">
        <v>1221</v>
      </c>
      <c r="B443" s="6">
        <v>10523</v>
      </c>
      <c r="C443" s="6" t="s">
        <v>7528</v>
      </c>
      <c r="D443" s="7" t="s">
        <v>7094</v>
      </c>
      <c r="E443" s="6"/>
      <c r="F443" s="6" t="s">
        <v>8461</v>
      </c>
      <c r="G443" s="8">
        <v>45424</v>
      </c>
      <c r="H443" s="6">
        <v>21.77</v>
      </c>
      <c r="I443" s="6" cm="1">
        <f t="array" ref="I443">IFERROR(VALUE(TRIM(LEFT(E443,MIN(FIND({" ";"g";"k";"m";"o"},E443&amp;" gkmo"))-1))),0)</f>
        <v>0</v>
      </c>
      <c r="J443" s="6" t="str" cm="1">
        <f t="array" ref="J443">IFERROR(TRIM(MID(E443,MIN(FIND({" ";"g";"k";"m";"o"},E443&amp;" gkmo")),10)),"unknown")</f>
        <v/>
      </c>
      <c r="K443" s="6" t="str">
        <f t="shared" si="24"/>
        <v>unknown</v>
      </c>
      <c r="L443" s="6" t="str">
        <f t="shared" si="25"/>
        <v>Nestlé, Nestlé Dessert, Tablettes</v>
      </c>
      <c r="M443" s="6" t="str">
        <f t="shared" si="26"/>
        <v>Nestlé Dessert Corsé 200G</v>
      </c>
      <c r="N443" s="6" t="str">
        <f t="shared" si="27"/>
        <v>France,Germany,Martinique,La Reunion</v>
      </c>
    </row>
    <row r="444" spans="1:14" x14ac:dyDescent="0.25">
      <c r="A444" s="6" t="s">
        <v>1222</v>
      </c>
      <c r="B444" s="6">
        <v>11263</v>
      </c>
      <c r="C444" s="6" t="s">
        <v>1223</v>
      </c>
      <c r="D444" s="7" t="s">
        <v>7017</v>
      </c>
      <c r="E444" s="6" t="s">
        <v>120</v>
      </c>
      <c r="F444" s="6" t="s">
        <v>7529</v>
      </c>
      <c r="G444" s="8">
        <v>45703</v>
      </c>
      <c r="H444" s="6">
        <v>13.16</v>
      </c>
      <c r="I444" s="6" cm="1">
        <f t="array" ref="I444">IFERROR(VALUE(TRIM(LEFT(E444,MIN(FIND({" ";"g";"k";"m";"o"},E444&amp;" gkmo"))-1))),0)</f>
        <v>210</v>
      </c>
      <c r="J444" s="6" t="str" cm="1">
        <f t="array" ref="J444">IFERROR(TRIM(MID(E444,MIN(FIND({" ";"g";"k";"m";"o"},E444&amp;" gkmo")),10)),"unknown")</f>
        <v>g</v>
      </c>
      <c r="K444" s="6" t="str">
        <f t="shared" si="24"/>
        <v>g</v>
      </c>
      <c r="L444" s="6" t="str">
        <f t="shared" si="25"/>
        <v>Unknown</v>
      </c>
      <c r="M444" s="6" t="str">
        <f t="shared" si="26"/>
        <v>Crunchy Avoine &amp; Fruits Rouge 5 X 42 G</v>
      </c>
      <c r="N444" s="6" t="str">
        <f t="shared" si="27"/>
        <v>France,Émirats Arabes Unis</v>
      </c>
    </row>
    <row r="445" spans="1:14" x14ac:dyDescent="0.25">
      <c r="A445" s="6" t="s">
        <v>1224</v>
      </c>
      <c r="B445" s="6">
        <v>12448</v>
      </c>
      <c r="C445" s="6" t="s">
        <v>7608</v>
      </c>
      <c r="D445" s="7" t="s">
        <v>7578</v>
      </c>
      <c r="E445" s="6" t="s">
        <v>138</v>
      </c>
      <c r="F445" s="6" t="s">
        <v>7953</v>
      </c>
      <c r="G445" s="8">
        <v>46028</v>
      </c>
      <c r="H445" s="6">
        <v>12.54</v>
      </c>
      <c r="I445" s="6" cm="1">
        <f t="array" ref="I445">IFERROR(VALUE(TRIM(LEFT(E445,MIN(FIND({" ";"g";"k";"m";"o"},E445&amp;" gkmo"))-1))),0)</f>
        <v>400</v>
      </c>
      <c r="J445" s="6" t="str" cm="1">
        <f t="array" ref="J445">IFERROR(TRIM(MID(E445,MIN(FIND({" ";"g";"k";"m";"o"},E445&amp;" gkmo")),10)),"unknown")</f>
        <v>g</v>
      </c>
      <c r="K445" s="6" t="str">
        <f t="shared" si="24"/>
        <v>g</v>
      </c>
      <c r="L445" s="6" t="str">
        <f t="shared" si="25"/>
        <v>Gullà³N</v>
      </c>
      <c r="M445" s="6" t="str">
        <f t="shared" si="26"/>
        <v>Digestive Zero Sin Azàºcares</v>
      </c>
      <c r="N445" s="6" t="str">
        <f t="shared" si="27"/>
        <v>Andorra, France, Morocco, Portugal, Senegal, Spain</v>
      </c>
    </row>
    <row r="446" spans="1:14" x14ac:dyDescent="0.25">
      <c r="A446" s="6" t="s">
        <v>1225</v>
      </c>
      <c r="B446" s="6">
        <v>12863</v>
      </c>
      <c r="C446" s="6" t="s">
        <v>1226</v>
      </c>
      <c r="D446" s="7" t="s">
        <v>1227</v>
      </c>
      <c r="E446" s="6" t="s">
        <v>1228</v>
      </c>
      <c r="F446" s="6" t="s">
        <v>7948</v>
      </c>
      <c r="G446" s="8">
        <v>45542</v>
      </c>
      <c r="H446" s="6">
        <v>12.32</v>
      </c>
      <c r="I446" s="6" cm="1">
        <f t="array" ref="I446">IFERROR(VALUE(TRIM(LEFT(E446,MIN(FIND({" ";"g";"k";"m";"o"},E446&amp;" gkmo"))-1))),0)</f>
        <v>60</v>
      </c>
      <c r="J446" s="6" t="str" cm="1">
        <f t="array" ref="J446">IFERROR(TRIM(MID(E446,MIN(FIND({" ";"g";"k";"m";"o"},E446&amp;" gkmo")),10)),"unknown")</f>
        <v>g</v>
      </c>
      <c r="K446" s="6" t="str">
        <f t="shared" si="24"/>
        <v>g</v>
      </c>
      <c r="L446" s="6" t="str">
        <f t="shared" si="25"/>
        <v>Hu</v>
      </c>
      <c r="M446" s="6" t="str">
        <f t="shared" si="26"/>
        <v>Hazelnut Butter Dark Chocolate</v>
      </c>
      <c r="N446" s="6" t="str">
        <f t="shared" si="27"/>
        <v>Spain, United-Kingdom</v>
      </c>
    </row>
    <row r="447" spans="1:14" x14ac:dyDescent="0.25">
      <c r="A447" s="6" t="s">
        <v>1229</v>
      </c>
      <c r="B447" s="6">
        <v>9547</v>
      </c>
      <c r="C447" s="6" t="s">
        <v>1230</v>
      </c>
      <c r="D447" s="7" t="s">
        <v>1231</v>
      </c>
      <c r="E447" s="6" t="s">
        <v>304</v>
      </c>
      <c r="F447" s="6" t="s">
        <v>5759</v>
      </c>
      <c r="G447" s="8">
        <v>45823</v>
      </c>
      <c r="H447" s="6">
        <v>10.28</v>
      </c>
      <c r="I447" s="6" cm="1">
        <f t="array" ref="I447">IFERROR(VALUE(TRIM(LEFT(E447,MIN(FIND({" ";"g";"k";"m";"o"},E447&amp;" gkmo"))-1))),0)</f>
        <v>135</v>
      </c>
      <c r="J447" s="6" t="str" cm="1">
        <f t="array" ref="J447">IFERROR(TRIM(MID(E447,MIN(FIND({" ";"g";"k";"m";"o"},E447&amp;" gkmo")),10)),"unknown")</f>
        <v>g</v>
      </c>
      <c r="K447" s="6" t="str">
        <f t="shared" si="24"/>
        <v>g</v>
      </c>
      <c r="L447" s="6" t="str">
        <f t="shared" si="25"/>
        <v>Lay'S, Lays</v>
      </c>
      <c r="M447" s="6" t="str">
        <f t="shared" si="26"/>
        <v>Chips Nature</v>
      </c>
      <c r="N447" s="6" t="str">
        <f t="shared" si="27"/>
        <v>Fr</v>
      </c>
    </row>
    <row r="448" spans="1:14" x14ac:dyDescent="0.25">
      <c r="A448" s="6" t="s">
        <v>1232</v>
      </c>
      <c r="B448" s="6">
        <v>5660</v>
      </c>
      <c r="C448" s="6" t="s">
        <v>7095</v>
      </c>
      <c r="D448" s="7" t="s">
        <v>7590</v>
      </c>
      <c r="E448" s="6" t="s">
        <v>592</v>
      </c>
      <c r="F448" s="6" t="s">
        <v>139</v>
      </c>
      <c r="G448" s="8">
        <v>45682</v>
      </c>
      <c r="H448" s="6">
        <v>13.16</v>
      </c>
      <c r="I448" s="6" cm="1">
        <f t="array" ref="I448">IFERROR(VALUE(TRIM(LEFT(E448,MIN(FIND({" ";"g";"k";"m";"o"},E448&amp;" gkmo"))-1))),0)</f>
        <v>500</v>
      </c>
      <c r="J448" s="6" t="str" cm="1">
        <f t="array" ref="J448">IFERROR(TRIM(MID(E448,MIN(FIND({" ";"g";"k";"m";"o"},E448&amp;" gkmo")),10)),"unknown")</f>
        <v>g</v>
      </c>
      <c r="K448" s="6" t="str">
        <f t="shared" si="24"/>
        <v>g</v>
      </c>
      <c r="L448" s="6" t="str">
        <f t="shared" si="25"/>
        <v>Maà®Tre Jean Pierre</v>
      </c>
      <c r="M448" s="6" t="str">
        <f t="shared" si="26"/>
        <v>Brioche Tranchée</v>
      </c>
      <c r="N448" s="6" t="str">
        <f t="shared" si="27"/>
        <v>France</v>
      </c>
    </row>
    <row r="449" spans="1:14" x14ac:dyDescent="0.25">
      <c r="A449" s="6" t="s">
        <v>1233</v>
      </c>
      <c r="B449" s="6">
        <v>7787</v>
      </c>
      <c r="C449" s="6" t="s">
        <v>1234</v>
      </c>
      <c r="D449" s="7" t="s">
        <v>60</v>
      </c>
      <c r="E449" s="6" t="s">
        <v>10</v>
      </c>
      <c r="F449" s="6" t="s">
        <v>7609</v>
      </c>
      <c r="G449" s="8">
        <v>45577</v>
      </c>
      <c r="H449" s="6">
        <v>13.16</v>
      </c>
      <c r="I449" s="6" cm="1">
        <f t="array" ref="I449">IFERROR(VALUE(TRIM(LEFT(E449,MIN(FIND({" ";"g";"k";"m";"o"},E449&amp;" gkmo"))-1))),0)</f>
        <v>100</v>
      </c>
      <c r="J449" s="6" t="str" cm="1">
        <f t="array" ref="J449">IFERROR(TRIM(MID(E449,MIN(FIND({" ";"g";"k";"m";"o"},E449&amp;" gkmo")),10)),"unknown")</f>
        <v>g</v>
      </c>
      <c r="K449" s="6" t="str">
        <f t="shared" si="24"/>
        <v>g</v>
      </c>
      <c r="L449" s="6" t="str">
        <f t="shared" si="25"/>
        <v>Lindt</v>
      </c>
      <c r="M449" s="6" t="str">
        <f t="shared" si="26"/>
        <v>Framboise Intense</v>
      </c>
      <c r="N449" s="6" t="str">
        <f t="shared" si="27"/>
        <v>Australien,À–Sterreich,Brasilien,Frankreich,Neuseeland,Vereinigtes Kà¶Nigreich</v>
      </c>
    </row>
    <row r="450" spans="1:14" x14ac:dyDescent="0.25">
      <c r="A450" s="6" t="s">
        <v>1235</v>
      </c>
      <c r="B450" s="6">
        <v>10957</v>
      </c>
      <c r="C450" s="6" t="s">
        <v>1236</v>
      </c>
      <c r="D450" s="7" t="s">
        <v>1237</v>
      </c>
      <c r="E450" s="6" t="s">
        <v>423</v>
      </c>
      <c r="F450" s="6" t="s">
        <v>7954</v>
      </c>
      <c r="G450" s="8">
        <v>45673</v>
      </c>
      <c r="H450" s="6">
        <v>13.16</v>
      </c>
      <c r="I450" s="6" cm="1">
        <f t="array" ref="I450">IFERROR(VALUE(TRIM(LEFT(E450,MIN(FIND({" ";"g";"k";"m";"o"},E450&amp;" gkmo"))-1))),0)</f>
        <v>125</v>
      </c>
      <c r="J450" s="6" t="str" cm="1">
        <f t="array" ref="J450">IFERROR(TRIM(MID(E450,MIN(FIND({" ";"g";"k";"m";"o"},E450&amp;" gkmo")),10)),"unknown")</f>
        <v>g</v>
      </c>
      <c r="K450" s="6" t="str">
        <f t="shared" si="24"/>
        <v>g</v>
      </c>
      <c r="L450" s="6" t="str">
        <f t="shared" si="25"/>
        <v>Kraft Foods, Lu, Mondelez</v>
      </c>
      <c r="M450" s="6" t="str">
        <f t="shared" si="26"/>
        <v>Petits Coeurs Chocolat</v>
      </c>
      <c r="N450" s="6" t="str">
        <f t="shared" si="27"/>
        <v>France, Belgium</v>
      </c>
    </row>
    <row r="451" spans="1:14" x14ac:dyDescent="0.25">
      <c r="A451" s="6" t="s">
        <v>1238</v>
      </c>
      <c r="B451" s="6">
        <v>10128</v>
      </c>
      <c r="C451" s="6" t="s">
        <v>7096</v>
      </c>
      <c r="D451" s="7" t="s">
        <v>7017</v>
      </c>
      <c r="E451" s="6" t="s">
        <v>1239</v>
      </c>
      <c r="F451" s="6" t="s">
        <v>511</v>
      </c>
      <c r="G451" s="8">
        <v>45473</v>
      </c>
      <c r="H451" s="6">
        <v>4.96</v>
      </c>
      <c r="I451" s="6" cm="1">
        <f t="array" ref="I451">IFERROR(VALUE(TRIM(LEFT(E451,MIN(FIND({" ";"g";"k";"m";"o"},E451&amp;" gkmo"))-1))),0)</f>
        <v>125</v>
      </c>
      <c r="J451" s="6" t="str" cm="1">
        <f t="array" ref="J451">IFERROR(TRIM(MID(E451,MIN(FIND({" ";"g";"k";"m";"o"},E451&amp;" gkmo")),10)),"unknown")</f>
        <v>g (2 sach</v>
      </c>
      <c r="K451" s="6" t="str">
        <f t="shared" ref="K451:K514" si="28">IF(E451="","unknown",IF(OR(J451="g",LEFT(J451,1)="g"),"g",IF(OR(LEFT(J451,2)="kg",LEFT(J451,2)="ki"),"kg",IF(OR(LEFT(J451,2)="ml",LEFT(J451,1)="m"),"ml",IF(LEFT(J451,1)="l","l",IF(ISNUMBER(SEARCH("g",E451)),"g",IF(ISNUMBER(SEARCH("kg",E451)),"kg",IF(ISNUMBER(SEARCH("ml",E451)),"ml","unknown"))))))))</f>
        <v>g</v>
      </c>
      <c r="L451" s="6" t="str">
        <f t="shared" ref="L451:L514" si="29">IF(D451="","Unknown",PROPER(TRIM(D451)))</f>
        <v>Unknown</v>
      </c>
      <c r="M451" s="6" t="str">
        <f t="shared" ref="M451:M514" si="30">IF(C451="Unknown","Unknown",PROPER(TRIM(C451)))</f>
        <v>Le Sablé Pur Beurre</v>
      </c>
      <c r="N451" s="6" t="str">
        <f t="shared" ref="N451:N514" si="31">IF(F451="","Unknown",PROPER(TRIM(F451)))</f>
        <v>France,Morocco</v>
      </c>
    </row>
    <row r="452" spans="1:14" x14ac:dyDescent="0.25">
      <c r="A452" s="6" t="s">
        <v>1240</v>
      </c>
      <c r="B452" s="6">
        <v>13147</v>
      </c>
      <c r="C452" s="6" t="s">
        <v>1241</v>
      </c>
      <c r="D452" s="7" t="s">
        <v>173</v>
      </c>
      <c r="E452" s="6" t="s">
        <v>528</v>
      </c>
      <c r="F452" s="6" t="s">
        <v>8303</v>
      </c>
      <c r="G452" s="8">
        <v>45803</v>
      </c>
      <c r="H452" s="6">
        <v>21</v>
      </c>
      <c r="I452" s="6" cm="1">
        <f t="array" ref="I452">IFERROR(VALUE(TRIM(LEFT(E452,MIN(FIND({" ";"g";"k";"m";"o"},E452&amp;" gkmo"))-1))),0)</f>
        <v>200</v>
      </c>
      <c r="J452" s="6" t="str" cm="1">
        <f t="array" ref="J452">IFERROR(TRIM(MID(E452,MIN(FIND({" ";"g";"k";"m";"o"},E452&amp;" gkmo")),10)),"unknown")</f>
        <v>g</v>
      </c>
      <c r="K452" s="6" t="str">
        <f t="shared" si="28"/>
        <v>g</v>
      </c>
      <c r="L452" s="6" t="str">
        <f t="shared" si="29"/>
        <v>Kinder</v>
      </c>
      <c r="M452" s="6" t="str">
        <f t="shared" si="30"/>
        <v>Schokobons</v>
      </c>
      <c r="N452" s="6" t="str">
        <f t="shared" si="31"/>
        <v>Autriche,Belgium,France,Germany,Spain</v>
      </c>
    </row>
    <row r="453" spans="1:14" x14ac:dyDescent="0.25">
      <c r="A453" s="6" t="s">
        <v>1242</v>
      </c>
      <c r="B453" s="6">
        <v>13534</v>
      </c>
      <c r="C453" s="6" t="s">
        <v>7610</v>
      </c>
      <c r="D453" s="7" t="s">
        <v>452</v>
      </c>
      <c r="E453" s="6" t="s">
        <v>1243</v>
      </c>
      <c r="F453" s="6" t="s">
        <v>7573</v>
      </c>
      <c r="G453" s="8">
        <v>45809</v>
      </c>
      <c r="H453" s="6">
        <v>7</v>
      </c>
      <c r="I453" s="6" cm="1">
        <f t="array" ref="I453">IFERROR(VALUE(TRIM(LEFT(E453,MIN(FIND({" ";"g";"k";"m";"o"},E453&amp;" gkmo"))-1))),0)</f>
        <v>400</v>
      </c>
      <c r="J453" s="6" t="str" cm="1">
        <f t="array" ref="J453">IFERROR(TRIM(MID(E453,MIN(FIND({" ";"g";"k";"m";"o"},E453&amp;" gkmo")),10)),"unknown")</f>
        <v>g (2 x 20</v>
      </c>
      <c r="K453" s="6" t="str">
        <f t="shared" si="28"/>
        <v>g</v>
      </c>
      <c r="L453" s="6" t="str">
        <f t="shared" si="29"/>
        <v>Hacendado</v>
      </c>
      <c r="M453" s="6" t="str">
        <f t="shared" si="30"/>
        <v>Marà­A Dorada 0%</v>
      </c>
      <c r="N453" s="6" t="str">
        <f t="shared" si="31"/>
        <v>Portugal,Espaà±A</v>
      </c>
    </row>
    <row r="454" spans="1:14" x14ac:dyDescent="0.25">
      <c r="A454" s="6" t="s">
        <v>1244</v>
      </c>
      <c r="B454" s="6">
        <v>9786</v>
      </c>
      <c r="C454" s="6" t="s">
        <v>7097</v>
      </c>
      <c r="D454" s="7" t="s">
        <v>1245</v>
      </c>
      <c r="E454" s="6" t="s">
        <v>14</v>
      </c>
      <c r="F454" s="6" t="s">
        <v>1838</v>
      </c>
      <c r="G454" s="8">
        <v>45942</v>
      </c>
      <c r="H454" s="6">
        <v>17.3</v>
      </c>
      <c r="I454" s="6" cm="1">
        <f t="array" ref="I454">IFERROR(VALUE(TRIM(LEFT(E454,MIN(FIND({" ";"g";"k";"m";"o"},E454&amp;" gkmo"))-1))),0)</f>
        <v>300</v>
      </c>
      <c r="J454" s="6" t="str" cm="1">
        <f t="array" ref="J454">IFERROR(TRIM(MID(E454,MIN(FIND({" ";"g";"k";"m";"o"},E454&amp;" gkmo")),10)),"unknown")</f>
        <v>g</v>
      </c>
      <c r="K454" s="6" t="str">
        <f t="shared" si="28"/>
        <v>g</v>
      </c>
      <c r="L454" s="6" t="str">
        <f t="shared" si="29"/>
        <v>Lu, Belvita</v>
      </c>
      <c r="M454" s="6" t="str">
        <f t="shared" si="30"/>
        <v>Belvita Original Petit Déjeuner Pépites De Chocolat</v>
      </c>
      <c r="N454" s="6" t="str">
        <f t="shared" si="31"/>
        <v>Belgium,France,Luxembourg,Switzerland</v>
      </c>
    </row>
    <row r="455" spans="1:14" x14ac:dyDescent="0.25">
      <c r="A455" s="6" t="s">
        <v>1246</v>
      </c>
      <c r="B455" s="6">
        <v>13507</v>
      </c>
      <c r="C455" s="6" t="s">
        <v>7098</v>
      </c>
      <c r="D455" s="7" t="s">
        <v>7017</v>
      </c>
      <c r="E455" s="6"/>
      <c r="F455" s="6" t="s">
        <v>139</v>
      </c>
      <c r="G455" s="8">
        <v>45412</v>
      </c>
      <c r="H455" s="6">
        <v>15.8</v>
      </c>
      <c r="I455" s="6" cm="1">
        <f t="array" ref="I455">IFERROR(VALUE(TRIM(LEFT(E455,MIN(FIND({" ";"g";"k";"m";"o"},E455&amp;" gkmo"))-1))),0)</f>
        <v>0</v>
      </c>
      <c r="J455" s="6" t="str" cm="1">
        <f t="array" ref="J455">IFERROR(TRIM(MID(E455,MIN(FIND({" ";"g";"k";"m";"o"},E455&amp;" gkmo")),10)),"unknown")</f>
        <v/>
      </c>
      <c r="K455" s="6" t="str">
        <f t="shared" si="28"/>
        <v>unknown</v>
      </c>
      <c r="L455" s="6" t="str">
        <f t="shared" si="29"/>
        <v>Unknown</v>
      </c>
      <c r="M455" s="6" t="str">
        <f t="shared" si="30"/>
        <v>Biscuits Nappés De Chocolat Noir</v>
      </c>
      <c r="N455" s="6" t="str">
        <f t="shared" si="31"/>
        <v>France</v>
      </c>
    </row>
    <row r="456" spans="1:14" x14ac:dyDescent="0.25">
      <c r="A456" s="6" t="s">
        <v>1247</v>
      </c>
      <c r="B456" s="6">
        <v>12459</v>
      </c>
      <c r="C456" s="6" t="s">
        <v>1248</v>
      </c>
      <c r="D456" s="7" t="s">
        <v>726</v>
      </c>
      <c r="E456" s="6" t="s">
        <v>64</v>
      </c>
      <c r="F456" s="6" t="s">
        <v>177</v>
      </c>
      <c r="G456" s="8">
        <v>46012</v>
      </c>
      <c r="H456" s="6">
        <v>13.16</v>
      </c>
      <c r="I456" s="6" cm="1">
        <f t="array" ref="I456">IFERROR(VALUE(TRIM(LEFT(E456,MIN(FIND({" ";"g";"k";"m";"o"},E456&amp;" gkmo"))-1))),0)</f>
        <v>150</v>
      </c>
      <c r="J456" s="6" t="str" cm="1">
        <f t="array" ref="J456">IFERROR(TRIM(MID(E456,MIN(FIND({" ";"g";"k";"m";"o"},E456&amp;" gkmo")),10)),"unknown")</f>
        <v>g</v>
      </c>
      <c r="K456" s="6" t="str">
        <f t="shared" si="28"/>
        <v>g</v>
      </c>
      <c r="L456" s="6" t="str">
        <f t="shared" si="29"/>
        <v>Walkers</v>
      </c>
      <c r="M456" s="6" t="str">
        <f t="shared" si="30"/>
        <v>Walkers Ready Salted Crisps 6Pk</v>
      </c>
      <c r="N456" s="6" t="str">
        <f t="shared" si="31"/>
        <v>United Kingdom</v>
      </c>
    </row>
    <row r="457" spans="1:14" x14ac:dyDescent="0.25">
      <c r="A457" s="6" t="s">
        <v>1249</v>
      </c>
      <c r="B457" s="6">
        <v>7317</v>
      </c>
      <c r="C457" s="6" t="s">
        <v>1250</v>
      </c>
      <c r="D457" s="7" t="s">
        <v>613</v>
      </c>
      <c r="E457" s="6" t="s">
        <v>1251</v>
      </c>
      <c r="F457" s="6" t="s">
        <v>1252</v>
      </c>
      <c r="G457" s="8">
        <v>45557</v>
      </c>
      <c r="H457" s="6">
        <v>14.31</v>
      </c>
      <c r="I457" s="6" cm="1">
        <f t="array" ref="I457">IFERROR(VALUE(TRIM(LEFT(E457,MIN(FIND({" ";"g";"k";"m";"o"},E457&amp;" gkmo"))-1))),0)</f>
        <v>140</v>
      </c>
      <c r="J457" s="6" t="str" cm="1">
        <f t="array" ref="J457">IFERROR(TRIM(MID(E457,MIN(FIND({" ";"g";"k";"m";"o"},E457&amp;" gkmo")),10)),"unknown")</f>
        <v>g, 4 barr</v>
      </c>
      <c r="K457" s="6" t="str">
        <f t="shared" si="28"/>
        <v>g</v>
      </c>
      <c r="L457" s="6" t="str">
        <f t="shared" si="29"/>
        <v>Nakd</v>
      </c>
      <c r="M457" s="6" t="str">
        <f t="shared" si="30"/>
        <v>Berry Delight Bars</v>
      </c>
      <c r="N457" s="6" t="str">
        <f t="shared" si="31"/>
        <v>Belgium,Czech Republic,France,Netherlands</v>
      </c>
    </row>
    <row r="458" spans="1:14" x14ac:dyDescent="0.25">
      <c r="A458" s="6" t="s">
        <v>1253</v>
      </c>
      <c r="B458" s="6">
        <v>9509</v>
      </c>
      <c r="C458" s="6" t="s">
        <v>1254</v>
      </c>
      <c r="D458" s="7" t="s">
        <v>1255</v>
      </c>
      <c r="E458" s="6" t="s">
        <v>1256</v>
      </c>
      <c r="F458" s="6" t="s">
        <v>177</v>
      </c>
      <c r="G458" s="8">
        <v>45723</v>
      </c>
      <c r="H458" s="6">
        <v>23.09</v>
      </c>
      <c r="I458" s="6" cm="1">
        <f t="array" ref="I458">IFERROR(VALUE(TRIM(LEFT(E458,MIN(FIND({" ";"g";"k";"m";"o"},E458&amp;" gkmo"))-1))),0)</f>
        <v>13</v>
      </c>
      <c r="J458" s="6" t="str" cm="1">
        <f t="array" ref="J458">IFERROR(TRIM(MID(E458,MIN(FIND({" ";"g";"k";"m";"o"},E458&amp;" gkmo")),10)),"unknown")</f>
        <v>g</v>
      </c>
      <c r="K458" s="6" t="str">
        <f t="shared" si="28"/>
        <v>g</v>
      </c>
      <c r="L458" s="6" t="str">
        <f t="shared" si="29"/>
        <v>Kp Snacks</v>
      </c>
      <c r="M458" s="6" t="str">
        <f t="shared" si="30"/>
        <v>Pom-Bear Potato Snacks</v>
      </c>
      <c r="N458" s="6" t="str">
        <f t="shared" si="31"/>
        <v>United Kingdom</v>
      </c>
    </row>
    <row r="459" spans="1:14" x14ac:dyDescent="0.25">
      <c r="A459" s="6" t="s">
        <v>1257</v>
      </c>
      <c r="B459" s="6">
        <v>11373</v>
      </c>
      <c r="C459" s="6" t="s">
        <v>1258</v>
      </c>
      <c r="D459" s="7" t="s">
        <v>525</v>
      </c>
      <c r="E459" s="6"/>
      <c r="F459" s="6" t="s">
        <v>7919</v>
      </c>
      <c r="G459" s="8">
        <v>45837</v>
      </c>
      <c r="H459" s="6">
        <v>15.64</v>
      </c>
      <c r="I459" s="6" cm="1">
        <f t="array" ref="I459">IFERROR(VALUE(TRIM(LEFT(E459,MIN(FIND({" ";"g";"k";"m";"o"},E459&amp;" gkmo"))-1))),0)</f>
        <v>0</v>
      </c>
      <c r="J459" s="6" t="str" cm="1">
        <f t="array" ref="J459">IFERROR(TRIM(MID(E459,MIN(FIND({" ";"g";"k";"m";"o"},E459&amp;" gkmo")),10)),"unknown")</f>
        <v/>
      </c>
      <c r="K459" s="6" t="str">
        <f t="shared" si="28"/>
        <v>unknown</v>
      </c>
      <c r="L459" s="6" t="str">
        <f t="shared" si="29"/>
        <v>Aiguebelle</v>
      </c>
      <c r="M459" s="6" t="str">
        <f t="shared" si="30"/>
        <v>Aiguebelle Mini Chocolate</v>
      </c>
      <c r="N459" s="6" t="str">
        <f t="shared" si="31"/>
        <v>France, Morocco</v>
      </c>
    </row>
    <row r="460" spans="1:14" x14ac:dyDescent="0.25">
      <c r="A460" s="6" t="s">
        <v>1259</v>
      </c>
      <c r="B460" s="6">
        <v>5684</v>
      </c>
      <c r="C460" s="6" t="s">
        <v>1260</v>
      </c>
      <c r="D460" s="7" t="s">
        <v>1261</v>
      </c>
      <c r="E460" s="6" t="s">
        <v>352</v>
      </c>
      <c r="F460" s="6" t="s">
        <v>139</v>
      </c>
      <c r="G460" s="8">
        <v>46021</v>
      </c>
      <c r="H460" s="6">
        <v>14.5</v>
      </c>
      <c r="I460" s="6" cm="1">
        <f t="array" ref="I460">IFERROR(VALUE(TRIM(LEFT(E460,MIN(FIND({" ";"g";"k";"m";"o"},E460&amp;" gkmo"))-1))),0)</f>
        <v>170</v>
      </c>
      <c r="J460" s="6" t="str" cm="1">
        <f t="array" ref="J460">IFERROR(TRIM(MID(E460,MIN(FIND({" ";"g";"k";"m";"o"},E460&amp;" gkmo")),10)),"unknown")</f>
        <v>g</v>
      </c>
      <c r="K460" s="6" t="str">
        <f t="shared" si="28"/>
        <v>g</v>
      </c>
      <c r="L460" s="6" t="str">
        <f t="shared" si="29"/>
        <v>Biscuiterie De L'Abbaye, Lidl, Sondey</v>
      </c>
      <c r="M460" s="6" t="str">
        <f t="shared" si="30"/>
        <v>Organic Sesame Biscuits</v>
      </c>
      <c r="N460" s="6" t="str">
        <f t="shared" si="31"/>
        <v>France</v>
      </c>
    </row>
    <row r="461" spans="1:14" x14ac:dyDescent="0.25">
      <c r="A461" s="6" t="s">
        <v>1262</v>
      </c>
      <c r="B461" s="6">
        <v>12235</v>
      </c>
      <c r="C461" s="6" t="s">
        <v>1263</v>
      </c>
      <c r="D461" s="7" t="s">
        <v>60</v>
      </c>
      <c r="E461" s="6" t="s">
        <v>10</v>
      </c>
      <c r="F461" s="6" t="s">
        <v>139</v>
      </c>
      <c r="G461" s="8">
        <v>45544</v>
      </c>
      <c r="H461" s="6">
        <v>13.16</v>
      </c>
      <c r="I461" s="6" cm="1">
        <f t="array" ref="I461">IFERROR(VALUE(TRIM(LEFT(E461,MIN(FIND({" ";"g";"k";"m";"o"},E461&amp;" gkmo"))-1))),0)</f>
        <v>100</v>
      </c>
      <c r="J461" s="6" t="str" cm="1">
        <f t="array" ref="J461">IFERROR(TRIM(MID(E461,MIN(FIND({" ";"g";"k";"m";"o"},E461&amp;" gkmo")),10)),"unknown")</f>
        <v>g</v>
      </c>
      <c r="K461" s="6" t="str">
        <f t="shared" si="28"/>
        <v>g</v>
      </c>
      <c r="L461" s="6" t="str">
        <f t="shared" si="29"/>
        <v>Lindt</v>
      </c>
      <c r="M461" s="6" t="str">
        <f t="shared" si="30"/>
        <v>Excellence Lait Extra Fondant</v>
      </c>
      <c r="N461" s="6" t="str">
        <f t="shared" si="31"/>
        <v>France</v>
      </c>
    </row>
    <row r="462" spans="1:14" x14ac:dyDescent="0.25">
      <c r="A462" s="6" t="s">
        <v>1264</v>
      </c>
      <c r="B462" s="6">
        <v>14477</v>
      </c>
      <c r="C462" s="6" t="s">
        <v>7099</v>
      </c>
      <c r="D462" s="7" t="s">
        <v>7030</v>
      </c>
      <c r="E462" s="6" t="s">
        <v>1265</v>
      </c>
      <c r="F462" s="6" t="s">
        <v>8224</v>
      </c>
      <c r="G462" s="8">
        <v>45783</v>
      </c>
      <c r="H462" s="6">
        <v>11.91</v>
      </c>
      <c r="I462" s="6" cm="1">
        <f t="array" ref="I462">IFERROR(VALUE(TRIM(LEFT(E462,MIN(FIND({" ";"g";"k";"m";"o"},E462&amp;" gkmo"))-1))),0)</f>
        <v>185</v>
      </c>
      <c r="J462" s="6" t="str" cm="1">
        <f t="array" ref="J462">IFERROR(TRIM(MID(E462,MIN(FIND({" ";"g";"k";"m";"o"},E462&amp;" gkmo")),10)),"unknown")</f>
        <v>g</v>
      </c>
      <c r="K462" s="6" t="str">
        <f t="shared" si="28"/>
        <v>g</v>
      </c>
      <c r="L462" s="6" t="str">
        <f t="shared" si="29"/>
        <v>Gerblé</v>
      </c>
      <c r="M462" s="6" t="str">
        <f t="shared" si="30"/>
        <v>Fourré Cacao Sans Sucres</v>
      </c>
      <c r="N462" s="6" t="str">
        <f t="shared" si="31"/>
        <v>France,Polinesia Francesa</v>
      </c>
    </row>
    <row r="463" spans="1:14" x14ac:dyDescent="0.25">
      <c r="A463" s="6" t="s">
        <v>1266</v>
      </c>
      <c r="B463" s="6">
        <v>13212</v>
      </c>
      <c r="C463" s="6" t="s">
        <v>1267</v>
      </c>
      <c r="D463" s="7" t="s">
        <v>1268</v>
      </c>
      <c r="E463" s="6" t="s">
        <v>1269</v>
      </c>
      <c r="F463" s="6" t="s">
        <v>1270</v>
      </c>
      <c r="G463" s="8">
        <v>45499</v>
      </c>
      <c r="H463" s="6">
        <v>1.25</v>
      </c>
      <c r="I463" s="6" cm="1">
        <f t="array" ref="I463">IFERROR(VALUE(TRIM(LEFT(E463,MIN(FIND({" ";"g";"k";"m";"o"},E463&amp;" gkmo"))-1))),0)</f>
        <v>231</v>
      </c>
      <c r="J463" s="6" t="str" cm="1">
        <f t="array" ref="J463">IFERROR(TRIM(MID(E463,MIN(FIND({" ";"g";"k";"m";"o"},E463&amp;" gkmo")),10)),"unknown")</f>
        <v>g (11x21g</v>
      </c>
      <c r="K463" s="6" t="str">
        <f t="shared" si="28"/>
        <v>g</v>
      </c>
      <c r="L463" s="6" t="str">
        <f t="shared" si="29"/>
        <v>Ferrero, Kinder, Mixte</v>
      </c>
      <c r="M463" s="6" t="str">
        <f t="shared" si="30"/>
        <v>Kinder Maxi</v>
      </c>
      <c r="N463" s="6" t="str">
        <f t="shared" si="31"/>
        <v>Belgium,France,Germany,Spain</v>
      </c>
    </row>
    <row r="464" spans="1:14" x14ac:dyDescent="0.25">
      <c r="A464" s="6" t="s">
        <v>1271</v>
      </c>
      <c r="B464" s="6">
        <v>10558</v>
      </c>
      <c r="C464" s="6" t="s">
        <v>1272</v>
      </c>
      <c r="D464" s="7" t="s">
        <v>1273</v>
      </c>
      <c r="E464" s="6" t="s">
        <v>1274</v>
      </c>
      <c r="F464" s="6" t="s">
        <v>177</v>
      </c>
      <c r="G464" s="8">
        <v>45693</v>
      </c>
      <c r="H464" s="6">
        <v>18.329999999999998</v>
      </c>
      <c r="I464" s="6" cm="1">
        <f t="array" ref="I464">IFERROR(VALUE(TRIM(LEFT(E464,MIN(FIND({" ";"g";"k";"m";"o"},E464&amp;" gkmo"))-1))),0)</f>
        <v>113</v>
      </c>
      <c r="J464" s="6" t="str" cm="1">
        <f t="array" ref="J464">IFERROR(TRIM(MID(E464,MIN(FIND({" ";"g";"k";"m";"o"},E464&amp;" gkmo")),10)),"unknown")</f>
        <v>g</v>
      </c>
      <c r="K464" s="6" t="str">
        <f t="shared" si="28"/>
        <v>g</v>
      </c>
      <c r="L464" s="6" t="str">
        <f t="shared" si="29"/>
        <v>Eat Real</v>
      </c>
      <c r="M464" s="6" t="str">
        <f t="shared" si="30"/>
        <v>Lentil Chips - Sea Salt Flavour</v>
      </c>
      <c r="N464" s="6" t="str">
        <f t="shared" si="31"/>
        <v>United Kingdom</v>
      </c>
    </row>
    <row r="465" spans="1:14" x14ac:dyDescent="0.25">
      <c r="A465" s="6" t="s">
        <v>1275</v>
      </c>
      <c r="B465" s="6">
        <v>14660</v>
      </c>
      <c r="C465" s="6" t="s">
        <v>1276</v>
      </c>
      <c r="D465" s="7" t="s">
        <v>1277</v>
      </c>
      <c r="E465" s="6" t="s">
        <v>18</v>
      </c>
      <c r="F465" s="6" t="s">
        <v>7955</v>
      </c>
      <c r="G465" s="8">
        <v>45479</v>
      </c>
      <c r="H465" s="6">
        <v>3.74</v>
      </c>
      <c r="I465" s="6" cm="1">
        <f t="array" ref="I465">IFERROR(VALUE(TRIM(LEFT(E465,MIN(FIND({" ";"g";"k";"m";"o"},E465&amp;" gkmo"))-1))),0)</f>
        <v>100</v>
      </c>
      <c r="J465" s="6" t="str" cm="1">
        <f t="array" ref="J465">IFERROR(TRIM(MID(E465,MIN(FIND({" ";"g";"k";"m";"o"},E465&amp;" gkmo")),10)),"unknown")</f>
        <v>g</v>
      </c>
      <c r="K465" s="6" t="str">
        <f t="shared" si="28"/>
        <v>g</v>
      </c>
      <c r="L465" s="6" t="str">
        <f t="shared" si="29"/>
        <v>Deluxe</v>
      </c>
      <c r="M465" s="6" t="str">
        <f t="shared" si="30"/>
        <v>Vegetable Chips</v>
      </c>
      <c r="N465" s="6" t="str">
        <f t="shared" si="31"/>
        <v>Czech Republic, Italy, United Kingdom, Bulgaria</v>
      </c>
    </row>
    <row r="466" spans="1:14" x14ac:dyDescent="0.25">
      <c r="A466" s="6" t="s">
        <v>1278</v>
      </c>
      <c r="B466" s="6">
        <v>11437</v>
      </c>
      <c r="C466" s="6" t="s">
        <v>1279</v>
      </c>
      <c r="D466" s="7" t="s">
        <v>7017</v>
      </c>
      <c r="E466" s="6"/>
      <c r="F466" s="6" t="s">
        <v>860</v>
      </c>
      <c r="G466" s="8">
        <v>45560</v>
      </c>
      <c r="H466" s="6">
        <v>4.12</v>
      </c>
      <c r="I466" s="6" cm="1">
        <f t="array" ref="I466">IFERROR(VALUE(TRIM(LEFT(E466,MIN(FIND({" ";"g";"k";"m";"o"},E466&amp;" gkmo"))-1))),0)</f>
        <v>0</v>
      </c>
      <c r="J466" s="6" t="str" cm="1">
        <f t="array" ref="J466">IFERROR(TRIM(MID(E466,MIN(FIND({" ";"g";"k";"m";"o"},E466&amp;" gkmo")),10)),"unknown")</f>
        <v/>
      </c>
      <c r="K466" s="6" t="str">
        <f t="shared" si="28"/>
        <v>unknown</v>
      </c>
      <c r="L466" s="6" t="str">
        <f t="shared" si="29"/>
        <v>Unknown</v>
      </c>
      <c r="M466" s="6" t="str">
        <f t="shared" si="30"/>
        <v>Bono</v>
      </c>
      <c r="N466" s="6" t="str">
        <f t="shared" si="31"/>
        <v>Ma</v>
      </c>
    </row>
    <row r="467" spans="1:14" x14ac:dyDescent="0.25">
      <c r="A467" s="6" t="s">
        <v>1280</v>
      </c>
      <c r="B467" s="6">
        <v>6277</v>
      </c>
      <c r="C467" s="6" t="s">
        <v>1281</v>
      </c>
      <c r="D467" s="7" t="s">
        <v>47</v>
      </c>
      <c r="E467" s="6"/>
      <c r="F467" s="6" t="s">
        <v>48</v>
      </c>
      <c r="G467" s="8">
        <v>45331</v>
      </c>
      <c r="H467" s="6">
        <v>20.010000000000002</v>
      </c>
      <c r="I467" s="6" cm="1">
        <f t="array" ref="I467">IFERROR(VALUE(TRIM(LEFT(E467,MIN(FIND({" ";"g";"k";"m";"o"},E467&amp;" gkmo"))-1))),0)</f>
        <v>0</v>
      </c>
      <c r="J467" s="6" t="str" cm="1">
        <f t="array" ref="J467">IFERROR(TRIM(MID(E467,MIN(FIND({" ";"g";"k";"m";"o"},E467&amp;" gkmo")),10)),"unknown")</f>
        <v/>
      </c>
      <c r="K467" s="6" t="str">
        <f t="shared" si="28"/>
        <v>unknown</v>
      </c>
      <c r="L467" s="6" t="str">
        <f t="shared" si="29"/>
        <v>Excelo</v>
      </c>
      <c r="M467" s="6" t="str">
        <f t="shared" si="30"/>
        <v>Eyoo Choc</v>
      </c>
      <c r="N467" s="6" t="str">
        <f t="shared" si="31"/>
        <v>Morocco</v>
      </c>
    </row>
    <row r="468" spans="1:14" x14ac:dyDescent="0.25">
      <c r="A468" s="6" t="s">
        <v>1282</v>
      </c>
      <c r="B468" s="6">
        <v>11976</v>
      </c>
      <c r="C468" s="6" t="s">
        <v>1283</v>
      </c>
      <c r="D468" s="7" t="s">
        <v>7017</v>
      </c>
      <c r="E468" s="6"/>
      <c r="F468" s="6" t="s">
        <v>7956</v>
      </c>
      <c r="G468" s="8">
        <v>45931</v>
      </c>
      <c r="H468" s="6">
        <v>21.5</v>
      </c>
      <c r="I468" s="6" cm="1">
        <f t="array" ref="I468">IFERROR(VALUE(TRIM(LEFT(E468,MIN(FIND({" ";"g";"k";"m";"o"},E468&amp;" gkmo"))-1))),0)</f>
        <v>0</v>
      </c>
      <c r="J468" s="6" t="str" cm="1">
        <f t="array" ref="J468">IFERROR(TRIM(MID(E468,MIN(FIND({" ";"g";"k";"m";"o"},E468&amp;" gkmo")),10)),"unknown")</f>
        <v/>
      </c>
      <c r="K468" s="6" t="str">
        <f t="shared" si="28"/>
        <v>unknown</v>
      </c>
      <c r="L468" s="6" t="str">
        <f t="shared" si="29"/>
        <v>Unknown</v>
      </c>
      <c r="M468" s="6" t="str">
        <f t="shared" si="30"/>
        <v>Tobigo</v>
      </c>
      <c r="N468" s="6" t="str">
        <f t="shared" si="31"/>
        <v>Ma,</v>
      </c>
    </row>
    <row r="469" spans="1:14" x14ac:dyDescent="0.25">
      <c r="A469" s="6" t="s">
        <v>1284</v>
      </c>
      <c r="B469" s="6">
        <v>7455</v>
      </c>
      <c r="C469" s="6" t="s">
        <v>1285</v>
      </c>
      <c r="D469" s="7" t="s">
        <v>7017</v>
      </c>
      <c r="E469" s="6" t="s">
        <v>1286</v>
      </c>
      <c r="F469" s="6" t="s">
        <v>7957</v>
      </c>
      <c r="G469" s="8">
        <v>45494</v>
      </c>
      <c r="H469" s="6">
        <v>19.59</v>
      </c>
      <c r="I469" s="6" cm="1">
        <f t="array" ref="I469">IFERROR(VALUE(TRIM(LEFT(E469,MIN(FIND({" ";"g";"k";"m";"o"},E469&amp;" gkmo"))-1))),0)</f>
        <v>315</v>
      </c>
      <c r="J469" s="6" t="str" cm="1">
        <f t="array" ref="J469">IFERROR(TRIM(MID(E469,MIN(FIND({" ";"g";"k";"m";"o"},E469&amp;" gkmo")),10)),"unknown")</f>
        <v>g</v>
      </c>
      <c r="K469" s="6" t="str">
        <f t="shared" si="28"/>
        <v>g</v>
      </c>
      <c r="L469" s="6" t="str">
        <f t="shared" si="29"/>
        <v>Unknown</v>
      </c>
      <c r="M469" s="6" t="str">
        <f t="shared" si="30"/>
        <v>Mon Cherie</v>
      </c>
      <c r="N469" s="6" t="str">
        <f t="shared" si="31"/>
        <v>Austria, Germany, Switzerland, France</v>
      </c>
    </row>
    <row r="470" spans="1:14" x14ac:dyDescent="0.25">
      <c r="A470" s="6" t="s">
        <v>1287</v>
      </c>
      <c r="B470" s="6">
        <v>14019</v>
      </c>
      <c r="C470" s="6" t="s">
        <v>1288</v>
      </c>
      <c r="D470" s="7" t="s">
        <v>7017</v>
      </c>
      <c r="E470" s="6" t="s">
        <v>1289</v>
      </c>
      <c r="F470" s="6" t="s">
        <v>48</v>
      </c>
      <c r="G470" s="8">
        <v>45338</v>
      </c>
      <c r="H470" s="6">
        <v>5.19</v>
      </c>
      <c r="I470" s="6" cm="1">
        <f t="array" ref="I470">IFERROR(VALUE(TRIM(LEFT(E470,MIN(FIND({" ";"g";"k";"m";"o"},E470&amp;" gkmo"))-1))),0)</f>
        <v>56</v>
      </c>
      <c r="J470" s="6" t="str" cm="1">
        <f t="array" ref="J470">IFERROR(TRIM(MID(E470,MIN(FIND({" ";"g";"k";"m";"o"},E470&amp;" gkmo")),10)),"unknown")</f>
        <v>g</v>
      </c>
      <c r="K470" s="6" t="str">
        <f t="shared" si="28"/>
        <v>g</v>
      </c>
      <c r="L470" s="6" t="str">
        <f t="shared" si="29"/>
        <v>Unknown</v>
      </c>
      <c r="M470" s="6" t="str">
        <f t="shared" si="30"/>
        <v>Top Original</v>
      </c>
      <c r="N470" s="6" t="str">
        <f t="shared" si="31"/>
        <v>Morocco</v>
      </c>
    </row>
    <row r="471" spans="1:14" x14ac:dyDescent="0.25">
      <c r="A471" s="6" t="s">
        <v>1290</v>
      </c>
      <c r="B471" s="6">
        <v>8179</v>
      </c>
      <c r="C471" s="6" t="s">
        <v>7100</v>
      </c>
      <c r="D471" s="7" t="s">
        <v>7017</v>
      </c>
      <c r="E471" s="6" t="s">
        <v>423</v>
      </c>
      <c r="F471" s="6" t="s">
        <v>7919</v>
      </c>
      <c r="G471" s="8">
        <v>45448</v>
      </c>
      <c r="H471" s="6">
        <v>8.4600000000000009</v>
      </c>
      <c r="I471" s="6" cm="1">
        <f t="array" ref="I471">IFERROR(VALUE(TRIM(LEFT(E471,MIN(FIND({" ";"g";"k";"m";"o"},E471&amp;" gkmo"))-1))),0)</f>
        <v>125</v>
      </c>
      <c r="J471" s="6" t="str" cm="1">
        <f t="array" ref="J471">IFERROR(TRIM(MID(E471,MIN(FIND({" ";"g";"k";"m";"o"},E471&amp;" gkmo")),10)),"unknown")</f>
        <v>g</v>
      </c>
      <c r="K471" s="6" t="str">
        <f t="shared" si="28"/>
        <v>g</v>
      </c>
      <c r="L471" s="6" t="str">
        <f t="shared" si="29"/>
        <v>Unknown</v>
      </c>
      <c r="M471" s="6" t="str">
        <f t="shared" si="30"/>
        <v>Chips Saveur Poulet Braisé</v>
      </c>
      <c r="N471" s="6" t="str">
        <f t="shared" si="31"/>
        <v>France, Morocco</v>
      </c>
    </row>
    <row r="472" spans="1:14" x14ac:dyDescent="0.25">
      <c r="A472" s="6" t="s">
        <v>1291</v>
      </c>
      <c r="B472" s="6">
        <v>12815</v>
      </c>
      <c r="C472" s="6" t="s">
        <v>7101</v>
      </c>
      <c r="D472" s="7" t="s">
        <v>1292</v>
      </c>
      <c r="E472" s="6" t="s">
        <v>1293</v>
      </c>
      <c r="F472" s="6" t="s">
        <v>8447</v>
      </c>
      <c r="G472" s="8">
        <v>45502</v>
      </c>
      <c r="H472" s="6">
        <v>21.43</v>
      </c>
      <c r="I472" s="6" cm="1">
        <f t="array" ref="I472">IFERROR(VALUE(TRIM(LEFT(E472,MIN(FIND({" ";"g";"k";"m";"o"},E472&amp;" gkmo"))-1))),0)</f>
        <v>600</v>
      </c>
      <c r="J472" s="6" t="str" cm="1">
        <f t="array" ref="J472">IFERROR(TRIM(MID(E472,MIN(FIND({" ";"g";"k";"m";"o"},E472&amp;" gkmo")),10)),"unknown")</f>
        <v>g e</v>
      </c>
      <c r="K472" s="6" t="str">
        <f t="shared" si="28"/>
        <v>g</v>
      </c>
      <c r="L472" s="6" t="str">
        <f t="shared" si="29"/>
        <v>Belvita,Lu,Mondelez</v>
      </c>
      <c r="M472" s="6" t="str">
        <f t="shared" si="30"/>
        <v>Petit Déjeuner Chocolat</v>
      </c>
      <c r="N472" s="6" t="str">
        <f t="shared" si="31"/>
        <v>Belgium,France,La Reunion,Switzerland</v>
      </c>
    </row>
    <row r="473" spans="1:14" x14ac:dyDescent="0.25">
      <c r="A473" s="6" t="s">
        <v>1294</v>
      </c>
      <c r="B473" s="6">
        <v>7677</v>
      </c>
      <c r="C473" s="6" t="s">
        <v>1295</v>
      </c>
      <c r="D473" s="7" t="s">
        <v>1296</v>
      </c>
      <c r="E473" s="6"/>
      <c r="F473" s="6" t="s">
        <v>8334</v>
      </c>
      <c r="G473" s="8">
        <v>45452</v>
      </c>
      <c r="H473" s="6">
        <v>11.54</v>
      </c>
      <c r="I473" s="6" cm="1">
        <f t="array" ref="I473">IFERROR(VALUE(TRIM(LEFT(E473,MIN(FIND({" ";"g";"k";"m";"o"},E473&amp;" gkmo"))-1))),0)</f>
        <v>0</v>
      </c>
      <c r="J473" s="6" t="str" cm="1">
        <f t="array" ref="J473">IFERROR(TRIM(MID(E473,MIN(FIND({" ";"g";"k";"m";"o"},E473&amp;" gkmo")),10)),"unknown")</f>
        <v/>
      </c>
      <c r="K473" s="6" t="str">
        <f t="shared" si="28"/>
        <v>unknown</v>
      </c>
      <c r="L473" s="6" t="str">
        <f t="shared" si="29"/>
        <v>Ferrero Rocher</v>
      </c>
      <c r="M473" s="6" t="str">
        <f t="shared" si="30"/>
        <v>The Golden Experience</v>
      </c>
      <c r="N473" s="6" t="str">
        <f t="shared" si="31"/>
        <v>France,Germany,Martinique,Morocco,Switzerland</v>
      </c>
    </row>
    <row r="474" spans="1:14" x14ac:dyDescent="0.25">
      <c r="A474" s="6" t="s">
        <v>1297</v>
      </c>
      <c r="B474" s="6">
        <v>9689</v>
      </c>
      <c r="C474" s="6" t="s">
        <v>7102</v>
      </c>
      <c r="D474" s="7" t="s">
        <v>1298</v>
      </c>
      <c r="E474" s="6" t="s">
        <v>933</v>
      </c>
      <c r="F474" s="6" t="s">
        <v>139</v>
      </c>
      <c r="G474" s="8">
        <v>45886</v>
      </c>
      <c r="H474" s="6">
        <v>20.81</v>
      </c>
      <c r="I474" s="6" cm="1">
        <f t="array" ref="I474">IFERROR(VALUE(TRIM(LEFT(E474,MIN(FIND({" ";"g";"k";"m";"o"},E474&amp;" gkmo"))-1))),0)</f>
        <v>330</v>
      </c>
      <c r="J474" s="6" t="str" cm="1">
        <f t="array" ref="J474">IFERROR(TRIM(MID(E474,MIN(FIND({" ";"g";"k";"m";"o"},E474&amp;" gkmo")),10)),"unknown")</f>
        <v>g</v>
      </c>
      <c r="K474" s="6" t="str">
        <f t="shared" si="28"/>
        <v>g</v>
      </c>
      <c r="L474" s="6" t="str">
        <f t="shared" si="29"/>
        <v>Ferrero, Nutella B-Ready</v>
      </c>
      <c r="M474" s="6" t="str">
        <f t="shared" si="30"/>
        <v>Biscuits Nutella B-Ready X15 Gaufrettes Fourrées</v>
      </c>
      <c r="N474" s="6" t="str">
        <f t="shared" si="31"/>
        <v>France</v>
      </c>
    </row>
    <row r="475" spans="1:14" x14ac:dyDescent="0.25">
      <c r="A475" s="6" t="s">
        <v>1299</v>
      </c>
      <c r="B475" s="6">
        <v>12803</v>
      </c>
      <c r="C475" s="6" t="s">
        <v>1300</v>
      </c>
      <c r="D475" s="7" t="s">
        <v>1301</v>
      </c>
      <c r="E475" s="6" t="s">
        <v>64</v>
      </c>
      <c r="F475" s="6" t="s">
        <v>7958</v>
      </c>
      <c r="G475" s="8">
        <v>45346</v>
      </c>
      <c r="H475" s="6">
        <v>20.190000000000001</v>
      </c>
      <c r="I475" s="6" cm="1">
        <f t="array" ref="I475">IFERROR(VALUE(TRIM(LEFT(E475,MIN(FIND({" ";"g";"k";"m";"o"},E475&amp;" gkmo"))-1))),0)</f>
        <v>150</v>
      </c>
      <c r="J475" s="6" t="str" cm="1">
        <f t="array" ref="J475">IFERROR(TRIM(MID(E475,MIN(FIND({" ";"g";"k";"m";"o"},E475&amp;" gkmo")),10)),"unknown")</f>
        <v>g</v>
      </c>
      <c r="K475" s="6" t="str">
        <f t="shared" si="28"/>
        <v>g</v>
      </c>
      <c r="L475" s="6" t="str">
        <f t="shared" si="29"/>
        <v>Delacre Y</v>
      </c>
      <c r="M475" s="6" t="str">
        <f t="shared" si="30"/>
        <v>Delichoc Milk Chocolate Cookies</v>
      </c>
      <c r="N475" s="6" t="str">
        <f t="shared" si="31"/>
        <v>France</v>
      </c>
    </row>
    <row r="476" spans="1:14" x14ac:dyDescent="0.25">
      <c r="A476" s="6" t="s">
        <v>1302</v>
      </c>
      <c r="B476" s="6">
        <v>9580</v>
      </c>
      <c r="C476" s="6" t="s">
        <v>1303</v>
      </c>
      <c r="D476" s="7" t="s">
        <v>1304</v>
      </c>
      <c r="E476" s="6" t="s">
        <v>1256</v>
      </c>
      <c r="F476" s="6" t="s">
        <v>7959</v>
      </c>
      <c r="G476" s="8">
        <v>45801</v>
      </c>
      <c r="H476" s="6">
        <v>13.16</v>
      </c>
      <c r="I476" s="6" cm="1">
        <f t="array" ref="I476">IFERROR(VALUE(TRIM(LEFT(E476,MIN(FIND({" ";"g";"k";"m";"o"},E476&amp;" gkmo"))-1))),0)</f>
        <v>13</v>
      </c>
      <c r="J476" s="6" t="str" cm="1">
        <f t="array" ref="J476">IFERROR(TRIM(MID(E476,MIN(FIND({" ";"g";"k";"m";"o"},E476&amp;" gkmo")),10)),"unknown")</f>
        <v>g</v>
      </c>
      <c r="K476" s="6" t="str">
        <f t="shared" si="28"/>
        <v>g</v>
      </c>
      <c r="L476" s="6" t="str">
        <f t="shared" si="29"/>
        <v>Tiffany</v>
      </c>
      <c r="M476" s="6" t="str">
        <f t="shared" si="30"/>
        <v>Breaksta</v>
      </c>
      <c r="N476" s="6" t="str">
        <f t="shared" si="31"/>
        <v>Qatar, Saudi Arabia, Morocco</v>
      </c>
    </row>
    <row r="477" spans="1:14" x14ac:dyDescent="0.25">
      <c r="A477" s="6" t="s">
        <v>1305</v>
      </c>
      <c r="B477" s="6">
        <v>13262</v>
      </c>
      <c r="C477" s="6" t="s">
        <v>1306</v>
      </c>
      <c r="D477" s="7" t="s">
        <v>1307</v>
      </c>
      <c r="E477" s="6"/>
      <c r="F477" s="6" t="s">
        <v>2973</v>
      </c>
      <c r="G477" s="8">
        <v>45621</v>
      </c>
      <c r="H477" s="6">
        <v>23.98</v>
      </c>
      <c r="I477" s="6" cm="1">
        <f t="array" ref="I477">IFERROR(VALUE(TRIM(LEFT(E477,MIN(FIND({" ";"g";"k";"m";"o"},E477&amp;" gkmo"))-1))),0)</f>
        <v>0</v>
      </c>
      <c r="J477" s="6" t="str" cm="1">
        <f t="array" ref="J477">IFERROR(TRIM(MID(E477,MIN(FIND({" ";"g";"k";"m";"o"},E477&amp;" gkmo")),10)),"unknown")</f>
        <v/>
      </c>
      <c r="K477" s="6" t="str">
        <f t="shared" si="28"/>
        <v>unknown</v>
      </c>
      <c r="L477" s="6" t="str">
        <f t="shared" si="29"/>
        <v>Graze</v>
      </c>
      <c r="M477" s="6" t="str">
        <f t="shared" si="30"/>
        <v>Cherry Bakewell Oat Boosts</v>
      </c>
      <c r="N477" s="6" t="str">
        <f t="shared" si="31"/>
        <v>Gb</v>
      </c>
    </row>
    <row r="478" spans="1:14" x14ac:dyDescent="0.25">
      <c r="A478" s="6" t="s">
        <v>1308</v>
      </c>
      <c r="B478" s="6">
        <v>8846</v>
      </c>
      <c r="C478" s="6" t="s">
        <v>384</v>
      </c>
      <c r="D478" s="7" t="s">
        <v>7017</v>
      </c>
      <c r="E478" s="6" t="s">
        <v>1309</v>
      </c>
      <c r="F478" s="6" t="s">
        <v>7920</v>
      </c>
      <c r="G478" s="8">
        <v>45936</v>
      </c>
      <c r="H478" s="6">
        <v>20.16</v>
      </c>
      <c r="I478" s="6" cm="1">
        <f t="array" ref="I478">IFERROR(VALUE(TRIM(LEFT(E478,MIN(FIND({" ";"g";"k";"m";"o"},E478&amp;" gkmo"))-1))),0)</f>
        <v>300</v>
      </c>
      <c r="J478" s="6" t="str" cm="1">
        <f t="array" ref="J478">IFERROR(TRIM(MID(E478,MIN(FIND({" ";"g";"k";"m";"o"},E478&amp;" gkmo")),10)),"unknown")</f>
        <v>g</v>
      </c>
      <c r="K478" s="6" t="str">
        <f t="shared" si="28"/>
        <v>g</v>
      </c>
      <c r="L478" s="6" t="str">
        <f t="shared" si="29"/>
        <v>Unknown</v>
      </c>
      <c r="M478" s="6" t="str">
        <f t="shared" si="30"/>
        <v>Cream Crackers</v>
      </c>
      <c r="N478" s="6" t="str">
        <f t="shared" si="31"/>
        <v>United Kingdom, Ireland</v>
      </c>
    </row>
    <row r="479" spans="1:14" x14ac:dyDescent="0.25">
      <c r="A479" s="6" t="s">
        <v>1310</v>
      </c>
      <c r="B479" s="6">
        <v>8738</v>
      </c>
      <c r="C479" s="6" t="s">
        <v>7017</v>
      </c>
      <c r="D479" s="7" t="s">
        <v>1311</v>
      </c>
      <c r="E479" s="6" t="s">
        <v>1312</v>
      </c>
      <c r="F479" s="6" t="s">
        <v>48</v>
      </c>
      <c r="G479" s="8">
        <v>45535</v>
      </c>
      <c r="H479" s="6">
        <v>13.16</v>
      </c>
      <c r="I479" s="6" cm="1">
        <f t="array" ref="I479">IFERROR(VALUE(TRIM(LEFT(E479,MIN(FIND({" ";"g";"k";"m";"o"},E479&amp;" gkmo"))-1))),0)</f>
        <v>50</v>
      </c>
      <c r="J479" s="6" t="str" cm="1">
        <f t="array" ref="J479">IFERROR(TRIM(MID(E479,MIN(FIND({" ";"g";"k";"m";"o"},E479&amp;" gkmo")),10)),"unknown")</f>
        <v>g</v>
      </c>
      <c r="K479" s="6" t="str">
        <f t="shared" si="28"/>
        <v>g</v>
      </c>
      <c r="L479" s="6" t="str">
        <f t="shared" si="29"/>
        <v>Snickers</v>
      </c>
      <c r="M479" s="6" t="str">
        <f t="shared" si="30"/>
        <v>Unknown</v>
      </c>
      <c r="N479" s="6" t="str">
        <f t="shared" si="31"/>
        <v>Morocco</v>
      </c>
    </row>
    <row r="480" spans="1:14" x14ac:dyDescent="0.25">
      <c r="A480" s="6" t="s">
        <v>1313</v>
      </c>
      <c r="B480" s="6">
        <v>5142</v>
      </c>
      <c r="C480" s="6" t="s">
        <v>1314</v>
      </c>
      <c r="D480" s="7" t="s">
        <v>538</v>
      </c>
      <c r="E480" s="6" t="s">
        <v>73</v>
      </c>
      <c r="F480" s="6" t="s">
        <v>139</v>
      </c>
      <c r="G480" s="8">
        <v>45754</v>
      </c>
      <c r="H480" s="6">
        <v>21.09</v>
      </c>
      <c r="I480" s="6" cm="1">
        <f t="array" ref="I480">IFERROR(VALUE(TRIM(LEFT(E480,MIN(FIND({" ";"g";"k";"m";"o"},E480&amp;" gkmo"))-1))),0)</f>
        <v>225</v>
      </c>
      <c r="J480" s="6" t="str" cm="1">
        <f t="array" ref="J480">IFERROR(TRIM(MID(E480,MIN(FIND({" ";"g";"k";"m";"o"},E480&amp;" gkmo")),10)),"unknown")</f>
        <v>g</v>
      </c>
      <c r="K480" s="6" t="str">
        <f t="shared" si="28"/>
        <v>g</v>
      </c>
      <c r="L480" s="6" t="str">
        <f t="shared" si="29"/>
        <v>Kinder, Ferrero</v>
      </c>
      <c r="M480" s="6" t="str">
        <f t="shared" si="30"/>
        <v>Schoko-Bons</v>
      </c>
      <c r="N480" s="6" t="str">
        <f t="shared" si="31"/>
        <v>France</v>
      </c>
    </row>
    <row r="481" spans="1:14" x14ac:dyDescent="0.25">
      <c r="A481" s="6" t="s">
        <v>1315</v>
      </c>
      <c r="B481" s="6">
        <v>7838</v>
      </c>
      <c r="C481" s="6" t="s">
        <v>7611</v>
      </c>
      <c r="D481" s="7" t="s">
        <v>1316</v>
      </c>
      <c r="E481" s="6" t="s">
        <v>1317</v>
      </c>
      <c r="F481" s="6" t="s">
        <v>7960</v>
      </c>
      <c r="G481" s="8">
        <v>45969</v>
      </c>
      <c r="H481" s="6">
        <v>24.18</v>
      </c>
      <c r="I481" s="6" cm="1">
        <f t="array" ref="I481">IFERROR(VALUE(TRIM(LEFT(E481,MIN(FIND({" ";"g";"k";"m";"o"},E481&amp;" gkmo"))-1))),0)</f>
        <v>80</v>
      </c>
      <c r="J481" s="6" t="str" cm="1">
        <f t="array" ref="J481">IFERROR(TRIM(MID(E481,MIN(FIND({" ";"g";"k";"m";"o"},E481&amp;" gkmo")),10)),"unknown")</f>
        <v>g</v>
      </c>
      <c r="K481" s="6" t="str">
        <f t="shared" si="28"/>
        <v>g</v>
      </c>
      <c r="L481" s="6" t="str">
        <f t="shared" si="29"/>
        <v>Trapa</v>
      </c>
      <c r="M481" s="6" t="str">
        <f t="shared" si="30"/>
        <v>Chocolate Extrafino 80% Noir 0% Azàºcares Aà±Adidos</v>
      </c>
      <c r="N481" s="6" t="str">
        <f t="shared" si="31"/>
        <v>Spain, Morocco</v>
      </c>
    </row>
    <row r="482" spans="1:14" x14ac:dyDescent="0.25">
      <c r="A482" s="6" t="s">
        <v>1318</v>
      </c>
      <c r="B482" s="6">
        <v>11040</v>
      </c>
      <c r="C482" s="6" t="s">
        <v>1319</v>
      </c>
      <c r="D482" s="7" t="s">
        <v>1320</v>
      </c>
      <c r="E482" s="6" t="s">
        <v>265</v>
      </c>
      <c r="F482" s="6" t="s">
        <v>139</v>
      </c>
      <c r="G482" s="8">
        <v>46052</v>
      </c>
      <c r="H482" s="6">
        <v>15.38</v>
      </c>
      <c r="I482" s="6" cm="1">
        <f t="array" ref="I482">IFERROR(VALUE(TRIM(LEFT(E482,MIN(FIND({" ";"g";"k";"m";"o"},E482&amp;" gkmo"))-1))),0)</f>
        <v>485</v>
      </c>
      <c r="J482" s="6" t="str" cm="1">
        <f t="array" ref="J482">IFERROR(TRIM(MID(E482,MIN(FIND({" ";"g";"k";"m";"o"},E482&amp;" gkmo")),10)),"unknown")</f>
        <v>g</v>
      </c>
      <c r="K482" s="6" t="str">
        <f t="shared" si="28"/>
        <v>g</v>
      </c>
      <c r="L482" s="6" t="str">
        <f t="shared" si="29"/>
        <v>Harry'S</v>
      </c>
      <c r="M482" s="6" t="str">
        <f t="shared" si="30"/>
        <v>Harrys Brioche Tranchee Pepites De Chocolat Sans Additif 485G</v>
      </c>
      <c r="N482" s="6" t="str">
        <f t="shared" si="31"/>
        <v>France</v>
      </c>
    </row>
    <row r="483" spans="1:14" x14ac:dyDescent="0.25">
      <c r="A483" s="6" t="s">
        <v>1321</v>
      </c>
      <c r="B483" s="6">
        <v>11603</v>
      </c>
      <c r="C483" s="6" t="s">
        <v>7103</v>
      </c>
      <c r="D483" s="7" t="s">
        <v>1322</v>
      </c>
      <c r="E483" s="6" t="s">
        <v>528</v>
      </c>
      <c r="F483" s="6" t="s">
        <v>139</v>
      </c>
      <c r="G483" s="8">
        <v>45520</v>
      </c>
      <c r="H483" s="6">
        <v>11.86</v>
      </c>
      <c r="I483" s="6" cm="1">
        <f t="array" ref="I483">IFERROR(VALUE(TRIM(LEFT(E483,MIN(FIND({" ";"g";"k";"m";"o"},E483&amp;" gkmo"))-1))),0)</f>
        <v>200</v>
      </c>
      <c r="J483" s="6" t="str" cm="1">
        <f t="array" ref="J483">IFERROR(TRIM(MID(E483,MIN(FIND({" ";"g";"k";"m";"o"},E483&amp;" gkmo")),10)),"unknown")</f>
        <v>g</v>
      </c>
      <c r="K483" s="6" t="str">
        <f t="shared" si="28"/>
        <v>g</v>
      </c>
      <c r="L483" s="6" t="str">
        <f t="shared" si="29"/>
        <v>Gerlinea</v>
      </c>
      <c r="M483" s="6" t="str">
        <f t="shared" si="30"/>
        <v>Biscuit Chocolat Céréales</v>
      </c>
      <c r="N483" s="6" t="str">
        <f t="shared" si="31"/>
        <v>France</v>
      </c>
    </row>
    <row r="484" spans="1:14" x14ac:dyDescent="0.25">
      <c r="A484" s="6" t="s">
        <v>1323</v>
      </c>
      <c r="B484" s="6">
        <v>10968</v>
      </c>
      <c r="C484" s="6" t="s">
        <v>1324</v>
      </c>
      <c r="D484" s="7" t="s">
        <v>7585</v>
      </c>
      <c r="E484" s="6" t="s">
        <v>151</v>
      </c>
      <c r="F484" s="6" t="s">
        <v>511</v>
      </c>
      <c r="G484" s="8">
        <v>45827</v>
      </c>
      <c r="H484" s="6">
        <v>11.51</v>
      </c>
      <c r="I484" s="6" cm="1">
        <f t="array" ref="I484">IFERROR(VALUE(TRIM(LEFT(E484,MIN(FIND({" ";"g";"k";"m";"o"},E484&amp;" gkmo"))-1))),0)</f>
        <v>200</v>
      </c>
      <c r="J484" s="6" t="str" cm="1">
        <f t="array" ref="J484">IFERROR(TRIM(MID(E484,MIN(FIND({" ";"g";"k";"m";"o"},E484&amp;" gkmo")),10)),"unknown")</f>
        <v>g</v>
      </c>
      <c r="K484" s="6" t="str">
        <f t="shared" si="28"/>
        <v>g</v>
      </c>
      <c r="L484" s="6" t="str">
        <f t="shared" si="29"/>
        <v>Cà´Te D'Or</v>
      </c>
      <c r="M484" s="6" t="str">
        <f t="shared" si="30"/>
        <v>L'Original Noir</v>
      </c>
      <c r="N484" s="6" t="str">
        <f t="shared" si="31"/>
        <v>France,Morocco</v>
      </c>
    </row>
    <row r="485" spans="1:14" x14ac:dyDescent="0.25">
      <c r="A485" s="6" t="s">
        <v>1325</v>
      </c>
      <c r="B485" s="6">
        <v>11664</v>
      </c>
      <c r="C485" s="6" t="s">
        <v>7612</v>
      </c>
      <c r="D485" s="7" t="s">
        <v>13</v>
      </c>
      <c r="E485" s="6" t="s">
        <v>14</v>
      </c>
      <c r="F485" s="6" t="s">
        <v>8462</v>
      </c>
      <c r="G485" s="8">
        <v>45934</v>
      </c>
      <c r="H485" s="6">
        <v>23.8</v>
      </c>
      <c r="I485" s="6" cm="1">
        <f t="array" ref="I485">IFERROR(VALUE(TRIM(LEFT(E485,MIN(FIND({" ";"g";"k";"m";"o"},E485&amp;" gkmo"))-1))),0)</f>
        <v>300</v>
      </c>
      <c r="J485" s="6" t="str" cm="1">
        <f t="array" ref="J485">IFERROR(TRIM(MID(E485,MIN(FIND({" ";"g";"k";"m";"o"},E485&amp;" gkmo")),10)),"unknown")</f>
        <v>g</v>
      </c>
      <c r="K485" s="6" t="str">
        <f t="shared" si="28"/>
        <v>g</v>
      </c>
      <c r="L485" s="6" t="str">
        <f t="shared" si="29"/>
        <v>Lu</v>
      </c>
      <c r="M485" s="6" t="str">
        <f t="shared" si="30"/>
        <v>Prince Goà»T Tout Choco Au Blé Complet</v>
      </c>
      <c r="N485" s="6" t="str">
        <f t="shared" si="31"/>
        <v>France,La Reunion,États-Unis</v>
      </c>
    </row>
    <row r="486" spans="1:14" x14ac:dyDescent="0.25">
      <c r="A486" s="6" t="s">
        <v>1326</v>
      </c>
      <c r="B486" s="6">
        <v>14472</v>
      </c>
      <c r="C486" s="6" t="s">
        <v>1327</v>
      </c>
      <c r="D486" s="7" t="s">
        <v>1328</v>
      </c>
      <c r="E486" s="6" t="s">
        <v>14</v>
      </c>
      <c r="F486" s="6" t="s">
        <v>139</v>
      </c>
      <c r="G486" s="8">
        <v>45907</v>
      </c>
      <c r="H486" s="6">
        <v>23.79</v>
      </c>
      <c r="I486" s="6" cm="1">
        <f t="array" ref="I486">IFERROR(VALUE(TRIM(LEFT(E486,MIN(FIND({" ";"g";"k";"m";"o"},E486&amp;" gkmo"))-1))),0)</f>
        <v>300</v>
      </c>
      <c r="J486" s="6" t="str" cm="1">
        <f t="array" ref="J486">IFERROR(TRIM(MID(E486,MIN(FIND({" ";"g";"k";"m";"o"},E486&amp;" gkmo")),10)),"unknown")</f>
        <v>g</v>
      </c>
      <c r="K486" s="6" t="str">
        <f t="shared" si="28"/>
        <v>g</v>
      </c>
      <c r="L486" s="6" t="str">
        <f t="shared" si="29"/>
        <v>Dr. Oetker</v>
      </c>
      <c r="M486" s="6" t="str">
        <f t="shared" si="30"/>
        <v>Sticks Bretzels D'Alsace L'Original</v>
      </c>
      <c r="N486" s="6" t="str">
        <f t="shared" si="31"/>
        <v>France</v>
      </c>
    </row>
    <row r="487" spans="1:14" x14ac:dyDescent="0.25">
      <c r="A487" s="6" t="s">
        <v>1329</v>
      </c>
      <c r="B487" s="6">
        <v>7642</v>
      </c>
      <c r="C487" s="6" t="s">
        <v>1330</v>
      </c>
      <c r="D487" s="7" t="s">
        <v>147</v>
      </c>
      <c r="E487" s="6" t="s">
        <v>528</v>
      </c>
      <c r="F487" s="6" t="s">
        <v>1331</v>
      </c>
      <c r="G487" s="8">
        <v>46032</v>
      </c>
      <c r="H487" s="6">
        <v>23.11</v>
      </c>
      <c r="I487" s="6" cm="1">
        <f t="array" ref="I487">IFERROR(VALUE(TRIM(LEFT(E487,MIN(FIND({" ";"g";"k";"m";"o"},E487&amp;" gkmo"))-1))),0)</f>
        <v>200</v>
      </c>
      <c r="J487" s="6" t="str" cm="1">
        <f t="array" ref="J487">IFERROR(TRIM(MID(E487,MIN(FIND({" ";"g";"k";"m";"o"},E487&amp;" gkmo")),10)),"unknown")</f>
        <v>g</v>
      </c>
      <c r="K487" s="6" t="str">
        <f t="shared" si="28"/>
        <v>g</v>
      </c>
      <c r="L487" s="6" t="str">
        <f t="shared" si="29"/>
        <v>Lidl</v>
      </c>
      <c r="M487" s="6" t="str">
        <f t="shared" si="30"/>
        <v>Lightly Salted Tortilla</v>
      </c>
      <c r="N487" s="6" t="str">
        <f t="shared" si="31"/>
        <v>Frankreich,Deutschland</v>
      </c>
    </row>
    <row r="488" spans="1:14" x14ac:dyDescent="0.25">
      <c r="A488" s="6" t="s">
        <v>1332</v>
      </c>
      <c r="B488" s="6">
        <v>14036</v>
      </c>
      <c r="C488" s="6" t="s">
        <v>1333</v>
      </c>
      <c r="D488" s="7" t="s">
        <v>7030</v>
      </c>
      <c r="E488" s="6" t="s">
        <v>99</v>
      </c>
      <c r="F488" s="6" t="s">
        <v>139</v>
      </c>
      <c r="G488" s="8">
        <v>45459</v>
      </c>
      <c r="H488" s="6">
        <v>21.09</v>
      </c>
      <c r="I488" s="6" cm="1">
        <f t="array" ref="I488">IFERROR(VALUE(TRIM(LEFT(E488,MIN(FIND({" ";"g";"k";"m";"o"},E488&amp;" gkmo"))-1))),0)</f>
        <v>160</v>
      </c>
      <c r="J488" s="6" t="str" cm="1">
        <f t="array" ref="J488">IFERROR(TRIM(MID(E488,MIN(FIND({" ";"g";"k";"m";"o"},E488&amp;" gkmo")),10)),"unknown")</f>
        <v>g</v>
      </c>
      <c r="K488" s="6" t="str">
        <f t="shared" si="28"/>
        <v>g</v>
      </c>
      <c r="L488" s="6" t="str">
        <f t="shared" si="29"/>
        <v>Gerblé</v>
      </c>
      <c r="M488" s="6" t="str">
        <f t="shared" si="30"/>
        <v>Biscuits Abricot Pistache</v>
      </c>
      <c r="N488" s="6" t="str">
        <f t="shared" si="31"/>
        <v>France</v>
      </c>
    </row>
    <row r="489" spans="1:14" x14ac:dyDescent="0.25">
      <c r="A489" s="6" t="s">
        <v>1334</v>
      </c>
      <c r="B489" s="6">
        <v>14282</v>
      </c>
      <c r="C489" s="6" t="s">
        <v>1335</v>
      </c>
      <c r="D489" s="7" t="s">
        <v>678</v>
      </c>
      <c r="E489" s="6" t="s">
        <v>14</v>
      </c>
      <c r="F489" s="6" t="s">
        <v>2973</v>
      </c>
      <c r="G489" s="8">
        <v>45751</v>
      </c>
      <c r="H489" s="6">
        <v>13.16</v>
      </c>
      <c r="I489" s="6" cm="1">
        <f t="array" ref="I489">IFERROR(VALUE(TRIM(LEFT(E489,MIN(FIND({" ";"g";"k";"m";"o"},E489&amp;" gkmo"))-1))),0)</f>
        <v>300</v>
      </c>
      <c r="J489" s="6" t="str" cm="1">
        <f t="array" ref="J489">IFERROR(TRIM(MID(E489,MIN(FIND({" ";"g";"k";"m";"o"},E489&amp;" gkmo")),10)),"unknown")</f>
        <v>g</v>
      </c>
      <c r="K489" s="6" t="str">
        <f t="shared" si="28"/>
        <v>g</v>
      </c>
      <c r="L489" s="6" t="str">
        <f t="shared" si="29"/>
        <v>Tesco Finest</v>
      </c>
      <c r="M489" s="6" t="str">
        <f t="shared" si="30"/>
        <v>British Ribeye Steak</v>
      </c>
      <c r="N489" s="6" t="str">
        <f t="shared" si="31"/>
        <v>Gb</v>
      </c>
    </row>
    <row r="490" spans="1:14" x14ac:dyDescent="0.25">
      <c r="A490" s="6" t="s">
        <v>1336</v>
      </c>
      <c r="B490" s="6">
        <v>7250</v>
      </c>
      <c r="C490" s="6" t="s">
        <v>1337</v>
      </c>
      <c r="D490" s="7" t="s">
        <v>1338</v>
      </c>
      <c r="E490" s="6" t="s">
        <v>1339</v>
      </c>
      <c r="F490" s="6" t="s">
        <v>7929</v>
      </c>
      <c r="G490" s="8">
        <v>45700</v>
      </c>
      <c r="H490" s="6">
        <v>15.8</v>
      </c>
      <c r="I490" s="6" cm="1">
        <f t="array" ref="I490">IFERROR(VALUE(TRIM(LEFT(E490,MIN(FIND({" ";"g";"k";"m";"o"},E490&amp;" gkmo"))-1))),0)</f>
        <v>45</v>
      </c>
      <c r="J490" s="6" t="str" cm="1">
        <f t="array" ref="J490">IFERROR(TRIM(MID(E490,MIN(FIND({" ";"g";"k";"m";"o"},E490&amp;" gkmo")),10)),"unknown")</f>
        <v>gram</v>
      </c>
      <c r="K490" s="6" t="str">
        <f t="shared" si="28"/>
        <v>g</v>
      </c>
      <c r="L490" s="6" t="str">
        <f t="shared" si="29"/>
        <v>N?Kd</v>
      </c>
      <c r="M490" s="6" t="str">
        <f t="shared" si="30"/>
        <v>Protein Peanut Butter Bar</v>
      </c>
      <c r="N490" s="6" t="str">
        <f t="shared" si="31"/>
        <v>France, United Kingdom, Switzerland</v>
      </c>
    </row>
    <row r="491" spans="1:14" x14ac:dyDescent="0.25">
      <c r="A491" s="6" t="s">
        <v>1340</v>
      </c>
      <c r="B491" s="6">
        <v>10522</v>
      </c>
      <c r="C491" s="6" t="s">
        <v>1341</v>
      </c>
      <c r="D491" s="7" t="s">
        <v>1342</v>
      </c>
      <c r="E491" s="6" t="s">
        <v>18</v>
      </c>
      <c r="F491" s="6" t="s">
        <v>177</v>
      </c>
      <c r="G491" s="8">
        <v>45725</v>
      </c>
      <c r="H491" s="6">
        <v>18.399999999999999</v>
      </c>
      <c r="I491" s="6" cm="1">
        <f t="array" ref="I491">IFERROR(VALUE(TRIM(LEFT(E491,MIN(FIND({" ";"g";"k";"m";"o"},E491&amp;" gkmo"))-1))),0)</f>
        <v>100</v>
      </c>
      <c r="J491" s="6" t="str" cm="1">
        <f t="array" ref="J491">IFERROR(TRIM(MID(E491,MIN(FIND({" ";"g";"k";"m";"o"},E491&amp;" gkmo")),10)),"unknown")</f>
        <v>g</v>
      </c>
      <c r="K491" s="6" t="str">
        <f t="shared" si="28"/>
        <v>g</v>
      </c>
      <c r="L491" s="6" t="str">
        <f t="shared" si="29"/>
        <v>Sainsburys,Sainsbury'S</v>
      </c>
      <c r="M491" s="6" t="str">
        <f t="shared" si="30"/>
        <v>Ugandan Dark Chocolate</v>
      </c>
      <c r="N491" s="6" t="str">
        <f t="shared" si="31"/>
        <v>United Kingdom</v>
      </c>
    </row>
    <row r="492" spans="1:14" x14ac:dyDescent="0.25">
      <c r="A492" s="6" t="s">
        <v>1343</v>
      </c>
      <c r="B492" s="6">
        <v>13637</v>
      </c>
      <c r="C492" s="6" t="s">
        <v>1344</v>
      </c>
      <c r="D492" s="7" t="s">
        <v>1345</v>
      </c>
      <c r="E492" s="6" t="s">
        <v>1309</v>
      </c>
      <c r="F492" s="6" t="s">
        <v>139</v>
      </c>
      <c r="G492" s="8">
        <v>45561</v>
      </c>
      <c r="H492" s="6">
        <v>20.05</v>
      </c>
      <c r="I492" s="6" cm="1">
        <f t="array" ref="I492">IFERROR(VALUE(TRIM(LEFT(E492,MIN(FIND({" ";"g";"k";"m";"o"},E492&amp;" gkmo"))-1))),0)</f>
        <v>300</v>
      </c>
      <c r="J492" s="6" t="str" cm="1">
        <f t="array" ref="J492">IFERROR(TRIM(MID(E492,MIN(FIND({" ";"g";"k";"m";"o"},E492&amp;" gkmo")),10)),"unknown")</f>
        <v>g</v>
      </c>
      <c r="K492" s="6" t="str">
        <f t="shared" si="28"/>
        <v>g</v>
      </c>
      <c r="L492" s="6" t="str">
        <f t="shared" si="29"/>
        <v>Haribo</v>
      </c>
      <c r="M492" s="6" t="str">
        <f t="shared" si="30"/>
        <v>300G Dragibus Soft Haribo</v>
      </c>
      <c r="N492" s="6" t="str">
        <f t="shared" si="31"/>
        <v>France</v>
      </c>
    </row>
    <row r="493" spans="1:14" x14ac:dyDescent="0.25">
      <c r="A493" s="6" t="s">
        <v>1346</v>
      </c>
      <c r="B493" s="6">
        <v>8935</v>
      </c>
      <c r="C493" s="6" t="s">
        <v>1347</v>
      </c>
      <c r="D493" s="7" t="s">
        <v>1348</v>
      </c>
      <c r="E493" s="6"/>
      <c r="F493" s="6" t="s">
        <v>177</v>
      </c>
      <c r="G493" s="8">
        <v>45327</v>
      </c>
      <c r="H493" s="6">
        <v>9.44</v>
      </c>
      <c r="I493" s="6" cm="1">
        <f t="array" ref="I493">IFERROR(VALUE(TRIM(LEFT(E493,MIN(FIND({" ";"g";"k";"m";"o"},E493&amp;" gkmo"))-1))),0)</f>
        <v>0</v>
      </c>
      <c r="J493" s="6" t="str" cm="1">
        <f t="array" ref="J493">IFERROR(TRIM(MID(E493,MIN(FIND({" ";"g";"k";"m";"o"},E493&amp;" gkmo")),10)),"unknown")</f>
        <v/>
      </c>
      <c r="K493" s="6" t="str">
        <f t="shared" si="28"/>
        <v>unknown</v>
      </c>
      <c r="L493" s="6" t="str">
        <f t="shared" si="29"/>
        <v>Cadbury</v>
      </c>
      <c r="M493" s="6" t="str">
        <f t="shared" si="30"/>
        <v>Dairy Milk</v>
      </c>
      <c r="N493" s="6" t="str">
        <f t="shared" si="31"/>
        <v>United Kingdom</v>
      </c>
    </row>
    <row r="494" spans="1:14" x14ac:dyDescent="0.25">
      <c r="A494" s="6" t="s">
        <v>1349</v>
      </c>
      <c r="B494" s="6">
        <v>8391</v>
      </c>
      <c r="C494" s="6" t="s">
        <v>1350</v>
      </c>
      <c r="D494" s="7" t="s">
        <v>587</v>
      </c>
      <c r="E494" s="6" t="s">
        <v>18</v>
      </c>
      <c r="F494" s="6" t="s">
        <v>177</v>
      </c>
      <c r="G494" s="8">
        <v>45950</v>
      </c>
      <c r="H494" s="6">
        <v>9.31</v>
      </c>
      <c r="I494" s="6" cm="1">
        <f t="array" ref="I494">IFERROR(VALUE(TRIM(LEFT(E494,MIN(FIND({" ";"g";"k";"m";"o"},E494&amp;" gkmo"))-1))),0)</f>
        <v>100</v>
      </c>
      <c r="J494" s="6" t="str" cm="1">
        <f t="array" ref="J494">IFERROR(TRIM(MID(E494,MIN(FIND({" ";"g";"k";"m";"o"},E494&amp;" gkmo")),10)),"unknown")</f>
        <v>g</v>
      </c>
      <c r="K494" s="6" t="str">
        <f t="shared" si="28"/>
        <v>g</v>
      </c>
      <c r="L494" s="6" t="str">
        <f t="shared" si="29"/>
        <v>Graze</v>
      </c>
      <c r="M494" s="6" t="str">
        <f t="shared" si="30"/>
        <v>Chilli And Lime Protein Nut Crunch</v>
      </c>
      <c r="N494" s="6" t="str">
        <f t="shared" si="31"/>
        <v>United Kingdom</v>
      </c>
    </row>
    <row r="495" spans="1:14" x14ac:dyDescent="0.25">
      <c r="A495" s="6" t="s">
        <v>1351</v>
      </c>
      <c r="B495" s="6">
        <v>9783</v>
      </c>
      <c r="C495" s="6" t="s">
        <v>1352</v>
      </c>
      <c r="D495" s="7" t="s">
        <v>906</v>
      </c>
      <c r="E495" s="6" t="s">
        <v>151</v>
      </c>
      <c r="F495" s="6" t="s">
        <v>220</v>
      </c>
      <c r="G495" s="8">
        <v>46009</v>
      </c>
      <c r="H495" s="6">
        <v>8.94</v>
      </c>
      <c r="I495" s="6" cm="1">
        <f t="array" ref="I495">IFERROR(VALUE(TRIM(LEFT(E495,MIN(FIND({" ";"g";"k";"m";"o"},E495&amp;" gkmo"))-1))),0)</f>
        <v>200</v>
      </c>
      <c r="J495" s="6" t="str" cm="1">
        <f t="array" ref="J495">IFERROR(TRIM(MID(E495,MIN(FIND({" ";"g";"k";"m";"o"},E495&amp;" gkmo")),10)),"unknown")</f>
        <v>g</v>
      </c>
      <c r="K495" s="6" t="str">
        <f t="shared" si="28"/>
        <v>g</v>
      </c>
      <c r="L495" s="6" t="str">
        <f t="shared" si="29"/>
        <v>Sainsbury'S</v>
      </c>
      <c r="M495" s="6" t="str">
        <f t="shared" si="30"/>
        <v>Shortbread All Butter Fingers</v>
      </c>
      <c r="N495" s="6" t="str">
        <f t="shared" si="31"/>
        <v>France, United Kingdom</v>
      </c>
    </row>
    <row r="496" spans="1:14" x14ac:dyDescent="0.25">
      <c r="A496" s="6" t="s">
        <v>1353</v>
      </c>
      <c r="B496" s="6">
        <v>8317</v>
      </c>
      <c r="C496" s="6" t="s">
        <v>1354</v>
      </c>
      <c r="D496" s="7" t="s">
        <v>1355</v>
      </c>
      <c r="E496" s="6" t="s">
        <v>39</v>
      </c>
      <c r="F496" s="6" t="s">
        <v>1356</v>
      </c>
      <c r="G496" s="8">
        <v>45640</v>
      </c>
      <c r="H496" s="6">
        <v>13.16</v>
      </c>
      <c r="I496" s="6" cm="1">
        <f t="array" ref="I496">IFERROR(VALUE(TRIM(LEFT(E496,MIN(FIND({" ";"g";"k";"m";"o"},E496&amp;" gkmo"))-1))),0)</f>
        <v>150</v>
      </c>
      <c r="J496" s="6" t="str" cm="1">
        <f t="array" ref="J496">IFERROR(TRIM(MID(E496,MIN(FIND({" ";"g";"k";"m";"o"},E496&amp;" gkmo")),10)),"unknown")</f>
        <v>g</v>
      </c>
      <c r="K496" s="6" t="str">
        <f t="shared" si="28"/>
        <v>g</v>
      </c>
      <c r="L496" s="6" t="str">
        <f t="shared" si="29"/>
        <v>Lay'S</v>
      </c>
      <c r="M496" s="6" t="str">
        <f t="shared" si="30"/>
        <v>Chips Paysannes</v>
      </c>
      <c r="N496" s="6" t="str">
        <f t="shared" si="31"/>
        <v>France,Germany</v>
      </c>
    </row>
    <row r="497" spans="1:14" x14ac:dyDescent="0.25">
      <c r="A497" s="6" t="s">
        <v>1357</v>
      </c>
      <c r="B497" s="6">
        <v>12856</v>
      </c>
      <c r="C497" s="6" t="s">
        <v>7613</v>
      </c>
      <c r="D497" s="7" t="s">
        <v>488</v>
      </c>
      <c r="E497" s="6" t="s">
        <v>1358</v>
      </c>
      <c r="F497" s="6" t="s">
        <v>139</v>
      </c>
      <c r="G497" s="8">
        <v>46025</v>
      </c>
      <c r="H497" s="6">
        <v>13.16</v>
      </c>
      <c r="I497" s="6" cm="1">
        <f t="array" ref="I497">IFERROR(VALUE(TRIM(LEFT(E497,MIN(FIND({" ";"g";"k";"m";"o"},E497&amp;" gkmo"))-1))),0)</f>
        <v>475</v>
      </c>
      <c r="J497" s="6" t="str" cm="1">
        <f t="array" ref="J497">IFERROR(TRIM(MID(E497,MIN(FIND({" ";"g";"k";"m";"o"},E497&amp;" gkmo")),10)),"unknown")</f>
        <v>g</v>
      </c>
      <c r="K497" s="6" t="str">
        <f t="shared" si="28"/>
        <v>g</v>
      </c>
      <c r="L497" s="6" t="str">
        <f t="shared" si="29"/>
        <v>Bonne Maman</v>
      </c>
      <c r="M497" s="6" t="str">
        <f t="shared" si="30"/>
        <v>Gà¢Teau Marbré Au Chocolat</v>
      </c>
      <c r="N497" s="6" t="str">
        <f t="shared" si="31"/>
        <v>France</v>
      </c>
    </row>
    <row r="498" spans="1:14" x14ac:dyDescent="0.25">
      <c r="A498" s="6" t="s">
        <v>1359</v>
      </c>
      <c r="B498" s="6">
        <v>6831</v>
      </c>
      <c r="C498" s="6" t="s">
        <v>7104</v>
      </c>
      <c r="D498" s="7" t="s">
        <v>1360</v>
      </c>
      <c r="E498" s="6" t="s">
        <v>10</v>
      </c>
      <c r="F498" s="6" t="s">
        <v>139</v>
      </c>
      <c r="G498" s="8">
        <v>45852</v>
      </c>
      <c r="H498" s="6">
        <v>20.079999999999998</v>
      </c>
      <c r="I498" s="6" cm="1">
        <f t="array" ref="I498">IFERROR(VALUE(TRIM(LEFT(E498,MIN(FIND({" ";"g";"k";"m";"o"},E498&amp;" gkmo"))-1))),0)</f>
        <v>100</v>
      </c>
      <c r="J498" s="6" t="str" cm="1">
        <f t="array" ref="J498">IFERROR(TRIM(MID(E498,MIN(FIND({" ";"g";"k";"m";"o"},E498&amp;" gkmo")),10)),"unknown")</f>
        <v>g</v>
      </c>
      <c r="K498" s="6" t="str">
        <f t="shared" si="28"/>
        <v>g</v>
      </c>
      <c r="L498" s="6" t="str">
        <f t="shared" si="29"/>
        <v>Ethiquable</v>
      </c>
      <c r="M498" s="6" t="str">
        <f t="shared" si="30"/>
        <v>Pérou Grand Cru Amazonas 70% Note De Fruits Rouges</v>
      </c>
      <c r="N498" s="6" t="str">
        <f t="shared" si="31"/>
        <v>France</v>
      </c>
    </row>
    <row r="499" spans="1:14" x14ac:dyDescent="0.25">
      <c r="A499" s="6" t="s">
        <v>1361</v>
      </c>
      <c r="B499" s="6">
        <v>10074</v>
      </c>
      <c r="C499" s="6" t="s">
        <v>1362</v>
      </c>
      <c r="D499" s="7" t="s">
        <v>720</v>
      </c>
      <c r="E499" s="6"/>
      <c r="F499" s="6" t="s">
        <v>400</v>
      </c>
      <c r="G499" s="8">
        <v>45620</v>
      </c>
      <c r="H499" s="6">
        <v>22.58</v>
      </c>
      <c r="I499" s="6" cm="1">
        <f t="array" ref="I499">IFERROR(VALUE(TRIM(LEFT(E499,MIN(FIND({" ";"g";"k";"m";"o"},E499&amp;" gkmo"))-1))),0)</f>
        <v>0</v>
      </c>
      <c r="J499" s="6" t="str" cm="1">
        <f t="array" ref="J499">IFERROR(TRIM(MID(E499,MIN(FIND({" ";"g";"k";"m";"o"},E499&amp;" gkmo")),10)),"unknown")</f>
        <v/>
      </c>
      <c r="K499" s="6" t="str">
        <f t="shared" si="28"/>
        <v>unknown</v>
      </c>
      <c r="L499" s="6" t="str">
        <f t="shared" si="29"/>
        <v>Carr'S</v>
      </c>
      <c r="M499" s="6" t="str">
        <f t="shared" si="30"/>
        <v>Melts Cheese</v>
      </c>
      <c r="N499" s="6" t="str">
        <f t="shared" si="31"/>
        <v>France,United Kingdom</v>
      </c>
    </row>
    <row r="500" spans="1:14" x14ac:dyDescent="0.25">
      <c r="A500" s="6" t="s">
        <v>1363</v>
      </c>
      <c r="B500" s="6">
        <v>14509</v>
      </c>
      <c r="C500" s="6" t="s">
        <v>1364</v>
      </c>
      <c r="D500" s="7" t="s">
        <v>7017</v>
      </c>
      <c r="E500" s="6" t="s">
        <v>1365</v>
      </c>
      <c r="F500" s="6" t="s">
        <v>7919</v>
      </c>
      <c r="G500" s="8">
        <v>45575</v>
      </c>
      <c r="H500" s="6">
        <v>12.9</v>
      </c>
      <c r="I500" s="6" cm="1">
        <f t="array" ref="I500">IFERROR(VALUE(TRIM(LEFT(E500,MIN(FIND({" ";"g";"k";"m";"o"},E500&amp;" gkmo"))-1))),0)</f>
        <v>27</v>
      </c>
      <c r="J500" s="6" t="str" cm="1">
        <f t="array" ref="J500">IFERROR(TRIM(MID(E500,MIN(FIND({" ";"g";"k";"m";"o"},E500&amp;" gkmo")),10)),"unknown")</f>
        <v>g</v>
      </c>
      <c r="K500" s="6" t="str">
        <f t="shared" si="28"/>
        <v>g</v>
      </c>
      <c r="L500" s="6" t="str">
        <f t="shared" si="29"/>
        <v>Unknown</v>
      </c>
      <c r="M500" s="6" t="str">
        <f t="shared" si="30"/>
        <v>Cheetos Sticks Palitos</v>
      </c>
      <c r="N500" s="6" t="str">
        <f t="shared" si="31"/>
        <v>France, Morocco</v>
      </c>
    </row>
    <row r="501" spans="1:14" x14ac:dyDescent="0.25">
      <c r="A501" s="6" t="s">
        <v>1366</v>
      </c>
      <c r="B501" s="6">
        <v>6989</v>
      </c>
      <c r="C501" s="6" t="s">
        <v>1367</v>
      </c>
      <c r="D501" s="7" t="s">
        <v>525</v>
      </c>
      <c r="E501" s="6"/>
      <c r="F501" s="6" t="s">
        <v>511</v>
      </c>
      <c r="G501" s="8">
        <v>45346</v>
      </c>
      <c r="H501" s="6">
        <v>11.85</v>
      </c>
      <c r="I501" s="6" cm="1">
        <f t="array" ref="I501">IFERROR(VALUE(TRIM(LEFT(E501,MIN(FIND({" ";"g";"k";"m";"o"},E501&amp;" gkmo"))-1))),0)</f>
        <v>0</v>
      </c>
      <c r="J501" s="6" t="str" cm="1">
        <f t="array" ref="J501">IFERROR(TRIM(MID(E501,MIN(FIND({" ";"g";"k";"m";"o"},E501&amp;" gkmo")),10)),"unknown")</f>
        <v/>
      </c>
      <c r="K501" s="6" t="str">
        <f t="shared" si="28"/>
        <v>unknown</v>
      </c>
      <c r="L501" s="6" t="str">
        <f t="shared" si="29"/>
        <v>Aiguebelle</v>
      </c>
      <c r="M501" s="6" t="str">
        <f t="shared" si="30"/>
        <v>Napolitain Noir</v>
      </c>
      <c r="N501" s="6" t="str">
        <f t="shared" si="31"/>
        <v>France,Morocco</v>
      </c>
    </row>
    <row r="502" spans="1:14" x14ac:dyDescent="0.25">
      <c r="A502" s="6" t="s">
        <v>1368</v>
      </c>
      <c r="B502" s="6">
        <v>13816</v>
      </c>
      <c r="C502" s="6" t="s">
        <v>7105</v>
      </c>
      <c r="D502" s="7" t="s">
        <v>7614</v>
      </c>
      <c r="E502" s="6" t="s">
        <v>528</v>
      </c>
      <c r="F502" s="6" t="s">
        <v>139</v>
      </c>
      <c r="G502" s="8">
        <v>45390</v>
      </c>
      <c r="H502" s="6">
        <v>4.37</v>
      </c>
      <c r="I502" s="6" cm="1">
        <f t="array" ref="I502">IFERROR(VALUE(TRIM(LEFT(E502,MIN(FIND({" ";"g";"k";"m";"o"},E502&amp;" gkmo"))-1))),0)</f>
        <v>200</v>
      </c>
      <c r="J502" s="6" t="str" cm="1">
        <f t="array" ref="J502">IFERROR(TRIM(MID(E502,MIN(FIND({" ";"g";"k";"m";"o"},E502&amp;" gkmo")),10)),"unknown")</f>
        <v>g</v>
      </c>
      <c r="K502" s="6" t="str">
        <f t="shared" si="28"/>
        <v>g</v>
      </c>
      <c r="L502" s="6" t="str">
        <f t="shared" si="29"/>
        <v>Maàžtre Jean Pierre</v>
      </c>
      <c r="M502" s="6" t="str">
        <f t="shared" si="30"/>
        <v>Cracker Épeautre Et 3 Graines</v>
      </c>
      <c r="N502" s="6" t="str">
        <f t="shared" si="31"/>
        <v>France</v>
      </c>
    </row>
    <row r="503" spans="1:14" x14ac:dyDescent="0.25">
      <c r="A503" s="6" t="s">
        <v>1369</v>
      </c>
      <c r="B503" s="6">
        <v>14644</v>
      </c>
      <c r="C503" s="6" t="s">
        <v>7615</v>
      </c>
      <c r="D503" s="7" t="s">
        <v>1370</v>
      </c>
      <c r="E503" s="6" t="s">
        <v>7616</v>
      </c>
      <c r="F503" s="6" t="s">
        <v>213</v>
      </c>
      <c r="G503" s="8">
        <v>45811</v>
      </c>
      <c r="H503" s="6">
        <v>15.56</v>
      </c>
      <c r="I503" s="6" cm="1">
        <f t="array" ref="I503">IFERROR(VALUE(TRIM(LEFT(E503,MIN(FIND({" ";"g";"k";"m";"o"},E503&amp;" gkmo"))-1))),0)</f>
        <v>0</v>
      </c>
      <c r="J503" s="6" t="str" cm="1">
        <f t="array" ref="J503">IFERROR(TRIM(MID(E503,MIN(FIND({" ";"g";"k";"m";"o"},E503&amp;" gkmo")),10)),"unknown")</f>
        <v>biscuits</v>
      </c>
      <c r="K503" s="6" t="str">
        <f t="shared" si="28"/>
        <v>g</v>
      </c>
      <c r="L503" s="6" t="str">
        <f t="shared" si="29"/>
        <v>Belvita</v>
      </c>
      <c r="M503" s="6" t="str">
        <f t="shared" si="30"/>
        <v>Duo Fourré Goà»T Chocolat Ðÿ« Noisette Ðÿ¥Œ</v>
      </c>
      <c r="N503" s="6" t="str">
        <f t="shared" si="31"/>
        <v>Belgium,France</v>
      </c>
    </row>
    <row r="504" spans="1:14" x14ac:dyDescent="0.25">
      <c r="A504" s="6" t="s">
        <v>1371</v>
      </c>
      <c r="B504" s="6">
        <v>8888</v>
      </c>
      <c r="C504" s="6" t="s">
        <v>1372</v>
      </c>
      <c r="D504" s="7" t="s">
        <v>7106</v>
      </c>
      <c r="E504" s="6" t="s">
        <v>1044</v>
      </c>
      <c r="F504" s="6" t="s">
        <v>139</v>
      </c>
      <c r="G504" s="8">
        <v>45447</v>
      </c>
      <c r="H504" s="6">
        <v>5.5</v>
      </c>
      <c r="I504" s="6" cm="1">
        <f t="array" ref="I504">IFERROR(VALUE(TRIM(LEFT(E504,MIN(FIND({" ";"g";"k";"m";"o"},E504&amp;" gkmo"))-1))),0)</f>
        <v>500</v>
      </c>
      <c r="J504" s="6" t="str" cm="1">
        <f t="array" ref="J504">IFERROR(TRIM(MID(E504,MIN(FIND({" ";"g";"k";"m";"o"},E504&amp;" gkmo")),10)),"unknown")</f>
        <v>g e</v>
      </c>
      <c r="K504" s="6" t="str">
        <f t="shared" si="28"/>
        <v>g</v>
      </c>
      <c r="L504" s="6" t="str">
        <f t="shared" si="29"/>
        <v>Ker Cadélac</v>
      </c>
      <c r="M504" s="6" t="str">
        <f t="shared" si="30"/>
        <v>Le Moelleux</v>
      </c>
      <c r="N504" s="6" t="str">
        <f t="shared" si="31"/>
        <v>France</v>
      </c>
    </row>
    <row r="505" spans="1:14" x14ac:dyDescent="0.25">
      <c r="A505" s="6" t="s">
        <v>1373</v>
      </c>
      <c r="B505" s="6">
        <v>5408</v>
      </c>
      <c r="C505" s="6" t="s">
        <v>1374</v>
      </c>
      <c r="D505" s="7" t="s">
        <v>7578</v>
      </c>
      <c r="E505" s="6" t="s">
        <v>132</v>
      </c>
      <c r="F505" s="6" t="s">
        <v>8278</v>
      </c>
      <c r="G505" s="8">
        <v>45519</v>
      </c>
      <c r="H505" s="6">
        <v>16.079999999999998</v>
      </c>
      <c r="I505" s="6" cm="1">
        <f t="array" ref="I505">IFERROR(VALUE(TRIM(LEFT(E505,MIN(FIND({" ";"g";"k";"m";"o"},E505&amp;" gkmo"))-1))),0)</f>
        <v>350</v>
      </c>
      <c r="J505" s="6" t="str" cm="1">
        <f t="array" ref="J505">IFERROR(TRIM(MID(E505,MIN(FIND({" ";"g";"k";"m";"o"},E505&amp;" gkmo")),10)),"unknown")</f>
        <v>g</v>
      </c>
      <c r="K505" s="6" t="str">
        <f t="shared" si="28"/>
        <v>g</v>
      </c>
      <c r="L505" s="6" t="str">
        <f t="shared" si="29"/>
        <v>Gullà³N</v>
      </c>
      <c r="M505" s="6" t="str">
        <f t="shared" si="30"/>
        <v>Mini Mix</v>
      </c>
      <c r="N505" s="6" t="str">
        <f t="shared" si="31"/>
        <v>Algeria,France,Spain, Belgium, Morocco</v>
      </c>
    </row>
    <row r="506" spans="1:14" x14ac:dyDescent="0.25">
      <c r="A506" s="6" t="s">
        <v>1375</v>
      </c>
      <c r="B506" s="6">
        <v>13115</v>
      </c>
      <c r="C506" s="6" t="s">
        <v>7617</v>
      </c>
      <c r="D506" s="7" t="s">
        <v>7578</v>
      </c>
      <c r="E506" s="6" t="s">
        <v>1376</v>
      </c>
      <c r="F506" s="6" t="s">
        <v>8265</v>
      </c>
      <c r="G506" s="8">
        <v>45538</v>
      </c>
      <c r="H506" s="6">
        <v>13.16</v>
      </c>
      <c r="I506" s="6" cm="1">
        <f t="array" ref="I506">IFERROR(VALUE(TRIM(LEFT(E506,MIN(FIND({" ";"g";"k";"m";"o"},E506&amp;" gkmo"))-1))),0)</f>
        <v>216</v>
      </c>
      <c r="J506" s="6" t="str" cm="1">
        <f t="array" ref="J506">IFERROR(TRIM(MID(E506,MIN(FIND({" ";"g";"k";"m";"o"},E506&amp;" gkmo")),10)),"unknown")</f>
        <v>g</v>
      </c>
      <c r="K506" s="6" t="str">
        <f t="shared" si="28"/>
        <v>g</v>
      </c>
      <c r="L506" s="6" t="str">
        <f t="shared" si="29"/>
        <v>Gullà³N</v>
      </c>
      <c r="M506" s="6" t="str">
        <f t="shared" si="30"/>
        <v>Galletas Desayuno Zero Sin Azàºcares</v>
      </c>
      <c r="N506" s="6" t="str">
        <f t="shared" si="31"/>
        <v>Bolivia,France,Germany,Rumania,Espaà±A,Tàºnez</v>
      </c>
    </row>
    <row r="507" spans="1:14" x14ac:dyDescent="0.25">
      <c r="A507" s="6" t="s">
        <v>1377</v>
      </c>
      <c r="B507" s="6">
        <v>11417</v>
      </c>
      <c r="C507" s="6" t="s">
        <v>1378</v>
      </c>
      <c r="D507" s="7" t="s">
        <v>1379</v>
      </c>
      <c r="E507" s="6" t="s">
        <v>592</v>
      </c>
      <c r="F507" s="6" t="s">
        <v>1380</v>
      </c>
      <c r="G507" s="8">
        <v>45619</v>
      </c>
      <c r="H507" s="6">
        <v>5.42</v>
      </c>
      <c r="I507" s="6" cm="1">
        <f t="array" ref="I507">IFERROR(VALUE(TRIM(LEFT(E507,MIN(FIND({" ";"g";"k";"m";"o"},E507&amp;" gkmo"))-1))),0)</f>
        <v>500</v>
      </c>
      <c r="J507" s="6" t="str" cm="1">
        <f t="array" ref="J507">IFERROR(TRIM(MID(E507,MIN(FIND({" ";"g";"k";"m";"o"},E507&amp;" gkmo")),10)),"unknown")</f>
        <v>g</v>
      </c>
      <c r="K507" s="6" t="str">
        <f t="shared" si="28"/>
        <v>g</v>
      </c>
      <c r="L507" s="6" t="str">
        <f t="shared" si="29"/>
        <v>Gran Cereale</v>
      </c>
      <c r="M507" s="6" t="str">
        <f t="shared" si="30"/>
        <v>Gran Cereale Classico, Fiocchi D Avena, Farrone Orzo</v>
      </c>
      <c r="N507" s="6" t="str">
        <f t="shared" si="31"/>
        <v>Italia,Svizzera</v>
      </c>
    </row>
    <row r="508" spans="1:14" x14ac:dyDescent="0.25">
      <c r="A508" s="6" t="s">
        <v>1381</v>
      </c>
      <c r="B508" s="6">
        <v>10466</v>
      </c>
      <c r="C508" s="6" t="s">
        <v>1382</v>
      </c>
      <c r="D508" s="7" t="s">
        <v>180</v>
      </c>
      <c r="E508" s="6" t="s">
        <v>643</v>
      </c>
      <c r="F508" s="6" t="s">
        <v>177</v>
      </c>
      <c r="G508" s="8">
        <v>45477</v>
      </c>
      <c r="H508" s="6">
        <v>24.03</v>
      </c>
      <c r="I508" s="6" cm="1">
        <f t="array" ref="I508">IFERROR(VALUE(TRIM(LEFT(E508,MIN(FIND({" ";"g";"k";"m";"o"},E508&amp;" gkmo"))-1))),0)</f>
        <v>25</v>
      </c>
      <c r="J508" s="6" t="str" cm="1">
        <f t="array" ref="J508">IFERROR(TRIM(MID(E508,MIN(FIND({" ";"g";"k";"m";"o"},E508&amp;" gkmo")),10)),"unknown")</f>
        <v>g</v>
      </c>
      <c r="K508" s="6" t="str">
        <f t="shared" si="28"/>
        <v>g</v>
      </c>
      <c r="L508" s="6" t="str">
        <f t="shared" si="29"/>
        <v>Kettle</v>
      </c>
      <c r="M508" s="6" t="str">
        <f t="shared" si="30"/>
        <v>Lightly Salted Potato Chips</v>
      </c>
      <c r="N508" s="6" t="str">
        <f t="shared" si="31"/>
        <v>United Kingdom</v>
      </c>
    </row>
    <row r="509" spans="1:14" x14ac:dyDescent="0.25">
      <c r="A509" s="6" t="s">
        <v>1383</v>
      </c>
      <c r="B509" s="6">
        <v>9833</v>
      </c>
      <c r="C509" s="6" t="s">
        <v>1384</v>
      </c>
      <c r="D509" s="7" t="s">
        <v>488</v>
      </c>
      <c r="E509" s="6" t="s">
        <v>1385</v>
      </c>
      <c r="F509" s="6" t="s">
        <v>7961</v>
      </c>
      <c r="G509" s="8">
        <v>46006</v>
      </c>
      <c r="H509" s="6">
        <v>2.15</v>
      </c>
      <c r="I509" s="6" cm="1">
        <f t="array" ref="I509">IFERROR(VALUE(TRIM(LEFT(E509,MIN(FIND({" ";"g";"k";"m";"o"},E509&amp;" gkmo"))-1))),0)</f>
        <v>125</v>
      </c>
      <c r="J509" s="6" t="str" cm="1">
        <f t="array" ref="J509">IFERROR(TRIM(MID(E509,MIN(FIND({" ";"g";"k";"m";"o"},E509&amp;" gkmo")),10)),"unknown")</f>
        <v>g (9 sache</v>
      </c>
      <c r="K509" s="6" t="str">
        <f t="shared" si="28"/>
        <v>g</v>
      </c>
      <c r="L509" s="6" t="str">
        <f t="shared" si="29"/>
        <v>Bonne Maman</v>
      </c>
      <c r="M509" s="6" t="str">
        <f t="shared" si="30"/>
        <v>Tartelettes Citron</v>
      </c>
      <c r="N509" s="6" t="str">
        <f t="shared" si="31"/>
        <v>Belgium, France, Germany, Switzerland, United-Kingdom</v>
      </c>
    </row>
    <row r="510" spans="1:14" x14ac:dyDescent="0.25">
      <c r="A510" s="6" t="s">
        <v>1386</v>
      </c>
      <c r="B510" s="6">
        <v>9474</v>
      </c>
      <c r="C510" s="6" t="s">
        <v>7107</v>
      </c>
      <c r="D510" s="7" t="s">
        <v>13</v>
      </c>
      <c r="E510" s="6" t="s">
        <v>423</v>
      </c>
      <c r="F510" s="6" t="s">
        <v>557</v>
      </c>
      <c r="G510" s="8">
        <v>45874</v>
      </c>
      <c r="H510" s="6">
        <v>13.8</v>
      </c>
      <c r="I510" s="6" cm="1">
        <f t="array" ref="I510">IFERROR(VALUE(TRIM(LEFT(E510,MIN(FIND({" ";"g";"k";"m";"o"},E510&amp;" gkmo"))-1))),0)</f>
        <v>125</v>
      </c>
      <c r="J510" s="6" t="str" cm="1">
        <f t="array" ref="J510">IFERROR(TRIM(MID(E510,MIN(FIND({" ";"g";"k";"m";"o"},E510&amp;" gkmo")),10)),"unknown")</f>
        <v>g</v>
      </c>
      <c r="K510" s="6" t="str">
        <f t="shared" si="28"/>
        <v>g</v>
      </c>
      <c r="L510" s="6" t="str">
        <f t="shared" si="29"/>
        <v>Lu</v>
      </c>
      <c r="M510" s="6" t="str">
        <f t="shared" si="30"/>
        <v>Grany Noisettes 5 Céréales</v>
      </c>
      <c r="N510" s="6" t="str">
        <f t="shared" si="31"/>
        <v>Belgium,France,Switzerland</v>
      </c>
    </row>
    <row r="511" spans="1:14" x14ac:dyDescent="0.25">
      <c r="A511" s="6" t="s">
        <v>1387</v>
      </c>
      <c r="B511" s="6">
        <v>7528</v>
      </c>
      <c r="C511" s="6" t="s">
        <v>1388</v>
      </c>
      <c r="D511" s="7" t="s">
        <v>606</v>
      </c>
      <c r="E511" s="6" t="s">
        <v>1389</v>
      </c>
      <c r="F511" s="6" t="s">
        <v>7919</v>
      </c>
      <c r="G511" s="8">
        <v>45750</v>
      </c>
      <c r="H511" s="6">
        <v>8.98</v>
      </c>
      <c r="I511" s="6" cm="1">
        <f t="array" ref="I511">IFERROR(VALUE(TRIM(LEFT(E511,MIN(FIND({" ";"g";"k";"m";"o"},E511&amp;" gkmo"))-1))),0)</f>
        <v>40</v>
      </c>
      <c r="J511" s="6" t="str" cm="1">
        <f t="array" ref="J511">IFERROR(TRIM(MID(E511,MIN(FIND({" ";"g";"k";"m";"o"},E511&amp;" gkmo")),10)),"unknown")</f>
        <v>g</v>
      </c>
      <c r="K511" s="6" t="str">
        <f t="shared" si="28"/>
        <v>g</v>
      </c>
      <c r="L511" s="6" t="str">
        <f t="shared" si="29"/>
        <v>Pringles</v>
      </c>
      <c r="M511" s="6" t="str">
        <f t="shared" si="30"/>
        <v>Pringles Hot &amp; Spicy</v>
      </c>
      <c r="N511" s="6" t="str">
        <f t="shared" si="31"/>
        <v>France, Morocco</v>
      </c>
    </row>
    <row r="512" spans="1:14" x14ac:dyDescent="0.25">
      <c r="A512" s="6" t="s">
        <v>1390</v>
      </c>
      <c r="B512" s="6">
        <v>12948</v>
      </c>
      <c r="C512" s="6" t="s">
        <v>1391</v>
      </c>
      <c r="D512" s="7" t="s">
        <v>1392</v>
      </c>
      <c r="E512" s="6" t="s">
        <v>1393</v>
      </c>
      <c r="F512" s="6" t="s">
        <v>8463</v>
      </c>
      <c r="G512" s="8">
        <v>45990</v>
      </c>
      <c r="H512" s="6">
        <v>1.0900000000000001</v>
      </c>
      <c r="I512" s="6" cm="1">
        <f t="array" ref="I512">IFERROR(VALUE(TRIM(LEFT(E512,MIN(FIND({" ";"g";"k";"m";"o"},E512&amp;" gkmo"))-1))),0)</f>
        <v>220</v>
      </c>
      <c r="J512" s="6" t="str" cm="1">
        <f t="array" ref="J512">IFERROR(TRIM(MID(E512,MIN(FIND({" ";"g";"k";"m";"o"},E512&amp;" gkmo")),10)),"unknown")</f>
        <v>g</v>
      </c>
      <c r="K512" s="6" t="str">
        <f t="shared" si="28"/>
        <v>g</v>
      </c>
      <c r="L512" s="6" t="str">
        <f t="shared" si="29"/>
        <v>Ferrero,Nutella B-Ready</v>
      </c>
      <c r="M512" s="6" t="str">
        <f t="shared" si="30"/>
        <v>Nutella B-Ready</v>
      </c>
      <c r="N512" s="6" t="str">
        <f t="shared" si="31"/>
        <v>Autriche,Belgium,France,Germany,Italie,La Reunion,Roumanie,Switzerland</v>
      </c>
    </row>
    <row r="513" spans="1:14" x14ac:dyDescent="0.25">
      <c r="A513" s="6" t="s">
        <v>1394</v>
      </c>
      <c r="B513" s="6">
        <v>8774</v>
      </c>
      <c r="C513" s="6" t="s">
        <v>7618</v>
      </c>
      <c r="D513" s="7" t="s">
        <v>7033</v>
      </c>
      <c r="E513" s="6"/>
      <c r="F513" s="6" t="s">
        <v>7962</v>
      </c>
      <c r="G513" s="8">
        <v>45547</v>
      </c>
      <c r="H513" s="6">
        <v>24.04</v>
      </c>
      <c r="I513" s="6" cm="1">
        <f t="array" ref="I513">IFERROR(VALUE(TRIM(LEFT(E513,MIN(FIND({" ";"g";"k";"m";"o"},E513&amp;" gkmo"))-1))),0)</f>
        <v>0</v>
      </c>
      <c r="J513" s="6" t="str" cm="1">
        <f t="array" ref="J513">IFERROR(TRIM(MID(E513,MIN(FIND({" ";"g";"k";"m";"o"},E513&amp;" gkmo")),10)),"unknown")</f>
        <v/>
      </c>
      <c r="K513" s="6" t="str">
        <f t="shared" si="28"/>
        <v>unknown</v>
      </c>
      <c r="L513" s="6" t="str">
        <f t="shared" si="29"/>
        <v>Nestlé</v>
      </c>
      <c r="M513" s="6" t="str">
        <f t="shared" si="30"/>
        <v>Chocolat Noir Pà¢Tissier</v>
      </c>
      <c r="N513" s="6" t="str">
        <f t="shared" si="31"/>
        <v>Finland, France</v>
      </c>
    </row>
    <row r="514" spans="1:14" x14ac:dyDescent="0.25">
      <c r="A514" s="6" t="s">
        <v>1395</v>
      </c>
      <c r="B514" s="6">
        <v>5524</v>
      </c>
      <c r="C514" s="6" t="s">
        <v>7108</v>
      </c>
      <c r="D514" s="7" t="s">
        <v>310</v>
      </c>
      <c r="E514" s="6" t="s">
        <v>1396</v>
      </c>
      <c r="F514" s="6" t="s">
        <v>139</v>
      </c>
      <c r="G514" s="8">
        <v>45431</v>
      </c>
      <c r="H514" s="6">
        <v>3.36</v>
      </c>
      <c r="I514" s="6" cm="1">
        <f t="array" ref="I514">IFERROR(VALUE(TRIM(LEFT(E514,MIN(FIND({" ";"g";"k";"m";"o"},E514&amp;" gkmo"))-1))),0)</f>
        <v>600</v>
      </c>
      <c r="J514" s="6" t="str" cm="1">
        <f t="array" ref="J514">IFERROR(TRIM(MID(E514,MIN(FIND({" ";"g";"k";"m";"o"},E514&amp;" gkmo")),10)),"unknown")</f>
        <v>g</v>
      </c>
      <c r="K514" s="6" t="str">
        <f t="shared" si="28"/>
        <v>g</v>
      </c>
      <c r="L514" s="6" t="str">
        <f t="shared" si="29"/>
        <v>St Michel</v>
      </c>
      <c r="M514" s="6" t="str">
        <f t="shared" si="30"/>
        <v>Madeleines Aux Å“Ufs De Poules Élevées En Plein Air</v>
      </c>
      <c r="N514" s="6" t="str">
        <f t="shared" si="31"/>
        <v>France</v>
      </c>
    </row>
    <row r="515" spans="1:14" x14ac:dyDescent="0.25">
      <c r="A515" s="6" t="s">
        <v>1397</v>
      </c>
      <c r="B515" s="6">
        <v>8001</v>
      </c>
      <c r="C515" s="6" t="s">
        <v>1398</v>
      </c>
      <c r="D515" s="7" t="s">
        <v>1399</v>
      </c>
      <c r="E515" s="6" t="s">
        <v>335</v>
      </c>
      <c r="F515" s="6" t="s">
        <v>8464</v>
      </c>
      <c r="G515" s="8">
        <v>45395</v>
      </c>
      <c r="H515" s="6">
        <v>21.39</v>
      </c>
      <c r="I515" s="6" cm="1">
        <f t="array" ref="I515">IFERROR(VALUE(TRIM(LEFT(E515,MIN(FIND({" ";"g";"k";"m";"o"},E515&amp;" gkmo"))-1))),0)</f>
        <v>250</v>
      </c>
      <c r="J515" s="6" t="str" cm="1">
        <f t="array" ref="J515">IFERROR(TRIM(MID(E515,MIN(FIND({" ";"g";"k";"m";"o"},E515&amp;" gkmo")),10)),"unknown")</f>
        <v>g</v>
      </c>
      <c r="K515" s="6" t="str">
        <f t="shared" ref="K515:K578" si="32">IF(E515="","unknown",IF(OR(J515="g",LEFT(J515,1)="g"),"g",IF(OR(LEFT(J515,2)="kg",LEFT(J515,2)="ki"),"kg",IF(OR(LEFT(J515,2)="ml",LEFT(J515,1)="m"),"ml",IF(LEFT(J515,1)="l","l",IF(ISNUMBER(SEARCH("g",E515)),"g",IF(ISNUMBER(SEARCH("kg",E515)),"kg",IF(ISNUMBER(SEARCH("ml",E515)),"ml","unknown"))))))))</f>
        <v>g</v>
      </c>
      <c r="L515" s="6" t="str">
        <f t="shared" ref="L515:L578" si="33">IF(D515="","Unknown",PROPER(TRIM(D515)))</f>
        <v>Heudebert,Lu,Mondelez</v>
      </c>
      <c r="M515" s="6" t="str">
        <f t="shared" ref="M515:M578" si="34">IF(C515="Unknown","Unknown",PROPER(TRIM(C515)))</f>
        <v>Crackers Heudebert</v>
      </c>
      <c r="N515" s="6" t="str">
        <f t="shared" ref="N515:N578" si="35">IF(F515="","Unknown",PROPER(TRIM(F515)))</f>
        <v>France,Polynésie Franà§Aise,La Reunion</v>
      </c>
    </row>
    <row r="516" spans="1:14" x14ac:dyDescent="0.25">
      <c r="A516" s="6" t="s">
        <v>1400</v>
      </c>
      <c r="B516" s="6">
        <v>6207</v>
      </c>
      <c r="C516" s="6" t="s">
        <v>1401</v>
      </c>
      <c r="D516" s="7" t="s">
        <v>1402</v>
      </c>
      <c r="E516" s="6" t="s">
        <v>696</v>
      </c>
      <c r="F516" s="6" t="s">
        <v>7556</v>
      </c>
      <c r="G516" s="8">
        <v>45572</v>
      </c>
      <c r="H516" s="6">
        <v>14.26</v>
      </c>
      <c r="I516" s="6" cm="1">
        <f t="array" ref="I516">IFERROR(VALUE(TRIM(LEFT(E516,MIN(FIND({" ";"g";"k";"m";"o"},E516&amp;" gkmo"))-1))),0)</f>
        <v>3</v>
      </c>
      <c r="J516" s="6" t="str" cm="1">
        <f t="array" ref="J516">IFERROR(TRIM(MID(E516,MIN(FIND({" ";"g";"k";"m";"o"},E516&amp;" gkmo")),10)),"unknown")</f>
        <v>x 45g</v>
      </c>
      <c r="K516" s="6" t="str">
        <f t="shared" si="32"/>
        <v>g</v>
      </c>
      <c r="L516" s="6" t="str">
        <f t="shared" si="33"/>
        <v>Eat Natural</v>
      </c>
      <c r="M516" s="6" t="str">
        <f t="shared" si="34"/>
        <v>Crunchy Nut Bars With Peanuts &amp; Chocolate</v>
      </c>
      <c r="N516" s="6" t="str">
        <f t="shared" si="35"/>
        <v>België,Frankrijk,Nederland,Verenigd Koninkrijk</v>
      </c>
    </row>
    <row r="517" spans="1:14" x14ac:dyDescent="0.25">
      <c r="A517" s="6" t="s">
        <v>1403</v>
      </c>
      <c r="B517" s="6">
        <v>6133</v>
      </c>
      <c r="C517" s="6" t="s">
        <v>1404</v>
      </c>
      <c r="D517" s="7" t="s">
        <v>7017</v>
      </c>
      <c r="E517" s="6" t="s">
        <v>151</v>
      </c>
      <c r="F517" s="6" t="s">
        <v>201</v>
      </c>
      <c r="G517" s="8">
        <v>45644</v>
      </c>
      <c r="H517" s="6">
        <v>5.4</v>
      </c>
      <c r="I517" s="6" cm="1">
        <f t="array" ref="I517">IFERROR(VALUE(TRIM(LEFT(E517,MIN(FIND({" ";"g";"k";"m";"o"},E517&amp;" gkmo"))-1))),0)</f>
        <v>200</v>
      </c>
      <c r="J517" s="6" t="str" cm="1">
        <f t="array" ref="J517">IFERROR(TRIM(MID(E517,MIN(FIND({" ";"g";"k";"m";"o"},E517&amp;" gkmo")),10)),"unknown")</f>
        <v>g</v>
      </c>
      <c r="K517" s="6" t="str">
        <f t="shared" si="32"/>
        <v>g</v>
      </c>
      <c r="L517" s="6" t="str">
        <f t="shared" si="33"/>
        <v>Unknown</v>
      </c>
      <c r="M517" s="6" t="str">
        <f t="shared" si="34"/>
        <v>L'Original Lait</v>
      </c>
      <c r="N517" s="6" t="str">
        <f t="shared" si="35"/>
        <v>Belgium,France,Morocco,Switzerland</v>
      </c>
    </row>
    <row r="518" spans="1:14" x14ac:dyDescent="0.25">
      <c r="A518" s="6" t="s">
        <v>1405</v>
      </c>
      <c r="B518" s="6">
        <v>5023</v>
      </c>
      <c r="C518" s="6" t="s">
        <v>1406</v>
      </c>
      <c r="D518" s="7" t="s">
        <v>7017</v>
      </c>
      <c r="E518" s="6"/>
      <c r="F518" s="6" t="s">
        <v>8447</v>
      </c>
      <c r="G518" s="8">
        <v>45846</v>
      </c>
      <c r="H518" s="6">
        <v>4.5</v>
      </c>
      <c r="I518" s="6" cm="1">
        <f t="array" ref="I518">IFERROR(VALUE(TRIM(LEFT(E518,MIN(FIND({" ";"g";"k";"m";"o"},E518&amp;" gkmo"))-1))),0)</f>
        <v>0</v>
      </c>
      <c r="J518" s="6" t="str" cm="1">
        <f t="array" ref="J518">IFERROR(TRIM(MID(E518,MIN(FIND({" ";"g";"k";"m";"o"},E518&amp;" gkmo")),10)),"unknown")</f>
        <v/>
      </c>
      <c r="K518" s="6" t="str">
        <f t="shared" si="32"/>
        <v>unknown</v>
      </c>
      <c r="L518" s="6" t="str">
        <f t="shared" si="33"/>
        <v>Unknown</v>
      </c>
      <c r="M518" s="6" t="str">
        <f t="shared" si="34"/>
        <v>Monaco</v>
      </c>
      <c r="N518" s="6" t="str">
        <f t="shared" si="35"/>
        <v>Belgium,France,La Reunion,Switzerland</v>
      </c>
    </row>
    <row r="519" spans="1:14" x14ac:dyDescent="0.25">
      <c r="A519" s="6" t="s">
        <v>1407</v>
      </c>
      <c r="B519" s="6">
        <v>12592</v>
      </c>
      <c r="C519" s="6" t="s">
        <v>1408</v>
      </c>
      <c r="D519" s="7" t="s">
        <v>1379</v>
      </c>
      <c r="E519" s="6" t="s">
        <v>82</v>
      </c>
      <c r="F519" s="6" t="s">
        <v>7619</v>
      </c>
      <c r="G519" s="8">
        <v>45640</v>
      </c>
      <c r="H519" s="6">
        <v>8.07</v>
      </c>
      <c r="I519" s="6" cm="1">
        <f t="array" ref="I519">IFERROR(VALUE(TRIM(LEFT(E519,MIN(FIND({" ";"g";"k";"m";"o"},E519&amp;" gkmo"))-1))),0)</f>
        <v>230</v>
      </c>
      <c r="J519" s="6" t="str" cm="1">
        <f t="array" ref="J519">IFERROR(TRIM(MID(E519,MIN(FIND({" ";"g";"k";"m";"o"},E519&amp;" gkmo")),10)),"unknown")</f>
        <v>g</v>
      </c>
      <c r="K519" s="6" t="str">
        <f t="shared" si="32"/>
        <v>g</v>
      </c>
      <c r="L519" s="6" t="str">
        <f t="shared" si="33"/>
        <v>Gran Cereale</v>
      </c>
      <c r="M519" s="6" t="str">
        <f t="shared" si="34"/>
        <v>Gran Cereale Cioccolato</v>
      </c>
      <c r="N519" s="6" t="str">
        <f t="shared" si="35"/>
        <v>Italia,Espaà±A</v>
      </c>
    </row>
    <row r="520" spans="1:14" x14ac:dyDescent="0.25">
      <c r="A520" s="6" t="s">
        <v>1409</v>
      </c>
      <c r="B520" s="6">
        <v>14838</v>
      </c>
      <c r="C520" s="6" t="s">
        <v>7620</v>
      </c>
      <c r="D520" s="7" t="s">
        <v>7621</v>
      </c>
      <c r="E520" s="6" t="s">
        <v>1410</v>
      </c>
      <c r="F520" s="6" t="s">
        <v>7573</v>
      </c>
      <c r="G520" s="8">
        <v>45842</v>
      </c>
      <c r="H520" s="6">
        <v>13.16</v>
      </c>
      <c r="I520" s="6" cm="1">
        <f t="array" ref="I520">IFERROR(VALUE(TRIM(LEFT(E520,MIN(FIND({" ";"g";"k";"m";"o"},E520&amp;" gkmo"))-1))),0)</f>
        <v>330</v>
      </c>
      <c r="J520" s="6" t="str" cm="1">
        <f t="array" ref="J520">IFERROR(TRIM(MID(E520,MIN(FIND({" ";"g";"k";"m";"o"},E520&amp;" gkmo")),10)),"unknown")</f>
        <v>g (2 x 16</v>
      </c>
      <c r="K520" s="6" t="str">
        <f t="shared" si="32"/>
        <v>g</v>
      </c>
      <c r="L520" s="6" t="str">
        <f t="shared" si="33"/>
        <v>Gullà³N</v>
      </c>
      <c r="M520" s="6" t="str">
        <f t="shared" si="34"/>
        <v>Doradas Al Horno Zero Sin Azàºcares</v>
      </c>
      <c r="N520" s="6" t="str">
        <f t="shared" si="35"/>
        <v>Portugal,Espaà±A</v>
      </c>
    </row>
    <row r="521" spans="1:14" x14ac:dyDescent="0.25">
      <c r="A521" s="6" t="s">
        <v>1411</v>
      </c>
      <c r="B521" s="6">
        <v>5564</v>
      </c>
      <c r="C521" s="6" t="s">
        <v>1412</v>
      </c>
      <c r="D521" s="7" t="s">
        <v>494</v>
      </c>
      <c r="E521" s="6" t="s">
        <v>1413</v>
      </c>
      <c r="F521" s="6" t="s">
        <v>7920</v>
      </c>
      <c r="G521" s="8">
        <v>45791</v>
      </c>
      <c r="H521" s="6">
        <v>15.6</v>
      </c>
      <c r="I521" s="6" cm="1">
        <f t="array" ref="I521">IFERROR(VALUE(TRIM(LEFT(E521,MIN(FIND({" ";"g";"k";"m";"o"},E521&amp;" gkmo"))-1))),0)</f>
        <v>4</v>
      </c>
      <c r="J521" s="6" t="str" cm="1">
        <f t="array" ref="J521">IFERROR(TRIM(MID(E521,MIN(FIND({" ";"g";"k";"m";"o"},E521&amp;" gkmo")),10)),"unknown")</f>
        <v>x 35 g</v>
      </c>
      <c r="K521" s="6" t="str">
        <f t="shared" si="32"/>
        <v>g</v>
      </c>
      <c r="L521" s="6" t="str">
        <f t="shared" si="33"/>
        <v>NäKd</v>
      </c>
      <c r="M521" s="6" t="str">
        <f t="shared" si="34"/>
        <v>Raw Fruit &amp; Nut Bars - Salted Caramel</v>
      </c>
      <c r="N521" s="6" t="str">
        <f t="shared" si="35"/>
        <v>United Kingdom, Ireland</v>
      </c>
    </row>
    <row r="522" spans="1:14" x14ac:dyDescent="0.25">
      <c r="A522" s="6" t="s">
        <v>1414</v>
      </c>
      <c r="B522" s="6">
        <v>6894</v>
      </c>
      <c r="C522" s="6" t="s">
        <v>1415</v>
      </c>
      <c r="D522" s="7" t="s">
        <v>1416</v>
      </c>
      <c r="E522" s="6" t="s">
        <v>10</v>
      </c>
      <c r="F522" s="6" t="s">
        <v>177</v>
      </c>
      <c r="G522" s="8">
        <v>45849</v>
      </c>
      <c r="H522" s="6">
        <v>6.32</v>
      </c>
      <c r="I522" s="6" cm="1">
        <f t="array" ref="I522">IFERROR(VALUE(TRIM(LEFT(E522,MIN(FIND({" ";"g";"k";"m";"o"},E522&amp;" gkmo"))-1))),0)</f>
        <v>100</v>
      </c>
      <c r="J522" s="6" t="str" cm="1">
        <f t="array" ref="J522">IFERROR(TRIM(MID(E522,MIN(FIND({" ";"g";"k";"m";"o"},E522&amp;" gkmo")),10)),"unknown")</f>
        <v>g</v>
      </c>
      <c r="K522" s="6" t="str">
        <f t="shared" si="32"/>
        <v>g</v>
      </c>
      <c r="L522" s="6" t="str">
        <f t="shared" si="33"/>
        <v>Extra Special, Asda Extra Special</v>
      </c>
      <c r="M522" s="6" t="str">
        <f t="shared" si="34"/>
        <v>Madagascan Dark Chocolate</v>
      </c>
      <c r="N522" s="6" t="str">
        <f t="shared" si="35"/>
        <v>United Kingdom</v>
      </c>
    </row>
    <row r="523" spans="1:14" x14ac:dyDescent="0.25">
      <c r="A523" s="6" t="s">
        <v>1417</v>
      </c>
      <c r="B523" s="6">
        <v>6601</v>
      </c>
      <c r="C523" s="6" t="s">
        <v>7109</v>
      </c>
      <c r="D523" s="7" t="s">
        <v>116</v>
      </c>
      <c r="E523" s="6" t="s">
        <v>1418</v>
      </c>
      <c r="F523" s="6" t="s">
        <v>213</v>
      </c>
      <c r="G523" s="8">
        <v>45660</v>
      </c>
      <c r="H523" s="6">
        <v>6.96</v>
      </c>
      <c r="I523" s="6" cm="1">
        <f t="array" ref="I523">IFERROR(VALUE(TRIM(LEFT(E523,MIN(FIND({" ";"g";"k";"m";"o"},E523&amp;" gkmo"))-1))),0)</f>
        <v>4</v>
      </c>
      <c r="J523" s="6" t="str" cm="1">
        <f t="array" ref="J523">IFERROR(TRIM(MID(E523,MIN(FIND({" ";"g";"k";"m";"o"},E523&amp;" gkmo")),10)),"unknown")</f>
        <v>x 40 g</v>
      </c>
      <c r="K523" s="6" t="str">
        <f t="shared" si="32"/>
        <v>g</v>
      </c>
      <c r="L523" s="6" t="str">
        <f t="shared" si="33"/>
        <v>Nature Valley</v>
      </c>
      <c r="M523" s="6" t="str">
        <f t="shared" si="34"/>
        <v>Barres Protéinées Aux Chocolat Et Cranberries Sans Gluten</v>
      </c>
      <c r="N523" s="6" t="str">
        <f t="shared" si="35"/>
        <v>Belgium,France</v>
      </c>
    </row>
    <row r="524" spans="1:14" x14ac:dyDescent="0.25">
      <c r="A524" s="6" t="s">
        <v>1419</v>
      </c>
      <c r="B524" s="6">
        <v>12072</v>
      </c>
      <c r="C524" s="6" t="s">
        <v>1420</v>
      </c>
      <c r="D524" s="7" t="s">
        <v>7530</v>
      </c>
      <c r="E524" s="6" t="s">
        <v>1421</v>
      </c>
      <c r="F524" s="6" t="s">
        <v>1174</v>
      </c>
      <c r="G524" s="8">
        <v>45724</v>
      </c>
      <c r="H524" s="6">
        <v>2.57</v>
      </c>
      <c r="I524" s="6" cm="1">
        <f t="array" ref="I524">IFERROR(VALUE(TRIM(LEFT(E524,MIN(FIND({" ";"g";"k";"m";"o"},E524&amp;" gkmo"))-1))),0)</f>
        <v>350</v>
      </c>
      <c r="J524" s="6" t="str" cm="1">
        <f t="array" ref="J524">IFERROR(TRIM(MID(E524,MIN(FIND({" ";"g";"k";"m";"o"},E524&amp;" gkmo")),10)),"unknown")</f>
        <v>g (x10)</v>
      </c>
      <c r="K524" s="6" t="str">
        <f t="shared" si="32"/>
        <v>g</v>
      </c>
      <c r="L524" s="6" t="str">
        <f t="shared" si="33"/>
        <v>Marque Repère, Épi D'Or</v>
      </c>
      <c r="M524" s="6" t="str">
        <f t="shared" si="34"/>
        <v>10 Pains Au Lait Au Levain</v>
      </c>
      <c r="N524" s="6" t="str">
        <f t="shared" si="35"/>
        <v>France,Italie</v>
      </c>
    </row>
    <row r="525" spans="1:14" x14ac:dyDescent="0.25">
      <c r="A525" s="6" t="s">
        <v>1422</v>
      </c>
      <c r="B525" s="6">
        <v>13277</v>
      </c>
      <c r="C525" s="6" t="s">
        <v>1423</v>
      </c>
      <c r="D525" s="7" t="s">
        <v>1424</v>
      </c>
      <c r="E525" s="6"/>
      <c r="F525" s="6" t="s">
        <v>400</v>
      </c>
      <c r="G525" s="8">
        <v>45899</v>
      </c>
      <c r="H525" s="6">
        <v>4.7</v>
      </c>
      <c r="I525" s="6" cm="1">
        <f t="array" ref="I525">IFERROR(VALUE(TRIM(LEFT(E525,MIN(FIND({" ";"g";"k";"m";"o"},E525&amp;" gkmo"))-1))),0)</f>
        <v>0</v>
      </c>
      <c r="J525" s="6" t="str" cm="1">
        <f t="array" ref="J525">IFERROR(TRIM(MID(E525,MIN(FIND({" ";"g";"k";"m";"o"},E525&amp;" gkmo")),10)),"unknown")</f>
        <v/>
      </c>
      <c r="K525" s="6" t="str">
        <f t="shared" si="32"/>
        <v>unknown</v>
      </c>
      <c r="L525" s="6" t="str">
        <f t="shared" si="33"/>
        <v>Jacob'S</v>
      </c>
      <c r="M525" s="6" t="str">
        <f t="shared" si="34"/>
        <v>Cream Crackers Original</v>
      </c>
      <c r="N525" s="6" t="str">
        <f t="shared" si="35"/>
        <v>France,United Kingdom</v>
      </c>
    </row>
    <row r="526" spans="1:14" x14ac:dyDescent="0.25">
      <c r="A526" s="6" t="s">
        <v>1425</v>
      </c>
      <c r="B526" s="6">
        <v>14732</v>
      </c>
      <c r="C526" s="6" t="s">
        <v>1426</v>
      </c>
      <c r="D526" s="7" t="s">
        <v>357</v>
      </c>
      <c r="E526" s="6" t="s">
        <v>1427</v>
      </c>
      <c r="F526" s="6" t="s">
        <v>7963</v>
      </c>
      <c r="G526" s="8">
        <v>45720</v>
      </c>
      <c r="H526" s="6">
        <v>21.58</v>
      </c>
      <c r="I526" s="6" cm="1">
        <f t="array" ref="I526">IFERROR(VALUE(TRIM(LEFT(E526,MIN(FIND({" ";"g";"k";"m";"o"},E526&amp;" gkmo"))-1))),0)</f>
        <v>70</v>
      </c>
      <c r="J526" s="6" t="str" cm="1">
        <f t="array" ref="J526">IFERROR(TRIM(MID(E526,MIN(FIND({" ";"g";"k";"m";"o"},E526&amp;" gkmo")),10)),"unknown")</f>
        <v>gram</v>
      </c>
      <c r="K526" s="6" t="str">
        <f t="shared" si="32"/>
        <v>g</v>
      </c>
      <c r="L526" s="6" t="str">
        <f t="shared" si="33"/>
        <v>Proper</v>
      </c>
      <c r="M526" s="6" t="str">
        <f t="shared" si="34"/>
        <v>Proper Corn Sea Salted Popcorn</v>
      </c>
      <c r="N526" s="6" t="str">
        <f t="shared" si="35"/>
        <v>Belgium, France, Netherlands, United-Kingdom</v>
      </c>
    </row>
    <row r="527" spans="1:14" x14ac:dyDescent="0.25">
      <c r="A527" s="6" t="s">
        <v>1428</v>
      </c>
      <c r="B527" s="6">
        <v>10758</v>
      </c>
      <c r="C527" s="6" t="s">
        <v>1429</v>
      </c>
      <c r="D527" s="7" t="s">
        <v>1430</v>
      </c>
      <c r="E527" s="6" t="s">
        <v>123</v>
      </c>
      <c r="F527" s="6" t="s">
        <v>7923</v>
      </c>
      <c r="G527" s="8">
        <v>45732</v>
      </c>
      <c r="H527" s="6">
        <v>1.63</v>
      </c>
      <c r="I527" s="6" cm="1">
        <f t="array" ref="I527">IFERROR(VALUE(TRIM(LEFT(E527,MIN(FIND({" ";"g";"k";"m";"o"},E527&amp;" gkmo"))-1))),0)</f>
        <v>50</v>
      </c>
      <c r="J527" s="6" t="str" cm="1">
        <f t="array" ref="J527">IFERROR(TRIM(MID(E527,MIN(FIND({" ";"g";"k";"m";"o"},E527&amp;" gkmo")),10)),"unknown")</f>
        <v>g</v>
      </c>
      <c r="K527" s="6" t="str">
        <f t="shared" si="32"/>
        <v>g</v>
      </c>
      <c r="L527" s="6" t="str">
        <f t="shared" si="33"/>
        <v>Deliciously Ella</v>
      </c>
      <c r="M527" s="6" t="str">
        <f t="shared" si="34"/>
        <v>Peanut Butter Oat Bar</v>
      </c>
      <c r="N527" s="6" t="str">
        <f t="shared" si="35"/>
        <v>France, United Kingdom, Ireland</v>
      </c>
    </row>
    <row r="528" spans="1:14" x14ac:dyDescent="0.25">
      <c r="A528" s="6" t="s">
        <v>1431</v>
      </c>
      <c r="B528" s="6">
        <v>12016</v>
      </c>
      <c r="C528" s="6" t="s">
        <v>1432</v>
      </c>
      <c r="D528" s="7" t="s">
        <v>660</v>
      </c>
      <c r="E528" s="6"/>
      <c r="F528" s="6" t="s">
        <v>400</v>
      </c>
      <c r="G528" s="8">
        <v>45611</v>
      </c>
      <c r="H528" s="6">
        <v>16.420000000000002</v>
      </c>
      <c r="I528" s="6" cm="1">
        <f t="array" ref="I528">IFERROR(VALUE(TRIM(LEFT(E528,MIN(FIND({" ";"g";"k";"m";"o"},E528&amp;" gkmo"))-1))),0)</f>
        <v>0</v>
      </c>
      <c r="J528" s="6" t="str" cm="1">
        <f t="array" ref="J528">IFERROR(TRIM(MID(E528,MIN(FIND({" ";"g";"k";"m";"o"},E528&amp;" gkmo")),10)),"unknown")</f>
        <v/>
      </c>
      <c r="K528" s="6" t="str">
        <f t="shared" si="32"/>
        <v>unknown</v>
      </c>
      <c r="L528" s="6" t="str">
        <f t="shared" si="33"/>
        <v>Montezuma'S</v>
      </c>
      <c r="M528" s="6" t="str">
        <f t="shared" si="34"/>
        <v>Black Forest Cherry Dark Chocolate</v>
      </c>
      <c r="N528" s="6" t="str">
        <f t="shared" si="35"/>
        <v>France,United Kingdom</v>
      </c>
    </row>
    <row r="529" spans="1:14" x14ac:dyDescent="0.25">
      <c r="A529" s="6" t="s">
        <v>1433</v>
      </c>
      <c r="B529" s="6">
        <v>8459</v>
      </c>
      <c r="C529" s="6" t="s">
        <v>7622</v>
      </c>
      <c r="D529" s="7" t="s">
        <v>1434</v>
      </c>
      <c r="E529" s="6" t="s">
        <v>621</v>
      </c>
      <c r="F529" s="6" t="s">
        <v>139</v>
      </c>
      <c r="G529" s="8">
        <v>45750</v>
      </c>
      <c r="H529" s="6">
        <v>23.6</v>
      </c>
      <c r="I529" s="6" cm="1">
        <f t="array" ref="I529">IFERROR(VALUE(TRIM(LEFT(E529,MIN(FIND({" ";"g";"k";"m";"o"},E529&amp;" gkmo"))-1))),0)</f>
        <v>160</v>
      </c>
      <c r="J529" s="6" t="str" cm="1">
        <f t="array" ref="J529">IFERROR(TRIM(MID(E529,MIN(FIND({" ";"g";"k";"m";"o"},E529&amp;" gkmo")),10)),"unknown")</f>
        <v>g</v>
      </c>
      <c r="K529" s="6" t="str">
        <f t="shared" si="32"/>
        <v>g</v>
      </c>
      <c r="L529" s="6" t="str">
        <f t="shared" si="33"/>
        <v>Doritos</v>
      </c>
      <c r="M529" s="6" t="str">
        <f t="shared" si="34"/>
        <v>Doritos Goà»T Nature</v>
      </c>
      <c r="N529" s="6" t="str">
        <f t="shared" si="35"/>
        <v>France</v>
      </c>
    </row>
    <row r="530" spans="1:14" x14ac:dyDescent="0.25">
      <c r="A530" s="6" t="s">
        <v>1435</v>
      </c>
      <c r="B530" s="6">
        <v>5722</v>
      </c>
      <c r="C530" s="6" t="s">
        <v>1436</v>
      </c>
      <c r="D530" s="7" t="s">
        <v>1437</v>
      </c>
      <c r="E530" s="6" t="s">
        <v>151</v>
      </c>
      <c r="F530" s="6" t="s">
        <v>225</v>
      </c>
      <c r="G530" s="8">
        <v>45572</v>
      </c>
      <c r="H530" s="6">
        <v>13.39</v>
      </c>
      <c r="I530" s="6" cm="1">
        <f t="array" ref="I530">IFERROR(VALUE(TRIM(LEFT(E530,MIN(FIND({" ";"g";"k";"m";"o"},E530&amp;" gkmo"))-1))),0)</f>
        <v>200</v>
      </c>
      <c r="J530" s="6" t="str" cm="1">
        <f t="array" ref="J530">IFERROR(TRIM(MID(E530,MIN(FIND({" ";"g";"k";"m";"o"},E530&amp;" gkmo")),10)),"unknown")</f>
        <v>g</v>
      </c>
      <c r="K530" s="6" t="str">
        <f t="shared" si="32"/>
        <v>g</v>
      </c>
      <c r="L530" s="6" t="str">
        <f t="shared" si="33"/>
        <v>Dr. Oetker, Ancel</v>
      </c>
      <c r="M530" s="6" t="str">
        <f t="shared" si="34"/>
        <v>Bretzels D'Alsace Maxi</v>
      </c>
      <c r="N530" s="6" t="str">
        <f t="shared" si="35"/>
        <v>France,Guadeloupe</v>
      </c>
    </row>
    <row r="531" spans="1:14" x14ac:dyDescent="0.25">
      <c r="A531" s="6" t="s">
        <v>1438</v>
      </c>
      <c r="B531" s="6">
        <v>12039</v>
      </c>
      <c r="C531" s="6" t="s">
        <v>1439</v>
      </c>
      <c r="D531" s="7" t="s">
        <v>1440</v>
      </c>
      <c r="E531" s="6" t="s">
        <v>1441</v>
      </c>
      <c r="F531" s="6" t="s">
        <v>7926</v>
      </c>
      <c r="G531" s="8">
        <v>45757</v>
      </c>
      <c r="H531" s="6">
        <v>7.11</v>
      </c>
      <c r="I531" s="6" cm="1">
        <f t="array" ref="I531">IFERROR(VALUE(TRIM(LEFT(E531,MIN(FIND({" ";"g";"k";"m";"o"},E531&amp;" gkmo"))-1))),0)</f>
        <v>0</v>
      </c>
      <c r="J531" s="6" t="str" cm="1">
        <f t="array" ref="J531">IFERROR(TRIM(MID(E531,MIN(FIND({" ";"g";"k";"m";"o"},E531&amp;" gkmo")),10)),"unknown")</f>
        <v>g</v>
      </c>
      <c r="K531" s="6" t="str">
        <f t="shared" si="32"/>
        <v>g</v>
      </c>
      <c r="L531" s="6" t="str">
        <f t="shared" si="33"/>
        <v>Bear</v>
      </c>
      <c r="M531" s="6" t="str">
        <f t="shared" si="34"/>
        <v>Yoyos Strawberry Multipack 5 X</v>
      </c>
      <c r="N531" s="6" t="str">
        <f t="shared" si="35"/>
        <v>France, United-Kingdom</v>
      </c>
    </row>
    <row r="532" spans="1:14" x14ac:dyDescent="0.25">
      <c r="A532" s="6" t="s">
        <v>1442</v>
      </c>
      <c r="B532" s="6">
        <v>10645</v>
      </c>
      <c r="C532" s="6" t="s">
        <v>1443</v>
      </c>
      <c r="D532" s="7" t="s">
        <v>47</v>
      </c>
      <c r="E532" s="6"/>
      <c r="F532" s="6" t="s">
        <v>48</v>
      </c>
      <c r="G532" s="8">
        <v>45652</v>
      </c>
      <c r="H532" s="6">
        <v>14.29</v>
      </c>
      <c r="I532" s="6" cm="1">
        <f t="array" ref="I532">IFERROR(VALUE(TRIM(LEFT(E532,MIN(FIND({" ";"g";"k";"m";"o"},E532&amp;" gkmo"))-1))),0)</f>
        <v>0</v>
      </c>
      <c r="J532" s="6" t="str" cm="1">
        <f t="array" ref="J532">IFERROR(TRIM(MID(E532,MIN(FIND({" ";"g";"k";"m";"o"},E532&amp;" gkmo")),10)),"unknown")</f>
        <v/>
      </c>
      <c r="K532" s="6" t="str">
        <f t="shared" si="32"/>
        <v>unknown</v>
      </c>
      <c r="L532" s="6" t="str">
        <f t="shared" si="33"/>
        <v>Excelo</v>
      </c>
      <c r="M532" s="6" t="str">
        <f t="shared" si="34"/>
        <v>Capri Vanille</v>
      </c>
      <c r="N532" s="6" t="str">
        <f t="shared" si="35"/>
        <v>Morocco</v>
      </c>
    </row>
    <row r="533" spans="1:14" x14ac:dyDescent="0.25">
      <c r="A533" s="6" t="s">
        <v>1444</v>
      </c>
      <c r="B533" s="6">
        <v>12127</v>
      </c>
      <c r="C533" s="6" t="s">
        <v>7623</v>
      </c>
      <c r="D533" s="7" t="s">
        <v>13</v>
      </c>
      <c r="E533" s="6"/>
      <c r="F533" s="6" t="s">
        <v>1445</v>
      </c>
      <c r="G533" s="8">
        <v>45736</v>
      </c>
      <c r="H533" s="6">
        <v>24.28</v>
      </c>
      <c r="I533" s="6" cm="1">
        <f t="array" ref="I533">IFERROR(VALUE(TRIM(LEFT(E533,MIN(FIND({" ";"g";"k";"m";"o"},E533&amp;" gkmo"))-1))),0)</f>
        <v>0</v>
      </c>
      <c r="J533" s="6" t="str" cm="1">
        <f t="array" ref="J533">IFERROR(TRIM(MID(E533,MIN(FIND({" ";"g";"k";"m";"o"},E533&amp;" gkmo")),10)),"unknown")</f>
        <v/>
      </c>
      <c r="K533" s="6" t="str">
        <f t="shared" si="32"/>
        <v>unknown</v>
      </c>
      <c r="L533" s="6" t="str">
        <f t="shared" si="33"/>
        <v>Lu</v>
      </c>
      <c r="M533" s="6" t="str">
        <f t="shared" si="34"/>
        <v>Prince - Goà»T Lait - Choco Au Blé Compet</v>
      </c>
      <c r="N533" s="6" t="str">
        <f t="shared" si="35"/>
        <v>Canada,France,Switzerland</v>
      </c>
    </row>
    <row r="534" spans="1:14" x14ac:dyDescent="0.25">
      <c r="A534" s="6" t="s">
        <v>1446</v>
      </c>
      <c r="B534" s="6">
        <v>6991</v>
      </c>
      <c r="C534" s="6" t="s">
        <v>1447</v>
      </c>
      <c r="D534" s="7" t="s">
        <v>47</v>
      </c>
      <c r="E534" s="6"/>
      <c r="F534" s="6" t="s">
        <v>7964</v>
      </c>
      <c r="G534" s="8">
        <v>45382</v>
      </c>
      <c r="H534" s="6">
        <v>13.16</v>
      </c>
      <c r="I534" s="6" cm="1">
        <f t="array" ref="I534">IFERROR(VALUE(TRIM(LEFT(E534,MIN(FIND({" ";"g";"k";"m";"o"},E534&amp;" gkmo"))-1))),0)</f>
        <v>0</v>
      </c>
      <c r="J534" s="6" t="str" cm="1">
        <f t="array" ref="J534">IFERROR(TRIM(MID(E534,MIN(FIND({" ";"g";"k";"m";"o"},E534&amp;" gkmo")),10)),"unknown")</f>
        <v/>
      </c>
      <c r="K534" s="6" t="str">
        <f t="shared" si="32"/>
        <v>unknown</v>
      </c>
      <c r="L534" s="6" t="str">
        <f t="shared" si="33"/>
        <v>Excelo</v>
      </c>
      <c r="M534" s="6" t="str">
        <f t="shared" si="34"/>
        <v>Chocup Milky</v>
      </c>
      <c r="N534" s="6" t="str">
        <f t="shared" si="35"/>
        <v>France, Morocco</v>
      </c>
    </row>
    <row r="535" spans="1:14" x14ac:dyDescent="0.25">
      <c r="A535" s="6" t="s">
        <v>1448</v>
      </c>
      <c r="B535" s="6">
        <v>6477</v>
      </c>
      <c r="C535" s="6" t="s">
        <v>1449</v>
      </c>
      <c r="D535" s="7" t="s">
        <v>60</v>
      </c>
      <c r="E535" s="6" t="s">
        <v>1312</v>
      </c>
      <c r="F535" s="6" t="s">
        <v>7624</v>
      </c>
      <c r="G535" s="8">
        <v>45528</v>
      </c>
      <c r="H535" s="6">
        <v>13.16</v>
      </c>
      <c r="I535" s="6" cm="1">
        <f t="array" ref="I535">IFERROR(VALUE(TRIM(LEFT(E535,MIN(FIND({" ";"g";"k";"m";"o"},E535&amp;" gkmo"))-1))),0)</f>
        <v>50</v>
      </c>
      <c r="J535" s="6" t="str" cm="1">
        <f t="array" ref="J535">IFERROR(TRIM(MID(E535,MIN(FIND({" ";"g";"k";"m";"o"},E535&amp;" gkmo")),10)),"unknown")</f>
        <v>g</v>
      </c>
      <c r="K535" s="6" t="str">
        <f t="shared" si="32"/>
        <v>g</v>
      </c>
      <c r="L535" s="6" t="str">
        <f t="shared" si="33"/>
        <v>Lindt</v>
      </c>
      <c r="M535" s="6" t="str">
        <f t="shared" si="34"/>
        <v>Lindt Excellence 100% Cocoa</v>
      </c>
      <c r="N535" s="6" t="str">
        <f t="shared" si="35"/>
        <v>À–Sterreich,Frankreich,Deutschland,Italien,Spanien</v>
      </c>
    </row>
    <row r="536" spans="1:14" x14ac:dyDescent="0.25">
      <c r="A536" s="6" t="s">
        <v>1450</v>
      </c>
      <c r="B536" s="6">
        <v>8805</v>
      </c>
      <c r="C536" s="6" t="s">
        <v>1451</v>
      </c>
      <c r="D536" s="7" t="s">
        <v>7017</v>
      </c>
      <c r="E536" s="6" t="s">
        <v>84</v>
      </c>
      <c r="F536" s="6" t="s">
        <v>177</v>
      </c>
      <c r="G536" s="8">
        <v>45444</v>
      </c>
      <c r="H536" s="6">
        <v>19.13</v>
      </c>
      <c r="I536" s="6" cm="1">
        <f t="array" ref="I536">IFERROR(VALUE(TRIM(LEFT(E536,MIN(FIND({" ";"g";"k";"m";"o"},E536&amp;" gkmo"))-1))),0)</f>
        <v>85</v>
      </c>
      <c r="J536" s="6" t="str" cm="1">
        <f t="array" ref="J536">IFERROR(TRIM(MID(E536,MIN(FIND({" ";"g";"k";"m";"o"},E536&amp;" gkmo")),10)),"unknown")</f>
        <v>g</v>
      </c>
      <c r="K536" s="6" t="str">
        <f t="shared" si="32"/>
        <v>g</v>
      </c>
      <c r="L536" s="6" t="str">
        <f t="shared" si="33"/>
        <v>Unknown</v>
      </c>
      <c r="M536" s="6" t="str">
        <f t="shared" si="34"/>
        <v>Salt &amp; Vinegar Lentil Chips</v>
      </c>
      <c r="N536" s="6" t="str">
        <f t="shared" si="35"/>
        <v>United Kingdom</v>
      </c>
    </row>
    <row r="537" spans="1:14" x14ac:dyDescent="0.25">
      <c r="A537" s="6" t="s">
        <v>1452</v>
      </c>
      <c r="B537" s="6">
        <v>5378</v>
      </c>
      <c r="C537" s="6" t="s">
        <v>7110</v>
      </c>
      <c r="D537" s="7" t="s">
        <v>7111</v>
      </c>
      <c r="E537" s="6" t="s">
        <v>14</v>
      </c>
      <c r="F537" s="6" t="s">
        <v>139</v>
      </c>
      <c r="G537" s="8">
        <v>45599</v>
      </c>
      <c r="H537" s="6">
        <v>1.91</v>
      </c>
      <c r="I537" s="6" cm="1">
        <f t="array" ref="I537">IFERROR(VALUE(TRIM(LEFT(E537,MIN(FIND({" ";"g";"k";"m";"o"},E537&amp;" gkmo"))-1))),0)</f>
        <v>300</v>
      </c>
      <c r="J537" s="6" t="str" cm="1">
        <f t="array" ref="J537">IFERROR(TRIM(MID(E537,MIN(FIND({" ";"g";"k";"m";"o"},E537&amp;" gkmo")),10)),"unknown")</f>
        <v>g</v>
      </c>
      <c r="K537" s="6" t="str">
        <f t="shared" si="32"/>
        <v>g</v>
      </c>
      <c r="L537" s="6" t="str">
        <f t="shared" si="33"/>
        <v>Jardin Bio, Jardin Bio Étic Léa Nature</v>
      </c>
      <c r="M537" s="6" t="str">
        <f t="shared" si="34"/>
        <v>Fourrés Chocolatðÿ«</v>
      </c>
      <c r="N537" s="6" t="str">
        <f t="shared" si="35"/>
        <v>France</v>
      </c>
    </row>
    <row r="538" spans="1:14" x14ac:dyDescent="0.25">
      <c r="A538" s="6" t="s">
        <v>1453</v>
      </c>
      <c r="B538" s="6">
        <v>8282</v>
      </c>
      <c r="C538" s="6" t="s">
        <v>1454</v>
      </c>
      <c r="D538" s="7" t="s">
        <v>1455</v>
      </c>
      <c r="E538" s="6" t="s">
        <v>528</v>
      </c>
      <c r="F538" s="6" t="s">
        <v>1456</v>
      </c>
      <c r="G538" s="8">
        <v>45511</v>
      </c>
      <c r="H538" s="6">
        <v>23.79</v>
      </c>
      <c r="I538" s="6" cm="1">
        <f t="array" ref="I538">IFERROR(VALUE(TRIM(LEFT(E538,MIN(FIND({" ";"g";"k";"m";"o"},E538&amp;" gkmo"))-1))),0)</f>
        <v>200</v>
      </c>
      <c r="J538" s="6" t="str" cm="1">
        <f t="array" ref="J538">IFERROR(TRIM(MID(E538,MIN(FIND({" ";"g";"k";"m";"o"},E538&amp;" gkmo")),10)),"unknown")</f>
        <v>g</v>
      </c>
      <c r="K538" s="6" t="str">
        <f t="shared" si="32"/>
        <v>g</v>
      </c>
      <c r="L538" s="6" t="str">
        <f t="shared" si="33"/>
        <v>Trader Giotto'S</v>
      </c>
      <c r="M538" s="6" t="str">
        <f t="shared" si="34"/>
        <v>Fettuccine Alfrado</v>
      </c>
      <c r="N538" s="6" t="str">
        <f t="shared" si="35"/>
        <v>France,United Kingdom,United States</v>
      </c>
    </row>
    <row r="539" spans="1:14" x14ac:dyDescent="0.25">
      <c r="A539" s="6" t="s">
        <v>1457</v>
      </c>
      <c r="B539" s="6">
        <v>7294</v>
      </c>
      <c r="C539" s="6" t="s">
        <v>1458</v>
      </c>
      <c r="D539" s="7" t="s">
        <v>7033</v>
      </c>
      <c r="E539" s="6" t="s">
        <v>1459</v>
      </c>
      <c r="F539" s="6" t="s">
        <v>557</v>
      </c>
      <c r="G539" s="8">
        <v>45996</v>
      </c>
      <c r="H539" s="6">
        <v>21.84</v>
      </c>
      <c r="I539" s="6" cm="1">
        <f t="array" ref="I539">IFERROR(VALUE(TRIM(LEFT(E539,MIN(FIND({" ";"g";"k";"m";"o"},E539&amp;" gkmo"))-1))),0)</f>
        <v>6</v>
      </c>
      <c r="J539" s="6" t="str" cm="1">
        <f t="array" ref="J539">IFERROR(TRIM(MID(E539,MIN(FIND({" ";"g";"k";"m";"o"},E539&amp;" gkmo")),10)),"unknown")</f>
        <v>x 60 g</v>
      </c>
      <c r="K539" s="6" t="str">
        <f t="shared" si="32"/>
        <v>g</v>
      </c>
      <c r="L539" s="6" t="str">
        <f t="shared" si="33"/>
        <v>Nestlé</v>
      </c>
      <c r="M539" s="6" t="str">
        <f t="shared" si="34"/>
        <v>Petit Nesquik</v>
      </c>
      <c r="N539" s="6" t="str">
        <f t="shared" si="35"/>
        <v>Belgium,France,Switzerland</v>
      </c>
    </row>
    <row r="540" spans="1:14" x14ac:dyDescent="0.25">
      <c r="A540" s="6" t="s">
        <v>1460</v>
      </c>
      <c r="B540" s="6">
        <v>14679</v>
      </c>
      <c r="C540" s="6" t="s">
        <v>7625</v>
      </c>
      <c r="D540" s="7" t="s">
        <v>7017</v>
      </c>
      <c r="E540" s="6" t="s">
        <v>423</v>
      </c>
      <c r="F540" s="6" t="s">
        <v>1181</v>
      </c>
      <c r="G540" s="8">
        <v>45525</v>
      </c>
      <c r="H540" s="6">
        <v>20.74</v>
      </c>
      <c r="I540" s="6" cm="1">
        <f t="array" ref="I540">IFERROR(VALUE(TRIM(LEFT(E540,MIN(FIND({" ";"g";"k";"m";"o"},E540&amp;" gkmo"))-1))),0)</f>
        <v>125</v>
      </c>
      <c r="J540" s="6" t="str" cm="1">
        <f t="array" ref="J540">IFERROR(TRIM(MID(E540,MIN(FIND({" ";"g";"k";"m";"o"},E540&amp;" gkmo")),10)),"unknown")</f>
        <v>g</v>
      </c>
      <c r="K540" s="6" t="str">
        <f t="shared" si="32"/>
        <v>g</v>
      </c>
      <c r="L540" s="6" t="str">
        <f t="shared" si="33"/>
        <v>Unknown</v>
      </c>
      <c r="M540" s="6" t="str">
        <f t="shared" si="34"/>
        <v>Cràªpes Dentelle - L'Authentique</v>
      </c>
      <c r="N540" s="6" t="str">
        <f t="shared" si="35"/>
        <v>France,Switzerland</v>
      </c>
    </row>
    <row r="541" spans="1:14" x14ac:dyDescent="0.25">
      <c r="A541" s="6" t="s">
        <v>1461</v>
      </c>
      <c r="B541" s="6">
        <v>11573</v>
      </c>
      <c r="C541" s="6" t="s">
        <v>1204</v>
      </c>
      <c r="D541" s="7" t="s">
        <v>248</v>
      </c>
      <c r="E541" s="6"/>
      <c r="F541" s="6" t="s">
        <v>7920</v>
      </c>
      <c r="G541" s="8">
        <v>45369</v>
      </c>
      <c r="H541" s="6">
        <v>19.149999999999999</v>
      </c>
      <c r="I541" s="6" cm="1">
        <f t="array" ref="I541">IFERROR(VALUE(TRIM(LEFT(E541,MIN(FIND({" ";"g";"k";"m";"o"},E541&amp;" gkmo"))-1))),0)</f>
        <v>0</v>
      </c>
      <c r="J541" s="6" t="str" cm="1">
        <f t="array" ref="J541">IFERROR(TRIM(MID(E541,MIN(FIND({" ";"g";"k";"m";"o"},E541&amp;" gkmo")),10)),"unknown")</f>
        <v/>
      </c>
      <c r="K541" s="6" t="str">
        <f t="shared" si="32"/>
        <v>unknown</v>
      </c>
      <c r="L541" s="6" t="str">
        <f t="shared" si="33"/>
        <v>Tesco</v>
      </c>
      <c r="M541" s="6" t="str">
        <f t="shared" si="34"/>
        <v>Scottish Rough Oatcakes</v>
      </c>
      <c r="N541" s="6" t="str">
        <f t="shared" si="35"/>
        <v>United Kingdom, Ireland</v>
      </c>
    </row>
    <row r="542" spans="1:14" x14ac:dyDescent="0.25">
      <c r="A542" s="6" t="s">
        <v>1462</v>
      </c>
      <c r="B542" s="6">
        <v>11080</v>
      </c>
      <c r="C542" s="6" t="s">
        <v>7464</v>
      </c>
      <c r="D542" s="7" t="s">
        <v>1084</v>
      </c>
      <c r="E542" s="6" t="s">
        <v>1463</v>
      </c>
      <c r="F542" s="6" t="s">
        <v>213</v>
      </c>
      <c r="G542" s="8">
        <v>45580</v>
      </c>
      <c r="H542" s="6">
        <v>6.77</v>
      </c>
      <c r="I542" s="6" cm="1">
        <f t="array" ref="I542">IFERROR(VALUE(TRIM(LEFT(E542,MIN(FIND({" ";"g";"k";"m";"o"},E542&amp;" gkmo"))-1))),0)</f>
        <v>315</v>
      </c>
      <c r="J542" s="6" t="str" cm="1">
        <f t="array" ref="J542">IFERROR(TRIM(MID(E542,MIN(FIND({" ";"g";"k";"m";"o"},E542&amp;" gkmo")),10)),"unknown")</f>
        <v>g</v>
      </c>
      <c r="K542" s="6" t="str">
        <f t="shared" si="32"/>
        <v>g</v>
      </c>
      <c r="L542" s="6" t="str">
        <f t="shared" si="33"/>
        <v>Lotus</v>
      </c>
      <c r="M542" s="6" t="str">
        <f t="shared" si="34"/>
        <v>Gaufre De Liège - Perles De Sucre</v>
      </c>
      <c r="N542" s="6" t="str">
        <f t="shared" si="35"/>
        <v>Belgium,France</v>
      </c>
    </row>
    <row r="543" spans="1:14" x14ac:dyDescent="0.25">
      <c r="A543" s="6" t="s">
        <v>1464</v>
      </c>
      <c r="B543" s="6">
        <v>10403</v>
      </c>
      <c r="C543" s="6" t="s">
        <v>1465</v>
      </c>
      <c r="D543" s="7" t="s">
        <v>7626</v>
      </c>
      <c r="E543" s="6" t="s">
        <v>1466</v>
      </c>
      <c r="F543" s="6" t="s">
        <v>139</v>
      </c>
      <c r="G543" s="8">
        <v>45572</v>
      </c>
      <c r="H543" s="6">
        <v>16.309999999999999</v>
      </c>
      <c r="I543" s="6" cm="1">
        <f t="array" ref="I543">IFERROR(VALUE(TRIM(LEFT(E543,MIN(FIND({" ";"g";"k";"m";"o"},E543&amp;" gkmo"))-1))),0)</f>
        <v>300</v>
      </c>
      <c r="J543" s="6" t="str" cm="1">
        <f t="array" ref="J543">IFERROR(TRIM(MID(E543,MIN(FIND({" ";"g";"k";"m";"o"},E543&amp;" gkmo")),10)),"unknown")</f>
        <v>g (3 * 10</v>
      </c>
      <c r="K543" s="6" t="str">
        <f t="shared" si="32"/>
        <v>g</v>
      </c>
      <c r="L543" s="6" t="str">
        <f t="shared" si="33"/>
        <v>Cà´Té D'Or, Mondelez</v>
      </c>
      <c r="M543" s="6" t="str">
        <f t="shared" si="34"/>
        <v>L'Original Noir</v>
      </c>
      <c r="N543" s="6" t="str">
        <f t="shared" si="35"/>
        <v>France</v>
      </c>
    </row>
    <row r="544" spans="1:14" x14ac:dyDescent="0.25">
      <c r="A544" s="6" t="s">
        <v>1467</v>
      </c>
      <c r="B544" s="6">
        <v>12355</v>
      </c>
      <c r="C544" s="6" t="s">
        <v>1468</v>
      </c>
      <c r="D544" s="7" t="s">
        <v>1430</v>
      </c>
      <c r="E544" s="6" t="s">
        <v>123</v>
      </c>
      <c r="F544" s="6" t="s">
        <v>400</v>
      </c>
      <c r="G544" s="8">
        <v>45599</v>
      </c>
      <c r="H544" s="6">
        <v>14.36</v>
      </c>
      <c r="I544" s="6" cm="1">
        <f t="array" ref="I544">IFERROR(VALUE(TRIM(LEFT(E544,MIN(FIND({" ";"g";"k";"m";"o"},E544&amp;" gkmo"))-1))),0)</f>
        <v>50</v>
      </c>
      <c r="J544" s="6" t="str" cm="1">
        <f t="array" ref="J544">IFERROR(TRIM(MID(E544,MIN(FIND({" ";"g";"k";"m";"o"},E544&amp;" gkmo")),10)),"unknown")</f>
        <v>g</v>
      </c>
      <c r="K544" s="6" t="str">
        <f t="shared" si="32"/>
        <v>g</v>
      </c>
      <c r="L544" s="6" t="str">
        <f t="shared" si="33"/>
        <v>Deliciously Ella</v>
      </c>
      <c r="M544" s="6" t="str">
        <f t="shared" si="34"/>
        <v>Apple &amp; Raisin Oat Bar</v>
      </c>
      <c r="N544" s="6" t="str">
        <f t="shared" si="35"/>
        <v>France,United Kingdom</v>
      </c>
    </row>
    <row r="545" spans="1:14" x14ac:dyDescent="0.25">
      <c r="A545" s="6" t="s">
        <v>1469</v>
      </c>
      <c r="B545" s="6">
        <v>8108</v>
      </c>
      <c r="C545" s="6" t="s">
        <v>1470</v>
      </c>
      <c r="D545" s="7" t="s">
        <v>306</v>
      </c>
      <c r="E545" s="6" t="s">
        <v>14</v>
      </c>
      <c r="F545" s="6" t="s">
        <v>8465</v>
      </c>
      <c r="G545" s="8">
        <v>45661</v>
      </c>
      <c r="H545" s="6">
        <v>20.57</v>
      </c>
      <c r="I545" s="6" cm="1">
        <f t="array" ref="I545">IFERROR(VALUE(TRIM(LEFT(E545,MIN(FIND({" ";"g";"k";"m";"o"},E545&amp;" gkmo"))-1))),0)</f>
        <v>300</v>
      </c>
      <c r="J545" s="6" t="str" cm="1">
        <f t="array" ref="J545">IFERROR(TRIM(MID(E545,MIN(FIND({" ";"g";"k";"m";"o"},E545&amp;" gkmo")),10)),"unknown")</f>
        <v>g</v>
      </c>
      <c r="K545" s="6" t="str">
        <f t="shared" si="32"/>
        <v>g</v>
      </c>
      <c r="L545" s="6" t="str">
        <f t="shared" si="33"/>
        <v>Lu</v>
      </c>
      <c r="M545" s="6" t="str">
        <f t="shared" si="34"/>
        <v>Prince Petit Dej</v>
      </c>
      <c r="N545" s="6" t="str">
        <f t="shared" si="35"/>
        <v>Belgium,France,La Reunion,États-Unis</v>
      </c>
    </row>
    <row r="546" spans="1:14" x14ac:dyDescent="0.25">
      <c r="A546" s="6" t="s">
        <v>1471</v>
      </c>
      <c r="B546" s="6">
        <v>8232</v>
      </c>
      <c r="C546" s="6" t="s">
        <v>7627</v>
      </c>
      <c r="D546" s="7" t="s">
        <v>7017</v>
      </c>
      <c r="E546" s="6" t="s">
        <v>1472</v>
      </c>
      <c r="F546" s="6" t="s">
        <v>139</v>
      </c>
      <c r="G546" s="8">
        <v>45715</v>
      </c>
      <c r="H546" s="6">
        <v>14.79</v>
      </c>
      <c r="I546" s="6" cm="1">
        <f t="array" ref="I546">IFERROR(VALUE(TRIM(LEFT(E546,MIN(FIND({" ";"g";"k";"m";"o"},E546&amp;" gkmo"))-1))),0)</f>
        <v>200</v>
      </c>
      <c r="J546" s="6" t="str" cm="1">
        <f t="array" ref="J546">IFERROR(TRIM(MID(E546,MIN(FIND({" ";"g";"k";"m";"o"},E546&amp;" gkmo")),10)),"unknown")</f>
        <v>ml</v>
      </c>
      <c r="K546" s="6" t="str">
        <f t="shared" si="32"/>
        <v>ml</v>
      </c>
      <c r="L546" s="6" t="str">
        <f t="shared" si="33"/>
        <v>Unknown</v>
      </c>
      <c r="M546" s="6" t="str">
        <f t="shared" si="34"/>
        <v>Arà´Me Vanille</v>
      </c>
      <c r="N546" s="6" t="str">
        <f t="shared" si="35"/>
        <v>France</v>
      </c>
    </row>
    <row r="547" spans="1:14" x14ac:dyDescent="0.25">
      <c r="A547" s="6" t="s">
        <v>1473</v>
      </c>
      <c r="B547" s="6">
        <v>12779</v>
      </c>
      <c r="C547" s="6" t="s">
        <v>1474</v>
      </c>
      <c r="D547" s="7" t="s">
        <v>7017</v>
      </c>
      <c r="E547" s="6" t="s">
        <v>1475</v>
      </c>
      <c r="F547" s="6" t="s">
        <v>213</v>
      </c>
      <c r="G547" s="8">
        <v>46003</v>
      </c>
      <c r="H547" s="6">
        <v>1.4</v>
      </c>
      <c r="I547" s="6" cm="1">
        <f t="array" ref="I547">IFERROR(VALUE(TRIM(LEFT(E547,MIN(FIND({" ";"g";"k";"m";"o"},E547&amp;" gkmo"))-1))),0)</f>
        <v>112</v>
      </c>
      <c r="J547" s="6" t="str" cm="1">
        <f t="array" ref="J547">IFERROR(TRIM(MID(E547,MIN(FIND({" ";"g";"k";"m";"o"},E547&amp;" gkmo")),10)),"unknown")</f>
        <v>g</v>
      </c>
      <c r="K547" s="6" t="str">
        <f t="shared" si="32"/>
        <v>g</v>
      </c>
      <c r="L547" s="6" t="str">
        <f t="shared" si="33"/>
        <v>Unknown</v>
      </c>
      <c r="M547" s="6" t="str">
        <f t="shared" si="34"/>
        <v>Special K High Protein</v>
      </c>
      <c r="N547" s="6" t="str">
        <f t="shared" si="35"/>
        <v>Belgium,France</v>
      </c>
    </row>
    <row r="548" spans="1:14" x14ac:dyDescent="0.25">
      <c r="A548" s="6" t="s">
        <v>1476</v>
      </c>
      <c r="B548" s="6">
        <v>7112</v>
      </c>
      <c r="C548" s="6" t="s">
        <v>1477</v>
      </c>
      <c r="D548" s="7" t="s">
        <v>112</v>
      </c>
      <c r="E548" s="6" t="s">
        <v>262</v>
      </c>
      <c r="F548" s="6" t="s">
        <v>7965</v>
      </c>
      <c r="G548" s="8">
        <v>45517</v>
      </c>
      <c r="H548" s="6">
        <v>12.33</v>
      </c>
      <c r="I548" s="6" cm="1">
        <f t="array" ref="I548">IFERROR(VALUE(TRIM(LEFT(E548,MIN(FIND({" ";"g";"k";"m";"o"},E548&amp;" gkmo"))-1))),0)</f>
        <v>165</v>
      </c>
      <c r="J548" s="6" t="str" cm="1">
        <f t="array" ref="J548">IFERROR(TRIM(MID(E548,MIN(FIND({" ";"g";"k";"m";"o"},E548&amp;" gkmo")),10)),"unknown")</f>
        <v>g</v>
      </c>
      <c r="K548" s="6" t="str">
        <f t="shared" si="32"/>
        <v>g</v>
      </c>
      <c r="L548" s="6" t="str">
        <f t="shared" si="33"/>
        <v>Pringles</v>
      </c>
      <c r="M548" s="6" t="str">
        <f t="shared" si="34"/>
        <v>Pringles Caè™Caval</v>
      </c>
      <c r="N548" s="6" t="str">
        <f t="shared" si="35"/>
        <v>Hungary, Morocco, Romania, Russia, Spain, Ukraine</v>
      </c>
    </row>
    <row r="549" spans="1:14" x14ac:dyDescent="0.25">
      <c r="A549" s="6" t="s">
        <v>1478</v>
      </c>
      <c r="B549" s="6">
        <v>8125</v>
      </c>
      <c r="C549" s="6" t="s">
        <v>1479</v>
      </c>
      <c r="D549" s="7" t="s">
        <v>1348</v>
      </c>
      <c r="E549" s="6" t="s">
        <v>284</v>
      </c>
      <c r="F549" s="6" t="s">
        <v>1456</v>
      </c>
      <c r="G549" s="8">
        <v>45651</v>
      </c>
      <c r="H549" s="6">
        <v>21.58</v>
      </c>
      <c r="I549" s="6" cm="1">
        <f t="array" ref="I549">IFERROR(VALUE(TRIM(LEFT(E549,MIN(FIND({" ";"g";"k";"m";"o"},E549&amp;" gkmo"))-1))),0)</f>
        <v>180</v>
      </c>
      <c r="J549" s="6" t="str" cm="1">
        <f t="array" ref="J549">IFERROR(TRIM(MID(E549,MIN(FIND({" ";"g";"k";"m";"o"},E549&amp;" gkmo")),10)),"unknown")</f>
        <v>g</v>
      </c>
      <c r="K549" s="6" t="str">
        <f t="shared" si="32"/>
        <v>g</v>
      </c>
      <c r="L549" s="6" t="str">
        <f t="shared" si="33"/>
        <v>Cadbury</v>
      </c>
      <c r="M549" s="6" t="str">
        <f t="shared" si="34"/>
        <v>Bournville Dark Chocolate Bar</v>
      </c>
      <c r="N549" s="6" t="str">
        <f t="shared" si="35"/>
        <v>France,United Kingdom,United States</v>
      </c>
    </row>
    <row r="550" spans="1:14" x14ac:dyDescent="0.25">
      <c r="A550" s="6" t="s">
        <v>1480</v>
      </c>
      <c r="B550" s="6">
        <v>10648</v>
      </c>
      <c r="C550" s="6" t="s">
        <v>1481</v>
      </c>
      <c r="D550" s="7" t="s">
        <v>1482</v>
      </c>
      <c r="E550" s="6"/>
      <c r="F550" s="6" t="s">
        <v>400</v>
      </c>
      <c r="G550" s="8">
        <v>46054</v>
      </c>
      <c r="H550" s="6">
        <v>20.37</v>
      </c>
      <c r="I550" s="6" cm="1">
        <f t="array" ref="I550">IFERROR(VALUE(TRIM(LEFT(E550,MIN(FIND({" ";"g";"k";"m";"o"},E550&amp;" gkmo"))-1))),0)</f>
        <v>0</v>
      </c>
      <c r="J550" s="6" t="str" cm="1">
        <f t="array" ref="J550">IFERROR(TRIM(MID(E550,MIN(FIND({" ";"g";"k";"m";"o"},E550&amp;" gkmo")),10)),"unknown")</f>
        <v/>
      </c>
      <c r="K550" s="6" t="str">
        <f t="shared" si="32"/>
        <v>unknown</v>
      </c>
      <c r="L550" s="6" t="str">
        <f t="shared" si="33"/>
        <v>The Snack Organisation</v>
      </c>
      <c r="M550" s="6" t="str">
        <f t="shared" si="34"/>
        <v>Sweet Chilli Rice Crackers</v>
      </c>
      <c r="N550" s="6" t="str">
        <f t="shared" si="35"/>
        <v>France,United Kingdom</v>
      </c>
    </row>
    <row r="551" spans="1:14" x14ac:dyDescent="0.25">
      <c r="A551" s="6" t="s">
        <v>1483</v>
      </c>
      <c r="B551" s="6">
        <v>8806</v>
      </c>
      <c r="C551" s="6" t="s">
        <v>1484</v>
      </c>
      <c r="D551" s="7" t="s">
        <v>1485</v>
      </c>
      <c r="E551" s="6"/>
      <c r="F551" s="6" t="s">
        <v>7966</v>
      </c>
      <c r="G551" s="8">
        <v>45531</v>
      </c>
      <c r="H551" s="6">
        <v>11.83</v>
      </c>
      <c r="I551" s="6" cm="1">
        <f t="array" ref="I551">IFERROR(VALUE(TRIM(LEFT(E551,MIN(FIND({" ";"g";"k";"m";"o"},E551&amp;" gkmo"))-1))),0)</f>
        <v>0</v>
      </c>
      <c r="J551" s="6" t="str" cm="1">
        <f t="array" ref="J551">IFERROR(TRIM(MID(E551,MIN(FIND({" ";"g";"k";"m";"o"},E551&amp;" gkmo")),10)),"unknown")</f>
        <v/>
      </c>
      <c r="K551" s="6" t="str">
        <f t="shared" si="32"/>
        <v>unknown</v>
      </c>
      <c r="L551" s="6" t="str">
        <f t="shared" si="33"/>
        <v>Terry'S</v>
      </c>
      <c r="M551" s="6" t="str">
        <f t="shared" si="34"/>
        <v>Chocolate Orange Milk</v>
      </c>
      <c r="N551" s="6" t="str">
        <f t="shared" si="35"/>
        <v>United Kingdom, United States, Romania</v>
      </c>
    </row>
    <row r="552" spans="1:14" x14ac:dyDescent="0.25">
      <c r="A552" s="6" t="s">
        <v>1486</v>
      </c>
      <c r="B552" s="6">
        <v>8152</v>
      </c>
      <c r="C552" s="6" t="s">
        <v>7112</v>
      </c>
      <c r="D552" s="7" t="s">
        <v>209</v>
      </c>
      <c r="E552" s="6" t="s">
        <v>1487</v>
      </c>
      <c r="F552" s="6" t="s">
        <v>139</v>
      </c>
      <c r="G552" s="8">
        <v>45525</v>
      </c>
      <c r="H552" s="6">
        <v>19.059999999999999</v>
      </c>
      <c r="I552" s="6" cm="1">
        <f t="array" ref="I552">IFERROR(VALUE(TRIM(LEFT(E552,MIN(FIND({" ";"g";"k";"m";"o"},E552&amp;" gkmo"))-1))),0)</f>
        <v>320</v>
      </c>
      <c r="J552" s="6" t="str" cm="1">
        <f t="array" ref="J552">IFERROR(TRIM(MID(E552,MIN(FIND({" ";"g";"k";"m";"o"},E552&amp;" gkmo")),10)),"unknown")</f>
        <v>g</v>
      </c>
      <c r="K552" s="6" t="str">
        <f t="shared" si="32"/>
        <v>g</v>
      </c>
      <c r="L552" s="6" t="str">
        <f t="shared" si="33"/>
        <v>Harrys</v>
      </c>
      <c r="M552" s="6" t="str">
        <f t="shared" si="34"/>
        <v>Doo Wap Pépites Choco</v>
      </c>
      <c r="N552" s="6" t="str">
        <f t="shared" si="35"/>
        <v>France</v>
      </c>
    </row>
    <row r="553" spans="1:14" x14ac:dyDescent="0.25">
      <c r="A553" s="6" t="s">
        <v>1488</v>
      </c>
      <c r="B553" s="6">
        <v>10025</v>
      </c>
      <c r="C553" s="6" t="s">
        <v>1489</v>
      </c>
      <c r="D553" s="7" t="s">
        <v>204</v>
      </c>
      <c r="E553" s="6" t="s">
        <v>1309</v>
      </c>
      <c r="F553" s="6" t="s">
        <v>2973</v>
      </c>
      <c r="G553" s="8">
        <v>45807</v>
      </c>
      <c r="H553" s="6">
        <v>20.02</v>
      </c>
      <c r="I553" s="6" cm="1">
        <f t="array" ref="I553">IFERROR(VALUE(TRIM(LEFT(E553,MIN(FIND({" ";"g";"k";"m";"o"},E553&amp;" gkmo"))-1))),0)</f>
        <v>300</v>
      </c>
      <c r="J553" s="6" t="str" cm="1">
        <f t="array" ref="J553">IFERROR(TRIM(MID(E553,MIN(FIND({" ";"g";"k";"m";"o"},E553&amp;" gkmo")),10)),"unknown")</f>
        <v>g</v>
      </c>
      <c r="K553" s="6" t="str">
        <f t="shared" si="32"/>
        <v>g</v>
      </c>
      <c r="L553" s="6" t="str">
        <f t="shared" si="33"/>
        <v>Mcvitie'S</v>
      </c>
      <c r="M553" s="6" t="str">
        <f t="shared" si="34"/>
        <v>Mcvitie'S Rich Tea The Light One (Delights)</v>
      </c>
      <c r="N553" s="6" t="str">
        <f t="shared" si="35"/>
        <v>Gb</v>
      </c>
    </row>
    <row r="554" spans="1:14" x14ac:dyDescent="0.25">
      <c r="A554" s="6" t="s">
        <v>1490</v>
      </c>
      <c r="B554" s="6">
        <v>11019</v>
      </c>
      <c r="C554" s="6" t="s">
        <v>7465</v>
      </c>
      <c r="D554" s="7" t="s">
        <v>1084</v>
      </c>
      <c r="E554" s="6" t="s">
        <v>39</v>
      </c>
      <c r="F554" s="6" t="s">
        <v>8401</v>
      </c>
      <c r="G554" s="8">
        <v>45737</v>
      </c>
      <c r="H554" s="6">
        <v>11.31</v>
      </c>
      <c r="I554" s="6" cm="1">
        <f t="array" ref="I554">IFERROR(VALUE(TRIM(LEFT(E554,MIN(FIND({" ";"g";"k";"m";"o"},E554&amp;" gkmo"))-1))),0)</f>
        <v>150</v>
      </c>
      <c r="J554" s="6" t="str" cm="1">
        <f t="array" ref="J554">IFERROR(TRIM(MID(E554,MIN(FIND({" ";"g";"k";"m";"o"},E554&amp;" gkmo")),10)),"unknown")</f>
        <v>g</v>
      </c>
      <c r="K554" s="6" t="str">
        <f t="shared" si="32"/>
        <v>g</v>
      </c>
      <c r="L554" s="6" t="str">
        <f t="shared" si="33"/>
        <v>Lotus</v>
      </c>
      <c r="M554" s="6" t="str">
        <f t="shared" si="34"/>
        <v>Lotus Biscoff Speculoos Fourré - Crème Speculoos - 150G</v>
      </c>
      <c r="N554" s="6" t="str">
        <f t="shared" si="35"/>
        <v>Australia,Belgium,Repàºblica Checa,France,Germany,Italia,Marruecos,Nueva Zelanda,Eslovaquia,Espaà±A,Suecia,United Kingdom</v>
      </c>
    </row>
    <row r="555" spans="1:14" x14ac:dyDescent="0.25">
      <c r="A555" s="6" t="s">
        <v>1491</v>
      </c>
      <c r="B555" s="6">
        <v>7738</v>
      </c>
      <c r="C555" s="6" t="s">
        <v>7113</v>
      </c>
      <c r="D555" s="7" t="s">
        <v>7017</v>
      </c>
      <c r="E555" s="6">
        <v>6</v>
      </c>
      <c r="F555" s="6" t="s">
        <v>139</v>
      </c>
      <c r="G555" s="8">
        <v>45504</v>
      </c>
      <c r="H555" s="6">
        <v>18.010000000000002</v>
      </c>
      <c r="I555" s="6" cm="1">
        <f t="array" ref="I555">IFERROR(VALUE(TRIM(LEFT(E555,MIN(FIND({" ";"g";"k";"m";"o"},E555&amp;" gkmo"))-1))),0)</f>
        <v>6</v>
      </c>
      <c r="J555" s="6" t="str" cm="1">
        <f t="array" ref="J555">IFERROR(TRIM(MID(E555,MIN(FIND({" ";"g";"k";"m";"o"},E555&amp;" gkmo")),10)),"unknown")</f>
        <v/>
      </c>
      <c r="K555" s="6" t="str">
        <f t="shared" si="32"/>
        <v>unknown</v>
      </c>
      <c r="L555" s="6" t="str">
        <f t="shared" si="33"/>
        <v>Unknown</v>
      </c>
      <c r="M555" s="6" t="str">
        <f t="shared" si="34"/>
        <v>Cake Fourré Saveur Fraise</v>
      </c>
      <c r="N555" s="6" t="str">
        <f t="shared" si="35"/>
        <v>France</v>
      </c>
    </row>
    <row r="556" spans="1:14" x14ac:dyDescent="0.25">
      <c r="A556" s="6" t="s">
        <v>1492</v>
      </c>
      <c r="B556" s="6">
        <v>6219</v>
      </c>
      <c r="C556" s="6" t="s">
        <v>1493</v>
      </c>
      <c r="D556" s="7" t="s">
        <v>7017</v>
      </c>
      <c r="E556" s="6" t="s">
        <v>1494</v>
      </c>
      <c r="F556" s="6" t="s">
        <v>139</v>
      </c>
      <c r="G556" s="8">
        <v>45956</v>
      </c>
      <c r="H556" s="6">
        <v>16.559999999999999</v>
      </c>
      <c r="I556" s="6" cm="1">
        <f t="array" ref="I556">IFERROR(VALUE(TRIM(LEFT(E556,MIN(FIND({" ";"g";"k";"m";"o"},E556&amp;" gkmo"))-1))),0)</f>
        <v>250</v>
      </c>
      <c r="J556" s="6" t="str" cm="1">
        <f t="array" ref="J556">IFERROR(TRIM(MID(E556,MIN(FIND({" ";"g";"k";"m";"o"},E556&amp;" gkmo")),10)),"unknown")</f>
        <v>g (2 * 12</v>
      </c>
      <c r="K556" s="6" t="str">
        <f t="shared" si="32"/>
        <v>g</v>
      </c>
      <c r="L556" s="6" t="str">
        <f t="shared" si="33"/>
        <v>Unknown</v>
      </c>
      <c r="M556" s="6" t="str">
        <f t="shared" si="34"/>
        <v>Galettes Bretonnes Pur Beurre</v>
      </c>
      <c r="N556" s="6" t="str">
        <f t="shared" si="35"/>
        <v>France</v>
      </c>
    </row>
    <row r="557" spans="1:14" x14ac:dyDescent="0.25">
      <c r="A557" s="6" t="s">
        <v>1495</v>
      </c>
      <c r="B557" s="6">
        <v>5182</v>
      </c>
      <c r="C557" s="6" t="s">
        <v>1496</v>
      </c>
      <c r="D557" s="7" t="s">
        <v>1497</v>
      </c>
      <c r="E557" s="6" t="s">
        <v>1498</v>
      </c>
      <c r="F557" s="6" t="s">
        <v>139</v>
      </c>
      <c r="G557" s="8">
        <v>46017</v>
      </c>
      <c r="H557" s="6">
        <v>16.899999999999999</v>
      </c>
      <c r="I557" s="6" cm="1">
        <f t="array" ref="I557">IFERROR(VALUE(TRIM(LEFT(E557,MIN(FIND({" ";"g";"k";"m";"o"},E557&amp;" gkmo"))-1))),0)</f>
        <v>137</v>
      </c>
      <c r="J557" s="6" t="str" cm="1">
        <f t="array" ref="J557">IFERROR(TRIM(MID(E557,MIN(FIND({" ";"g";"k";"m";"o"},E557&amp;" gkmo")),10)),"unknown")</f>
        <v>g</v>
      </c>
      <c r="K557" s="6" t="str">
        <f t="shared" si="32"/>
        <v>g</v>
      </c>
      <c r="L557" s="6" t="str">
        <f t="shared" si="33"/>
        <v>Dr. Oetker,Ancel</v>
      </c>
      <c r="M557" s="6" t="str">
        <f t="shared" si="34"/>
        <v>Sticks Et Bretzels D'Alsace</v>
      </c>
      <c r="N557" s="6" t="str">
        <f t="shared" si="35"/>
        <v>France</v>
      </c>
    </row>
    <row r="558" spans="1:14" x14ac:dyDescent="0.25">
      <c r="A558" s="6" t="s">
        <v>1499</v>
      </c>
      <c r="B558" s="6">
        <v>5649</v>
      </c>
      <c r="C558" s="6" t="s">
        <v>1500</v>
      </c>
      <c r="D558" s="7" t="s">
        <v>60</v>
      </c>
      <c r="E558" s="6" t="s">
        <v>10</v>
      </c>
      <c r="F558" s="6" t="s">
        <v>8402</v>
      </c>
      <c r="G558" s="8">
        <v>45342</v>
      </c>
      <c r="H558" s="6">
        <v>15.11</v>
      </c>
      <c r="I558" s="6" cm="1">
        <f t="array" ref="I558">IFERROR(VALUE(TRIM(LEFT(E558,MIN(FIND({" ";"g";"k";"m";"o"},E558&amp;" gkmo"))-1))),0)</f>
        <v>100</v>
      </c>
      <c r="J558" s="6" t="str" cm="1">
        <f t="array" ref="J558">IFERROR(TRIM(MID(E558,MIN(FIND({" ";"g";"k";"m";"o"},E558&amp;" gkmo")),10)),"unknown")</f>
        <v>g</v>
      </c>
      <c r="K558" s="6" t="str">
        <f t="shared" si="32"/>
        <v>g</v>
      </c>
      <c r="L558" s="6" t="str">
        <f t="shared" si="33"/>
        <v>Lindt</v>
      </c>
      <c r="M558" s="6" t="str">
        <f t="shared" si="34"/>
        <v>Lindt Excellence Milk Chocolate 100G</v>
      </c>
      <c r="N558" s="6" t="str">
        <f t="shared" si="35"/>
        <v>Australia,Dinamarca,Finlandia,France,Nueva Zelanda,Noruega,Suecia,United Kingdom</v>
      </c>
    </row>
    <row r="559" spans="1:14" x14ac:dyDescent="0.25">
      <c r="A559" s="6" t="s">
        <v>1501</v>
      </c>
      <c r="B559" s="6">
        <v>9141</v>
      </c>
      <c r="C559" s="6" t="s">
        <v>7114</v>
      </c>
      <c r="D559" s="7" t="s">
        <v>7030</v>
      </c>
      <c r="E559" s="6" t="s">
        <v>1502</v>
      </c>
      <c r="F559" s="6" t="s">
        <v>139</v>
      </c>
      <c r="G559" s="8">
        <v>45852</v>
      </c>
      <c r="H559" s="6">
        <v>19.43</v>
      </c>
      <c r="I559" s="6" cm="1">
        <f t="array" ref="I559">IFERROR(VALUE(TRIM(LEFT(E559,MIN(FIND({" ";"g";"k";"m";"o"},E559&amp;" gkmo"))-1))),0)</f>
        <v>196</v>
      </c>
      <c r="J559" s="6" t="str" cm="1">
        <f t="array" ref="J559">IFERROR(TRIM(MID(E559,MIN(FIND({" ";"g";"k";"m";"o"},E559&amp;" gkmo")),10)),"unknown")</f>
        <v>g</v>
      </c>
      <c r="K559" s="6" t="str">
        <f t="shared" si="32"/>
        <v>g</v>
      </c>
      <c r="L559" s="6" t="str">
        <f t="shared" si="33"/>
        <v>Gerblé</v>
      </c>
      <c r="M559" s="6" t="str">
        <f t="shared" si="34"/>
        <v>Moelleux Pépites De Chocolat</v>
      </c>
      <c r="N559" s="6" t="str">
        <f t="shared" si="35"/>
        <v>France</v>
      </c>
    </row>
    <row r="560" spans="1:14" x14ac:dyDescent="0.25">
      <c r="A560" s="6" t="s">
        <v>1503</v>
      </c>
      <c r="B560" s="6">
        <v>5298</v>
      </c>
      <c r="C560" s="6" t="s">
        <v>1504</v>
      </c>
      <c r="D560" s="7" t="s">
        <v>7106</v>
      </c>
      <c r="E560" s="6"/>
      <c r="F560" s="6" t="s">
        <v>7979</v>
      </c>
      <c r="G560" s="8">
        <v>46010</v>
      </c>
      <c r="H560" s="6">
        <v>1.69</v>
      </c>
      <c r="I560" s="6" cm="1">
        <f t="array" ref="I560">IFERROR(VALUE(TRIM(LEFT(E560,MIN(FIND({" ";"g";"k";"m";"o"},E560&amp;" gkmo"))-1))),0)</f>
        <v>0</v>
      </c>
      <c r="J560" s="6" t="str" cm="1">
        <f t="array" ref="J560">IFERROR(TRIM(MID(E560,MIN(FIND({" ";"g";"k";"m";"o"},E560&amp;" gkmo")),10)),"unknown")</f>
        <v/>
      </c>
      <c r="K560" s="6" t="str">
        <f t="shared" si="32"/>
        <v>unknown</v>
      </c>
      <c r="L560" s="6" t="str">
        <f t="shared" si="33"/>
        <v>Ker Cadélac</v>
      </c>
      <c r="M560" s="6" t="str">
        <f t="shared" si="34"/>
        <v>Madeleines Moelleuses Nature X 24 Sachets De 25 G</v>
      </c>
      <c r="N560" s="6" t="str">
        <f t="shared" si="35"/>
        <v>France, Switzerland</v>
      </c>
    </row>
    <row r="561" spans="1:14" x14ac:dyDescent="0.25">
      <c r="A561" s="6" t="s">
        <v>1505</v>
      </c>
      <c r="B561" s="6">
        <v>8594</v>
      </c>
      <c r="C561" s="6" t="s">
        <v>1506</v>
      </c>
      <c r="D561" s="7" t="s">
        <v>1507</v>
      </c>
      <c r="E561" s="6" t="s">
        <v>82</v>
      </c>
      <c r="F561" s="6" t="s">
        <v>139</v>
      </c>
      <c r="G561" s="8">
        <v>45708</v>
      </c>
      <c r="H561" s="6">
        <v>13.16</v>
      </c>
      <c r="I561" s="6" cm="1">
        <f t="array" ref="I561">IFERROR(VALUE(TRIM(LEFT(E561,MIN(FIND({" ";"g";"k";"m";"o"},E561&amp;" gkmo"))-1))),0)</f>
        <v>230</v>
      </c>
      <c r="J561" s="6" t="str" cm="1">
        <f t="array" ref="J561">IFERROR(TRIM(MID(E561,MIN(FIND({" ";"g";"k";"m";"o"},E561&amp;" gkmo")),10)),"unknown")</f>
        <v>g</v>
      </c>
      <c r="K561" s="6" t="str">
        <f t="shared" si="32"/>
        <v>g</v>
      </c>
      <c r="L561" s="6" t="str">
        <f t="shared" si="33"/>
        <v>Vichy</v>
      </c>
      <c r="M561" s="6" t="str">
        <f t="shared" si="34"/>
        <v>230G Vichy Menthe</v>
      </c>
      <c r="N561" s="6" t="str">
        <f t="shared" si="35"/>
        <v>France</v>
      </c>
    </row>
    <row r="562" spans="1:14" x14ac:dyDescent="0.25">
      <c r="A562" s="6" t="s">
        <v>1508</v>
      </c>
      <c r="B562" s="6">
        <v>8341</v>
      </c>
      <c r="C562" s="6" t="s">
        <v>1509</v>
      </c>
      <c r="D562" s="7" t="s">
        <v>310</v>
      </c>
      <c r="E562" s="6" t="s">
        <v>1510</v>
      </c>
      <c r="F562" s="6" t="s">
        <v>1181</v>
      </c>
      <c r="G562" s="8">
        <v>45478</v>
      </c>
      <c r="H562" s="6">
        <v>13.16</v>
      </c>
      <c r="I562" s="6" cm="1">
        <f t="array" ref="I562">IFERROR(VALUE(TRIM(LEFT(E562,MIN(FIND({" ";"g";"k";"m";"o"},E562&amp;" gkmo"))-1))),0)</f>
        <v>150</v>
      </c>
      <c r="J562" s="6" t="str" cm="1">
        <f t="array" ref="J562">IFERROR(TRIM(MID(E562,MIN(FIND({" ";"g";"k";"m";"o"},E562&amp;" gkmo")),10)),"unknown")</f>
        <v>g, 3 sach</v>
      </c>
      <c r="K562" s="6" t="str">
        <f t="shared" si="32"/>
        <v>g</v>
      </c>
      <c r="L562" s="6" t="str">
        <f t="shared" si="33"/>
        <v>St Michel</v>
      </c>
      <c r="M562" s="6" t="str">
        <f t="shared" si="34"/>
        <v>La Grande Galette 1905</v>
      </c>
      <c r="N562" s="6" t="str">
        <f t="shared" si="35"/>
        <v>France,Switzerland</v>
      </c>
    </row>
    <row r="563" spans="1:14" x14ac:dyDescent="0.25">
      <c r="A563" s="6" t="s">
        <v>1511</v>
      </c>
      <c r="B563" s="6">
        <v>13347</v>
      </c>
      <c r="C563" s="6" t="s">
        <v>1512</v>
      </c>
      <c r="D563" s="7" t="s">
        <v>1063</v>
      </c>
      <c r="E563" s="6" t="s">
        <v>1513</v>
      </c>
      <c r="F563" s="6" t="s">
        <v>213</v>
      </c>
      <c r="G563" s="8">
        <v>45675</v>
      </c>
      <c r="H563" s="6">
        <v>15.76</v>
      </c>
      <c r="I563" s="6" cm="1">
        <f t="array" ref="I563">IFERROR(VALUE(TRIM(LEFT(E563,MIN(FIND({" ";"g";"k";"m";"o"},E563&amp;" gkmo"))-1))),0)</f>
        <v>192</v>
      </c>
      <c r="J563" s="6" t="str" cm="1">
        <f t="array" ref="J563">IFERROR(TRIM(MID(E563,MIN(FIND({" ";"g";"k";"m";"o"},E563&amp;" gkmo")),10)),"unknown")</f>
        <v>g â„®, 6</v>
      </c>
      <c r="K563" s="6" t="str">
        <f t="shared" si="32"/>
        <v>g</v>
      </c>
      <c r="L563" s="6" t="str">
        <f t="shared" si="33"/>
        <v>Lu, Mondelez</v>
      </c>
      <c r="M563" s="6" t="str">
        <f t="shared" si="34"/>
        <v>Grany Moelleux, Fruit Des Bois</v>
      </c>
      <c r="N563" s="6" t="str">
        <f t="shared" si="35"/>
        <v>Belgium,France</v>
      </c>
    </row>
    <row r="564" spans="1:14" x14ac:dyDescent="0.25">
      <c r="A564" s="6" t="s">
        <v>1514</v>
      </c>
      <c r="B564" s="6">
        <v>9706</v>
      </c>
      <c r="C564" s="6" t="s">
        <v>1515</v>
      </c>
      <c r="D564" s="7" t="s">
        <v>1516</v>
      </c>
      <c r="E564" s="6" t="s">
        <v>840</v>
      </c>
      <c r="F564" s="6" t="s">
        <v>1517</v>
      </c>
      <c r="G564" s="8">
        <v>45663</v>
      </c>
      <c r="H564" s="6">
        <v>3.45</v>
      </c>
      <c r="I564" s="6" cm="1">
        <f t="array" ref="I564">IFERROR(VALUE(TRIM(LEFT(E564,MIN(FIND({" ";"g";"k";"m";"o"},E564&amp;" gkmo"))-1))),0)</f>
        <v>175</v>
      </c>
      <c r="J564" s="6" t="str" cm="1">
        <f t="array" ref="J564">IFERROR(TRIM(MID(E564,MIN(FIND({" ";"g";"k";"m";"o"},E564&amp;" gkmo")),10)),"unknown")</f>
        <v>g</v>
      </c>
      <c r="K564" s="6" t="str">
        <f t="shared" si="32"/>
        <v>g</v>
      </c>
      <c r="L564" s="6" t="str">
        <f t="shared" si="33"/>
        <v>Penn State</v>
      </c>
      <c r="M564" s="6" t="str">
        <f t="shared" si="34"/>
        <v>Baked Pretzels Original Sea Salted</v>
      </c>
      <c r="N564" s="6" t="str">
        <f t="shared" si="35"/>
        <v>France,United Kingdom,Netherlands</v>
      </c>
    </row>
    <row r="565" spans="1:14" x14ac:dyDescent="0.25">
      <c r="A565" s="6" t="s">
        <v>1518</v>
      </c>
      <c r="B565" s="6">
        <v>5062</v>
      </c>
      <c r="C565" s="6" t="s">
        <v>1519</v>
      </c>
      <c r="D565" s="7" t="s">
        <v>1520</v>
      </c>
      <c r="E565" s="6" t="s">
        <v>1521</v>
      </c>
      <c r="F565" s="6" t="s">
        <v>177</v>
      </c>
      <c r="G565" s="8">
        <v>45434</v>
      </c>
      <c r="H565" s="6">
        <v>7.25</v>
      </c>
      <c r="I565" s="6" cm="1">
        <f t="array" ref="I565">IFERROR(VALUE(TRIM(LEFT(E565,MIN(FIND({" ";"g";"k";"m";"o"},E565&amp;" gkmo"))-1))),0)</f>
        <v>0</v>
      </c>
      <c r="J565" s="6" t="str" cm="1">
        <f t="array" ref="J565">IFERROR(TRIM(MID(E565,MIN(FIND({" ";"g";"k";"m";"o"},E565&amp;" gkmo")),10)),"unknown")</f>
        <v>g</v>
      </c>
      <c r="K565" s="6" t="str">
        <f t="shared" si="32"/>
        <v>g</v>
      </c>
      <c r="L565" s="6" t="str">
        <f t="shared" si="33"/>
        <v>Pom-Bear</v>
      </c>
      <c r="M565" s="6" t="str">
        <f t="shared" si="34"/>
        <v>Pom-Bear Original 6Pk</v>
      </c>
      <c r="N565" s="6" t="str">
        <f t="shared" si="35"/>
        <v>United Kingdom</v>
      </c>
    </row>
    <row r="566" spans="1:14" x14ac:dyDescent="0.25">
      <c r="A566" s="6" t="s">
        <v>1522</v>
      </c>
      <c r="B566" s="6">
        <v>13976</v>
      </c>
      <c r="C566" s="6" t="s">
        <v>1523</v>
      </c>
      <c r="D566" s="7" t="s">
        <v>624</v>
      </c>
      <c r="E566" s="6"/>
      <c r="F566" s="6" t="s">
        <v>139</v>
      </c>
      <c r="G566" s="8">
        <v>46015</v>
      </c>
      <c r="H566" s="6">
        <v>13.4</v>
      </c>
      <c r="I566" s="6" cm="1">
        <f t="array" ref="I566">IFERROR(VALUE(TRIM(LEFT(E566,MIN(FIND({" ";"g";"k";"m";"o"},E566&amp;" gkmo"))-1))),0)</f>
        <v>0</v>
      </c>
      <c r="J566" s="6" t="str" cm="1">
        <f t="array" ref="J566">IFERROR(TRIM(MID(E566,MIN(FIND({" ";"g";"k";"m";"o"},E566&amp;" gkmo")),10)),"unknown")</f>
        <v/>
      </c>
      <c r="K566" s="6" t="str">
        <f t="shared" si="32"/>
        <v>unknown</v>
      </c>
      <c r="L566" s="6" t="str">
        <f t="shared" si="33"/>
        <v>Brets</v>
      </c>
      <c r="M566" s="6" t="str">
        <f t="shared" si="34"/>
        <v>Chips Saveur Pesto Mozzarella</v>
      </c>
      <c r="N566" s="6" t="str">
        <f t="shared" si="35"/>
        <v>France</v>
      </c>
    </row>
    <row r="567" spans="1:14" x14ac:dyDescent="0.25">
      <c r="A567" s="6" t="s">
        <v>1524</v>
      </c>
      <c r="B567" s="6">
        <v>10543</v>
      </c>
      <c r="C567" s="6" t="s">
        <v>7115</v>
      </c>
      <c r="D567" s="7" t="s">
        <v>7017</v>
      </c>
      <c r="E567" s="6" t="s">
        <v>84</v>
      </c>
      <c r="F567" s="6" t="s">
        <v>213</v>
      </c>
      <c r="G567" s="8">
        <v>45843</v>
      </c>
      <c r="H567" s="6">
        <v>13.2</v>
      </c>
      <c r="I567" s="6" cm="1">
        <f t="array" ref="I567">IFERROR(VALUE(TRIM(LEFT(E567,MIN(FIND({" ";"g";"k";"m";"o"},E567&amp;" gkmo"))-1))),0)</f>
        <v>85</v>
      </c>
      <c r="J567" s="6" t="str" cm="1">
        <f t="array" ref="J567">IFERROR(TRIM(MID(E567,MIN(FIND({" ";"g";"k";"m";"o"},E567&amp;" gkmo")),10)),"unknown")</f>
        <v>g</v>
      </c>
      <c r="K567" s="6" t="str">
        <f t="shared" si="32"/>
        <v>g</v>
      </c>
      <c r="L567" s="6" t="str">
        <f t="shared" si="33"/>
        <v>Unknown</v>
      </c>
      <c r="M567" s="6" t="str">
        <f t="shared" si="34"/>
        <v>Rice Crackers Finement Salé Promotion</v>
      </c>
      <c r="N567" s="6" t="str">
        <f t="shared" si="35"/>
        <v>Belgium,France</v>
      </c>
    </row>
    <row r="568" spans="1:14" x14ac:dyDescent="0.25">
      <c r="A568" s="6" t="s">
        <v>1525</v>
      </c>
      <c r="B568" s="6">
        <v>14283</v>
      </c>
      <c r="C568" s="6" t="s">
        <v>7116</v>
      </c>
      <c r="D568" s="7" t="s">
        <v>1526</v>
      </c>
      <c r="E568" s="6" t="s">
        <v>64</v>
      </c>
      <c r="F568" s="6" t="s">
        <v>1092</v>
      </c>
      <c r="G568" s="8">
        <v>45343</v>
      </c>
      <c r="H568" s="6">
        <v>13.16</v>
      </c>
      <c r="I568" s="6" cm="1">
        <f t="array" ref="I568">IFERROR(VALUE(TRIM(LEFT(E568,MIN(FIND({" ";"g";"k";"m";"o"},E568&amp;" gkmo"))-1))),0)</f>
        <v>150</v>
      </c>
      <c r="J568" s="6" t="str" cm="1">
        <f t="array" ref="J568">IFERROR(TRIM(MID(E568,MIN(FIND({" ";"g";"k";"m";"o"},E568&amp;" gkmo")),10)),"unknown")</f>
        <v>g</v>
      </c>
      <c r="K568" s="6" t="str">
        <f t="shared" si="32"/>
        <v>g</v>
      </c>
      <c r="L568" s="6" t="str">
        <f t="shared" si="33"/>
        <v>Lu, Pelletier</v>
      </c>
      <c r="M568" s="6" t="str">
        <f t="shared" si="34"/>
        <v>Toast Brioché</v>
      </c>
      <c r="N568" s="6" t="str">
        <f t="shared" si="35"/>
        <v>Frankrijk</v>
      </c>
    </row>
    <row r="569" spans="1:14" x14ac:dyDescent="0.25">
      <c r="A569" s="6" t="s">
        <v>1527</v>
      </c>
      <c r="B569" s="6">
        <v>10902</v>
      </c>
      <c r="C569" s="6" t="s">
        <v>1528</v>
      </c>
      <c r="D569" s="7" t="s">
        <v>1529</v>
      </c>
      <c r="E569" s="6" t="s">
        <v>1530</v>
      </c>
      <c r="F569" s="6" t="s">
        <v>8466</v>
      </c>
      <c r="G569" s="8">
        <v>45489</v>
      </c>
      <c r="H569" s="6">
        <v>17.329999999999998</v>
      </c>
      <c r="I569" s="6" cm="1">
        <f t="array" ref="I569">IFERROR(VALUE(TRIM(LEFT(E569,MIN(FIND({" ";"g";"k";"m";"o"},E569&amp;" gkmo"))-1))),0)</f>
        <v>2</v>
      </c>
      <c r="J569" s="6" t="str" cm="1">
        <f t="array" ref="J569">IFERROR(TRIM(MID(E569,MIN(FIND({" ";"g";"k";"m";"o"},E569&amp;" gkmo")),10)),"unknown")</f>
        <v>x 28,5 g</v>
      </c>
      <c r="K569" s="6" t="str">
        <f t="shared" si="32"/>
        <v>g</v>
      </c>
      <c r="L569" s="6" t="str">
        <f t="shared" si="33"/>
        <v>Mars</v>
      </c>
      <c r="M569" s="6" t="str">
        <f t="shared" si="34"/>
        <v>Bounty 2X</v>
      </c>
      <c r="N569" s="6" t="str">
        <f t="shared" si="35"/>
        <v>Belgium, Bulgaria, Czech Republic, Denmark, France, Germany, Hungary, Iran, Montenegro, Morocco, Reunion, Romania, Saudi Arabia, Serbia, Slovakia, Sweden, Switzerland, Tunisia, United Kingdom, Algeria</v>
      </c>
    </row>
    <row r="570" spans="1:14" x14ac:dyDescent="0.25">
      <c r="A570" s="6" t="s">
        <v>1531</v>
      </c>
      <c r="B570" s="6">
        <v>5746</v>
      </c>
      <c r="C570" s="6" t="s">
        <v>1532</v>
      </c>
      <c r="D570" s="7" t="s">
        <v>1533</v>
      </c>
      <c r="E570" s="6" t="s">
        <v>106</v>
      </c>
      <c r="F570" s="6" t="s">
        <v>7628</v>
      </c>
      <c r="G570" s="8">
        <v>45532</v>
      </c>
      <c r="H570" s="6">
        <v>9.9700000000000006</v>
      </c>
      <c r="I570" s="6" cm="1">
        <f t="array" ref="I570">IFERROR(VALUE(TRIM(LEFT(E570,MIN(FIND({" ";"g";"k";"m";"o"},E570&amp;" gkmo"))-1))),0)</f>
        <v>20</v>
      </c>
      <c r="J570" s="6" t="str" cm="1">
        <f t="array" ref="J570">IFERROR(TRIM(MID(E570,MIN(FIND({" ";"g";"k";"m";"o"},E570&amp;" gkmo")),10)),"unknown")</f>
        <v>g</v>
      </c>
      <c r="K570" s="6" t="str">
        <f t="shared" si="32"/>
        <v>g</v>
      </c>
      <c r="L570" s="6" t="str">
        <f t="shared" si="33"/>
        <v>Bear</v>
      </c>
      <c r="M570" s="6" t="str">
        <f t="shared" si="34"/>
        <v>Bear Pure Fruit Yoyos Strawberry 20G</v>
      </c>
      <c r="N570" s="6" t="str">
        <f t="shared" si="35"/>
        <v>Tschechien, Frankreich, Vereinigtes Kà¶Nigreich, Germany</v>
      </c>
    </row>
    <row r="571" spans="1:14" x14ac:dyDescent="0.25">
      <c r="A571" s="6" t="s">
        <v>1534</v>
      </c>
      <c r="B571" s="6">
        <v>10484</v>
      </c>
      <c r="C571" s="6" t="s">
        <v>1535</v>
      </c>
      <c r="D571" s="7" t="s">
        <v>726</v>
      </c>
      <c r="E571" s="6" t="s">
        <v>643</v>
      </c>
      <c r="F571" s="6" t="s">
        <v>177</v>
      </c>
      <c r="G571" s="8">
        <v>45715</v>
      </c>
      <c r="H571" s="6">
        <v>21.02</v>
      </c>
      <c r="I571" s="6" cm="1">
        <f t="array" ref="I571">IFERROR(VALUE(TRIM(LEFT(E571,MIN(FIND({" ";"g";"k";"m";"o"},E571&amp;" gkmo"))-1))),0)</f>
        <v>25</v>
      </c>
      <c r="J571" s="6" t="str" cm="1">
        <f t="array" ref="J571">IFERROR(TRIM(MID(E571,MIN(FIND({" ";"g";"k";"m";"o"},E571&amp;" gkmo")),10)),"unknown")</f>
        <v>g</v>
      </c>
      <c r="K571" s="6" t="str">
        <f t="shared" si="32"/>
        <v>g</v>
      </c>
      <c r="L571" s="6" t="str">
        <f t="shared" si="33"/>
        <v>Walkers</v>
      </c>
      <c r="M571" s="6" t="str">
        <f t="shared" si="34"/>
        <v>Walkers Supreme Prawn Cocktail</v>
      </c>
      <c r="N571" s="6" t="str">
        <f t="shared" si="35"/>
        <v>United Kingdom</v>
      </c>
    </row>
    <row r="572" spans="1:14" x14ac:dyDescent="0.25">
      <c r="A572" s="6" t="s">
        <v>1536</v>
      </c>
      <c r="B572" s="6">
        <v>7004</v>
      </c>
      <c r="C572" s="6" t="s">
        <v>1537</v>
      </c>
      <c r="D572" s="7" t="s">
        <v>1538</v>
      </c>
      <c r="E572" s="6" t="s">
        <v>1539</v>
      </c>
      <c r="F572" s="6" t="s">
        <v>8416</v>
      </c>
      <c r="G572" s="8">
        <v>45560</v>
      </c>
      <c r="H572" s="6">
        <v>17.03</v>
      </c>
      <c r="I572" s="6" cm="1">
        <f t="array" ref="I572">IFERROR(VALUE(TRIM(LEFT(E572,MIN(FIND({" ";"g";"k";"m";"o"},E572&amp;" gkmo"))-1))),0)</f>
        <v>157</v>
      </c>
      <c r="J572" s="6" t="str" cm="1">
        <f t="array" ref="J572">IFERROR(TRIM(MID(E572,MIN(FIND({" ";"g";"k";"m";"o"},E572&amp;" gkmo")),10)),"unknown")</f>
        <v>g</v>
      </c>
      <c r="K572" s="6" t="str">
        <f t="shared" si="32"/>
        <v>g</v>
      </c>
      <c r="L572" s="6" t="str">
        <f t="shared" si="33"/>
        <v>Mondelez,Oreo</v>
      </c>
      <c r="M572" s="6" t="str">
        <f t="shared" si="34"/>
        <v>Oreo Double Creme</v>
      </c>
      <c r="N572" s="6" t="str">
        <f t="shared" si="35"/>
        <v>Autriche,Belgium,Danemark,Finlande,France,Germany,Netherlands,Norvège,Suède,Switzerland</v>
      </c>
    </row>
    <row r="573" spans="1:14" x14ac:dyDescent="0.25">
      <c r="A573" s="6" t="s">
        <v>1540</v>
      </c>
      <c r="B573" s="6">
        <v>6779</v>
      </c>
      <c r="C573" s="6" t="s">
        <v>1541</v>
      </c>
      <c r="D573" s="7" t="s">
        <v>1542</v>
      </c>
      <c r="E573" s="6"/>
      <c r="F573" s="6" t="s">
        <v>7967</v>
      </c>
      <c r="G573" s="8">
        <v>45736</v>
      </c>
      <c r="H573" s="6">
        <v>24.59</v>
      </c>
      <c r="I573" s="6" cm="1">
        <f t="array" ref="I573">IFERROR(VALUE(TRIM(LEFT(E573,MIN(FIND({" ";"g";"k";"m";"o"},E573&amp;" gkmo"))-1))),0)</f>
        <v>0</v>
      </c>
      <c r="J573" s="6" t="str" cm="1">
        <f t="array" ref="J573">IFERROR(TRIM(MID(E573,MIN(FIND({" ";"g";"k";"m";"o"},E573&amp;" gkmo")),10)),"unknown")</f>
        <v/>
      </c>
      <c r="K573" s="6" t="str">
        <f t="shared" si="32"/>
        <v>unknown</v>
      </c>
      <c r="L573" s="6" t="str">
        <f t="shared" si="33"/>
        <v>Balconi</v>
      </c>
      <c r="M573" s="6" t="str">
        <f t="shared" si="34"/>
        <v>Trancetto Cacao</v>
      </c>
      <c r="N573" s="6" t="str">
        <f t="shared" si="35"/>
        <v>France, North Korea, Morocco</v>
      </c>
    </row>
    <row r="574" spans="1:14" x14ac:dyDescent="0.25">
      <c r="A574" s="6" t="s">
        <v>1543</v>
      </c>
      <c r="B574" s="6">
        <v>14662</v>
      </c>
      <c r="C574" s="6" t="s">
        <v>7117</v>
      </c>
      <c r="D574" s="7" t="s">
        <v>7466</v>
      </c>
      <c r="E574" s="6"/>
      <c r="F574" s="6" t="s">
        <v>139</v>
      </c>
      <c r="G574" s="8">
        <v>45949</v>
      </c>
      <c r="H574" s="6">
        <v>16.28</v>
      </c>
      <c r="I574" s="6" cm="1">
        <f t="array" ref="I574">IFERROR(VALUE(TRIM(LEFT(E574,MIN(FIND({" ";"g";"k";"m";"o"},E574&amp;" gkmo"))-1))),0)</f>
        <v>0</v>
      </c>
      <c r="J574" s="6" t="str" cm="1">
        <f t="array" ref="J574">IFERROR(TRIM(MID(E574,MIN(FIND({" ";"g";"k";"m";"o"},E574&amp;" gkmo")),10)),"unknown")</f>
        <v/>
      </c>
      <c r="K574" s="6" t="str">
        <f t="shared" si="32"/>
        <v>unknown</v>
      </c>
      <c r="L574" s="6" t="str">
        <f t="shared" si="33"/>
        <v>Bio Village,Marque Repère</v>
      </c>
      <c r="M574" s="6" t="str">
        <f t="shared" si="34"/>
        <v>Chocolat Noir Dégustation 85% Cacao Bio</v>
      </c>
      <c r="N574" s="6" t="str">
        <f t="shared" si="35"/>
        <v>France</v>
      </c>
    </row>
    <row r="575" spans="1:14" x14ac:dyDescent="0.25">
      <c r="A575" s="6" t="s">
        <v>1544</v>
      </c>
      <c r="B575" s="6">
        <v>13568</v>
      </c>
      <c r="C575" s="6" t="s">
        <v>478</v>
      </c>
      <c r="D575" s="7" t="s">
        <v>287</v>
      </c>
      <c r="E575" s="6" t="s">
        <v>18</v>
      </c>
      <c r="F575" s="6" t="s">
        <v>7968</v>
      </c>
      <c r="G575" s="8">
        <v>45670</v>
      </c>
      <c r="H575" s="6">
        <v>3.25</v>
      </c>
      <c r="I575" s="6" cm="1">
        <f t="array" ref="I575">IFERROR(VALUE(TRIM(LEFT(E575,MIN(FIND({" ";"g";"k";"m";"o"},E575&amp;" gkmo"))-1))),0)</f>
        <v>100</v>
      </c>
      <c r="J575" s="6" t="str" cm="1">
        <f t="array" ref="J575">IFERROR(TRIM(MID(E575,MIN(FIND({" ";"g";"k";"m";"o"},E575&amp;" gkmo")),10)),"unknown")</f>
        <v>g</v>
      </c>
      <c r="K575" s="6" t="str">
        <f t="shared" si="32"/>
        <v>g</v>
      </c>
      <c r="L575" s="6" t="str">
        <f t="shared" si="33"/>
        <v>Ferrero</v>
      </c>
      <c r="M575" s="6" t="str">
        <f t="shared" si="34"/>
        <v>Ferrero Rocher</v>
      </c>
      <c r="N575" s="6" t="str">
        <f t="shared" si="35"/>
        <v>France, Morocco, Romania</v>
      </c>
    </row>
    <row r="576" spans="1:14" x14ac:dyDescent="0.25">
      <c r="A576" s="6" t="s">
        <v>1545</v>
      </c>
      <c r="B576" s="6">
        <v>13071</v>
      </c>
      <c r="C576" s="6" t="s">
        <v>1546</v>
      </c>
      <c r="D576" s="7" t="s">
        <v>1547</v>
      </c>
      <c r="E576" s="6" t="s">
        <v>1548</v>
      </c>
      <c r="F576" s="6" t="s">
        <v>2973</v>
      </c>
      <c r="G576" s="8">
        <v>45404</v>
      </c>
      <c r="H576" s="6">
        <v>8.56</v>
      </c>
      <c r="I576" s="6" cm="1">
        <f t="array" ref="I576">IFERROR(VALUE(TRIM(LEFT(E576,MIN(FIND({" ";"g";"k";"m";"o"},E576&amp;" gkmo"))-1))),0)</f>
        <v>4</v>
      </c>
      <c r="J576" s="6" t="str" cm="1">
        <f t="array" ref="J576">IFERROR(TRIM(MID(E576,MIN(FIND({" ";"g";"k";"m";"o"},E576&amp;" gkmo")),10)),"unknown")</f>
        <v>x 42 g</v>
      </c>
      <c r="K576" s="6" t="str">
        <f t="shared" si="32"/>
        <v>g</v>
      </c>
      <c r="L576" s="6" t="str">
        <f t="shared" si="33"/>
        <v>Stoats</v>
      </c>
      <c r="M576" s="6" t="str">
        <f t="shared" si="34"/>
        <v>Raspberry Wholegrain Oat Bars</v>
      </c>
      <c r="N576" s="6" t="str">
        <f t="shared" si="35"/>
        <v>Gb</v>
      </c>
    </row>
    <row r="577" spans="1:14" x14ac:dyDescent="0.25">
      <c r="A577" s="6" t="s">
        <v>1549</v>
      </c>
      <c r="B577" s="6">
        <v>13448</v>
      </c>
      <c r="C577" s="6" t="s">
        <v>1550</v>
      </c>
      <c r="D577" s="7" t="s">
        <v>1551</v>
      </c>
      <c r="E577" s="6"/>
      <c r="F577" s="6" t="s">
        <v>139</v>
      </c>
      <c r="G577" s="8">
        <v>45767</v>
      </c>
      <c r="H577" s="6">
        <v>17.670000000000002</v>
      </c>
      <c r="I577" s="6" cm="1">
        <f t="array" ref="I577">IFERROR(VALUE(TRIM(LEFT(E577,MIN(FIND({" ";"g";"k";"m";"o"},E577&amp;" gkmo"))-1))),0)</f>
        <v>0</v>
      </c>
      <c r="J577" s="6" t="str" cm="1">
        <f t="array" ref="J577">IFERROR(TRIM(MID(E577,MIN(FIND({" ";"g";"k";"m";"o"},E577&amp;" gkmo")),10)),"unknown")</f>
        <v/>
      </c>
      <c r="K577" s="6" t="str">
        <f t="shared" si="32"/>
        <v>unknown</v>
      </c>
      <c r="L577" s="6" t="str">
        <f t="shared" si="33"/>
        <v>Biocoop</v>
      </c>
      <c r="M577" s="6" t="str">
        <f t="shared" si="34"/>
        <v>Noir 70 %</v>
      </c>
      <c r="N577" s="6" t="str">
        <f t="shared" si="35"/>
        <v>France</v>
      </c>
    </row>
    <row r="578" spans="1:14" x14ac:dyDescent="0.25">
      <c r="A578" s="6" t="s">
        <v>1552</v>
      </c>
      <c r="B578" s="6">
        <v>11933</v>
      </c>
      <c r="C578" s="6" t="s">
        <v>1553</v>
      </c>
      <c r="D578" s="7" t="s">
        <v>961</v>
      </c>
      <c r="E578" s="6" t="s">
        <v>1554</v>
      </c>
      <c r="F578" s="6" t="s">
        <v>1555</v>
      </c>
      <c r="G578" s="8">
        <v>45771</v>
      </c>
      <c r="H578" s="6">
        <v>4.09</v>
      </c>
      <c r="I578" s="6" cm="1">
        <f t="array" ref="I578">IFERROR(VALUE(TRIM(LEFT(E578,MIN(FIND({" ";"g";"k";"m";"o"},E578&amp;" gkmo"))-1))),0)</f>
        <v>10</v>
      </c>
      <c r="J578" s="6" t="str" cm="1">
        <f t="array" ref="J578">IFERROR(TRIM(MID(E578,MIN(FIND({" ";"g";"k";"m";"o"},E578&amp;" gkmo")),10)),"unknown")</f>
        <v>x 25 g</v>
      </c>
      <c r="K578" s="6" t="str">
        <f t="shared" si="32"/>
        <v>g</v>
      </c>
      <c r="L578" s="6" t="str">
        <f t="shared" si="33"/>
        <v>Sondey</v>
      </c>
      <c r="M578" s="6" t="str">
        <f t="shared" si="34"/>
        <v>Knusper Schnitte</v>
      </c>
      <c r="N578" s="6" t="str">
        <f t="shared" si="35"/>
        <v>Ð¤Ñ€Ð°Ð½Ñ†Ð¸Ñ,Ð“Ðµñ€Ð¼Ð°Ð½Ð¸Ñ,Ð¨Ð²Ðµñ†Ð¸Ñ,Ð‘Ñšð»Ð³Ð°Ñ€Ð¸Ñ</v>
      </c>
    </row>
    <row r="579" spans="1:14" x14ac:dyDescent="0.25">
      <c r="A579" s="6" t="s">
        <v>1556</v>
      </c>
      <c r="B579" s="6">
        <v>14577</v>
      </c>
      <c r="C579" s="6" t="s">
        <v>1557</v>
      </c>
      <c r="D579" s="7" t="s">
        <v>7030</v>
      </c>
      <c r="E579" s="6" t="s">
        <v>39</v>
      </c>
      <c r="F579" s="6" t="s">
        <v>8455</v>
      </c>
      <c r="G579" s="8">
        <v>45808</v>
      </c>
      <c r="H579" s="6">
        <v>19.489999999999998</v>
      </c>
      <c r="I579" s="6" cm="1">
        <f t="array" ref="I579">IFERROR(VALUE(TRIM(LEFT(E579,MIN(FIND({" ";"g";"k";"m";"o"},E579&amp;" gkmo"))-1))),0)</f>
        <v>150</v>
      </c>
      <c r="J579" s="6" t="str" cm="1">
        <f t="array" ref="J579">IFERROR(TRIM(MID(E579,MIN(FIND({" ";"g";"k";"m";"o"},E579&amp;" gkmo")),10)),"unknown")</f>
        <v>g</v>
      </c>
      <c r="K579" s="6" t="str">
        <f t="shared" ref="K579:K642" si="36">IF(E579="","unknown",IF(OR(J579="g",LEFT(J579,1)="g"),"g",IF(OR(LEFT(J579,2)="kg",LEFT(J579,2)="ki"),"kg",IF(OR(LEFT(J579,2)="ml",LEFT(J579,1)="m"),"ml",IF(LEFT(J579,1)="l","l",IF(ISNUMBER(SEARCH("g",E579)),"g",IF(ISNUMBER(SEARCH("kg",E579)),"kg",IF(ISNUMBER(SEARCH("ml",E579)),"ml","unknown"))))))))</f>
        <v>g</v>
      </c>
      <c r="L579" s="6" t="str">
        <f t="shared" ref="L579:L642" si="37">IF(D579="","Unknown",PROPER(TRIM(D579)))</f>
        <v>Gerblé</v>
      </c>
      <c r="M579" s="6" t="str">
        <f t="shared" ref="M579:M642" si="38">IF(C579="Unknown","Unknown",PROPER(TRIM(C579)))</f>
        <v>Biscuit Chocolat Noir</v>
      </c>
      <c r="N579" s="6" t="str">
        <f t="shared" ref="N579:N642" si="39">IF(F579="","Unknown",PROPER(TRIM(F579)))</f>
        <v>France,Reunion</v>
      </c>
    </row>
    <row r="580" spans="1:14" x14ac:dyDescent="0.25">
      <c r="A580" s="6" t="s">
        <v>1558</v>
      </c>
      <c r="B580" s="6">
        <v>8714</v>
      </c>
      <c r="C580" s="6" t="s">
        <v>7118</v>
      </c>
      <c r="D580" s="7" t="s">
        <v>72</v>
      </c>
      <c r="E580" s="6" t="s">
        <v>962</v>
      </c>
      <c r="F580" s="6" t="s">
        <v>139</v>
      </c>
      <c r="G580" s="8">
        <v>45536</v>
      </c>
      <c r="H580" s="6">
        <v>2.67</v>
      </c>
      <c r="I580" s="6" cm="1">
        <f t="array" ref="I580">IFERROR(VALUE(TRIM(LEFT(E580,MIN(FIND({" ";"g";"k";"m";"o"},E580&amp;" gkmo"))-1))),0)</f>
        <v>225</v>
      </c>
      <c r="J580" s="6" t="str" cm="1">
        <f t="array" ref="J580">IFERROR(TRIM(MID(E580,MIN(FIND({" ";"g";"k";"m";"o"},E580&amp;" gkmo")),10)),"unknown")</f>
        <v>g</v>
      </c>
      <c r="K580" s="6" t="str">
        <f t="shared" si="36"/>
        <v>g</v>
      </c>
      <c r="L580" s="6" t="str">
        <f t="shared" si="37"/>
        <v>Bjorg</v>
      </c>
      <c r="M580" s="6" t="str">
        <f t="shared" si="38"/>
        <v>Fourrés Vanille Bio</v>
      </c>
      <c r="N580" s="6" t="str">
        <f t="shared" si="39"/>
        <v>France</v>
      </c>
    </row>
    <row r="581" spans="1:14" x14ac:dyDescent="0.25">
      <c r="A581" s="6" t="s">
        <v>1559</v>
      </c>
      <c r="B581" s="6">
        <v>5221</v>
      </c>
      <c r="C581" s="6" t="s">
        <v>7629</v>
      </c>
      <c r="D581" s="7" t="s">
        <v>7531</v>
      </c>
      <c r="E581" s="6" t="s">
        <v>556</v>
      </c>
      <c r="F581" s="6" t="s">
        <v>139</v>
      </c>
      <c r="G581" s="8">
        <v>45544</v>
      </c>
      <c r="H581" s="6">
        <v>1.84</v>
      </c>
      <c r="I581" s="6" cm="1">
        <f t="array" ref="I581">IFERROR(VALUE(TRIM(LEFT(E581,MIN(FIND({" ";"g";"k";"m";"o"},E581&amp;" gkmo"))-1))),0)</f>
        <v>100</v>
      </c>
      <c r="J581" s="6" t="str" cm="1">
        <f t="array" ref="J581">IFERROR(TRIM(MID(E581,MIN(FIND({" ";"g";"k";"m";"o"},E581&amp;" gkmo")),10)),"unknown")</f>
        <v>g e</v>
      </c>
      <c r="K581" s="6" t="str">
        <f t="shared" si="36"/>
        <v>g</v>
      </c>
      <c r="L581" s="6" t="str">
        <f t="shared" si="37"/>
        <v>Éthiquable</v>
      </c>
      <c r="M581" s="6" t="str">
        <f t="shared" si="38"/>
        <v>Haà¯Ti Grand Cru Cap Haà¯Tien 72% Cacaoté Et Fruité</v>
      </c>
      <c r="N581" s="6" t="str">
        <f t="shared" si="39"/>
        <v>France</v>
      </c>
    </row>
    <row r="582" spans="1:14" x14ac:dyDescent="0.25">
      <c r="A582" s="6" t="s">
        <v>1560</v>
      </c>
      <c r="B582" s="6">
        <v>8373</v>
      </c>
      <c r="C582" s="6" t="s">
        <v>1561</v>
      </c>
      <c r="D582" s="7" t="s">
        <v>1172</v>
      </c>
      <c r="E582" s="6" t="s">
        <v>1562</v>
      </c>
      <c r="F582" s="6" t="s">
        <v>7969</v>
      </c>
      <c r="G582" s="8">
        <v>45569</v>
      </c>
      <c r="H582" s="6">
        <v>20.6</v>
      </c>
      <c r="I582" s="6" cm="1">
        <f t="array" ref="I582">IFERROR(VALUE(TRIM(LEFT(E582,MIN(FIND({" ";"g";"k";"m";"o"},E582&amp;" gkmo"))-1))),0)</f>
        <v>250</v>
      </c>
      <c r="J582" s="6" t="str" cm="1">
        <f t="array" ref="J582">IFERROR(TRIM(MID(E582,MIN(FIND({" ";"g";"k";"m";"o"},E582&amp;" gkmo")),10)),"unknown")</f>
        <v>gr.</v>
      </c>
      <c r="K582" s="6" t="str">
        <f t="shared" si="36"/>
        <v>g</v>
      </c>
      <c r="L582" s="6" t="str">
        <f t="shared" si="37"/>
        <v>Barilla, Mulino Bianco</v>
      </c>
      <c r="M582" s="6" t="str">
        <f t="shared" si="38"/>
        <v>Gran Cereale Frutta</v>
      </c>
      <c r="N582" s="6" t="str">
        <f t="shared" si="39"/>
        <v>Greece, Italy, Switzerland, France</v>
      </c>
    </row>
    <row r="583" spans="1:14" x14ac:dyDescent="0.25">
      <c r="A583" s="6" t="s">
        <v>1563</v>
      </c>
      <c r="B583" s="6">
        <v>10921</v>
      </c>
      <c r="C583" s="6" t="s">
        <v>1564</v>
      </c>
      <c r="D583" s="7" t="s">
        <v>1345</v>
      </c>
      <c r="E583" s="6"/>
      <c r="F583" s="6" t="s">
        <v>139</v>
      </c>
      <c r="G583" s="8">
        <v>45665</v>
      </c>
      <c r="H583" s="6">
        <v>13.16</v>
      </c>
      <c r="I583" s="6" cm="1">
        <f t="array" ref="I583">IFERROR(VALUE(TRIM(LEFT(E583,MIN(FIND({" ";"g";"k";"m";"o"},E583&amp;" gkmo"))-1))),0)</f>
        <v>0</v>
      </c>
      <c r="J583" s="6" t="str" cm="1">
        <f t="array" ref="J583">IFERROR(TRIM(MID(E583,MIN(FIND({" ";"g";"k";"m";"o"},E583&amp;" gkmo")),10)),"unknown")</f>
        <v/>
      </c>
      <c r="K583" s="6" t="str">
        <f t="shared" si="36"/>
        <v>unknown</v>
      </c>
      <c r="L583" s="6" t="str">
        <f t="shared" si="37"/>
        <v>Haribo</v>
      </c>
      <c r="M583" s="6" t="str">
        <f t="shared" si="38"/>
        <v>Chamallow</v>
      </c>
      <c r="N583" s="6" t="str">
        <f t="shared" si="39"/>
        <v>France</v>
      </c>
    </row>
    <row r="584" spans="1:14" x14ac:dyDescent="0.25">
      <c r="A584" s="6" t="s">
        <v>1565</v>
      </c>
      <c r="B584" s="6">
        <v>14678</v>
      </c>
      <c r="C584" s="6" t="s">
        <v>1566</v>
      </c>
      <c r="D584" s="7" t="s">
        <v>1567</v>
      </c>
      <c r="E584" s="6"/>
      <c r="F584" s="6" t="s">
        <v>177</v>
      </c>
      <c r="G584" s="8">
        <v>45888</v>
      </c>
      <c r="H584" s="6">
        <v>22.74</v>
      </c>
      <c r="I584" s="6" cm="1">
        <f t="array" ref="I584">IFERROR(VALUE(TRIM(LEFT(E584,MIN(FIND({" ";"g";"k";"m";"o"},E584&amp;" gkmo"))-1))),0)</f>
        <v>0</v>
      </c>
      <c r="J584" s="6" t="str" cm="1">
        <f t="array" ref="J584">IFERROR(TRIM(MID(E584,MIN(FIND({" ";"g";"k";"m";"o"},E584&amp;" gkmo")),10)),"unknown")</f>
        <v/>
      </c>
      <c r="K584" s="6" t="str">
        <f t="shared" si="36"/>
        <v>unknown</v>
      </c>
      <c r="L584" s="6" t="str">
        <f t="shared" si="37"/>
        <v>Belmont Biscuits</v>
      </c>
      <c r="M584" s="6" t="str">
        <f t="shared" si="38"/>
        <v>Shortbread Fingers</v>
      </c>
      <c r="N584" s="6" t="str">
        <f t="shared" si="39"/>
        <v>United Kingdom</v>
      </c>
    </row>
    <row r="585" spans="1:14" x14ac:dyDescent="0.25">
      <c r="A585" s="6" t="s">
        <v>1568</v>
      </c>
      <c r="B585" s="6">
        <v>13168</v>
      </c>
      <c r="C585" s="6" t="s">
        <v>1569</v>
      </c>
      <c r="D585" s="7" t="s">
        <v>131</v>
      </c>
      <c r="E585" s="6" t="s">
        <v>1570</v>
      </c>
      <c r="F585" s="6" t="s">
        <v>139</v>
      </c>
      <c r="G585" s="8">
        <v>45401</v>
      </c>
      <c r="H585" s="6">
        <v>18.899999999999999</v>
      </c>
      <c r="I585" s="6" cm="1">
        <f t="array" ref="I585">IFERROR(VALUE(TRIM(LEFT(E585,MIN(FIND({" ";"g";"k";"m";"o"},E585&amp;" gkmo"))-1))),0)</f>
        <v>480</v>
      </c>
      <c r="J585" s="6" t="str" cm="1">
        <f t="array" ref="J585">IFERROR(TRIM(MID(E585,MIN(FIND({" ";"g";"k";"m";"o"},E585&amp;" gkmo")),10)),"unknown")</f>
        <v>g</v>
      </c>
      <c r="K585" s="6" t="str">
        <f t="shared" si="36"/>
        <v>g</v>
      </c>
      <c r="L585" s="6" t="str">
        <f t="shared" si="37"/>
        <v>Pasquier</v>
      </c>
      <c r="M585" s="6" t="str">
        <f t="shared" si="38"/>
        <v>Briochettes</v>
      </c>
      <c r="N585" s="6" t="str">
        <f t="shared" si="39"/>
        <v>France</v>
      </c>
    </row>
    <row r="586" spans="1:14" x14ac:dyDescent="0.25">
      <c r="A586" s="6" t="s">
        <v>1571</v>
      </c>
      <c r="B586" s="6">
        <v>9693</v>
      </c>
      <c r="C586" s="6" t="s">
        <v>1341</v>
      </c>
      <c r="D586" s="7" t="s">
        <v>1572</v>
      </c>
      <c r="E586" s="6" t="s">
        <v>10</v>
      </c>
      <c r="F586" s="6" t="s">
        <v>177</v>
      </c>
      <c r="G586" s="8">
        <v>45638</v>
      </c>
      <c r="H586" s="6">
        <v>10.199999999999999</v>
      </c>
      <c r="I586" s="6" cm="1">
        <f t="array" ref="I586">IFERROR(VALUE(TRIM(LEFT(E586,MIN(FIND({" ";"g";"k";"m";"o"},E586&amp;" gkmo"))-1))),0)</f>
        <v>100</v>
      </c>
      <c r="J586" s="6" t="str" cm="1">
        <f t="array" ref="J586">IFERROR(TRIM(MID(E586,MIN(FIND({" ";"g";"k";"m";"o"},E586&amp;" gkmo")),10)),"unknown")</f>
        <v>g</v>
      </c>
      <c r="K586" s="6" t="str">
        <f t="shared" si="36"/>
        <v>g</v>
      </c>
      <c r="L586" s="6" t="str">
        <f t="shared" si="37"/>
        <v>Asda</v>
      </c>
      <c r="M586" s="6" t="str">
        <f t="shared" si="38"/>
        <v>Ugandan Dark Chocolate</v>
      </c>
      <c r="N586" s="6" t="str">
        <f t="shared" si="39"/>
        <v>United Kingdom</v>
      </c>
    </row>
    <row r="587" spans="1:14" x14ac:dyDescent="0.25">
      <c r="A587" s="6" t="s">
        <v>1573</v>
      </c>
      <c r="B587" s="6">
        <v>11561</v>
      </c>
      <c r="C587" s="6" t="s">
        <v>7119</v>
      </c>
      <c r="D587" s="7" t="s">
        <v>1574</v>
      </c>
      <c r="E587" s="6" t="s">
        <v>10</v>
      </c>
      <c r="F587" s="6" t="s">
        <v>48</v>
      </c>
      <c r="G587" s="8">
        <v>45933</v>
      </c>
      <c r="H587" s="6">
        <v>2.38</v>
      </c>
      <c r="I587" s="6" cm="1">
        <f t="array" ref="I587">IFERROR(VALUE(TRIM(LEFT(E587,MIN(FIND({" ";"g";"k";"m";"o"},E587&amp;" gkmo"))-1))),0)</f>
        <v>100</v>
      </c>
      <c r="J587" s="6" t="str" cm="1">
        <f t="array" ref="J587">IFERROR(TRIM(MID(E587,MIN(FIND({" ";"g";"k";"m";"o"},E587&amp;" gkmo")),10)),"unknown")</f>
        <v>g</v>
      </c>
      <c r="K587" s="6" t="str">
        <f t="shared" si="36"/>
        <v>g</v>
      </c>
      <c r="L587" s="6" t="str">
        <f t="shared" si="37"/>
        <v>Carlotti</v>
      </c>
      <c r="M587" s="6" t="str">
        <f t="shared" si="38"/>
        <v>Chocolat Noir Aux Pépites</v>
      </c>
      <c r="N587" s="6" t="str">
        <f t="shared" si="39"/>
        <v>Morocco</v>
      </c>
    </row>
    <row r="588" spans="1:14" x14ac:dyDescent="0.25">
      <c r="A588" s="6" t="s">
        <v>1575</v>
      </c>
      <c r="B588" s="6">
        <v>11474</v>
      </c>
      <c r="C588" s="6" t="s">
        <v>1576</v>
      </c>
      <c r="D588" s="7" t="s">
        <v>150</v>
      </c>
      <c r="E588" s="6" t="s">
        <v>156</v>
      </c>
      <c r="F588" s="6" t="s">
        <v>8318</v>
      </c>
      <c r="G588" s="8">
        <v>46047</v>
      </c>
      <c r="H588" s="6">
        <v>8.84</v>
      </c>
      <c r="I588" s="6" cm="1">
        <f t="array" ref="I588">IFERROR(VALUE(TRIM(LEFT(E588,MIN(FIND({" ";"g";"k";"m";"o"},E588&amp;" gkmo"))-1))),0)</f>
        <v>500</v>
      </c>
      <c r="J588" s="6" t="str" cm="1">
        <f t="array" ref="J588">IFERROR(TRIM(MID(E588,MIN(FIND({" ";"g";"k";"m";"o"},E588&amp;" gkmo")),10)),"unknown")</f>
        <v>g</v>
      </c>
      <c r="K588" s="6" t="str">
        <f t="shared" si="36"/>
        <v>g</v>
      </c>
      <c r="L588" s="6" t="str">
        <f t="shared" si="37"/>
        <v>Alesto</v>
      </c>
      <c r="M588" s="6" t="str">
        <f t="shared" si="38"/>
        <v>Peanuts Roasted &amp; Salted</v>
      </c>
      <c r="N588" s="6" t="str">
        <f t="shared" si="39"/>
        <v>Belgium,France,Germany,Italia,Paà­Ses Bajos,Suecia,Espaà±A</v>
      </c>
    </row>
    <row r="589" spans="1:14" x14ac:dyDescent="0.25">
      <c r="A589" s="6" t="s">
        <v>1577</v>
      </c>
      <c r="B589" s="6">
        <v>5470</v>
      </c>
      <c r="C589" s="6" t="s">
        <v>1578</v>
      </c>
      <c r="D589" s="7" t="s">
        <v>449</v>
      </c>
      <c r="E589" s="6"/>
      <c r="F589" s="6" t="s">
        <v>7919</v>
      </c>
      <c r="G589" s="8">
        <v>45956</v>
      </c>
      <c r="H589" s="6">
        <v>6.6</v>
      </c>
      <c r="I589" s="6" cm="1">
        <f t="array" ref="I589">IFERROR(VALUE(TRIM(LEFT(E589,MIN(FIND({" ";"g";"k";"m";"o"},E589&amp;" gkmo"))-1))),0)</f>
        <v>0</v>
      </c>
      <c r="J589" s="6" t="str" cm="1">
        <f t="array" ref="J589">IFERROR(TRIM(MID(E589,MIN(FIND({" ";"g";"k";"m";"o"},E589&amp;" gkmo")),10)),"unknown")</f>
        <v/>
      </c>
      <c r="K589" s="6" t="str">
        <f t="shared" si="36"/>
        <v>unknown</v>
      </c>
      <c r="L589" s="6" t="str">
        <f t="shared" si="37"/>
        <v>Henry'S</v>
      </c>
      <c r="M589" s="6" t="str">
        <f t="shared" si="38"/>
        <v>Cigar</v>
      </c>
      <c r="N589" s="6" t="str">
        <f t="shared" si="39"/>
        <v>France, Morocco</v>
      </c>
    </row>
    <row r="590" spans="1:14" x14ac:dyDescent="0.25">
      <c r="A590" s="6" t="s">
        <v>1579</v>
      </c>
      <c r="B590" s="6">
        <v>5746</v>
      </c>
      <c r="C590" s="6" t="s">
        <v>1580</v>
      </c>
      <c r="D590" s="7" t="s">
        <v>1581</v>
      </c>
      <c r="E590" s="6" t="s">
        <v>1582</v>
      </c>
      <c r="F590" s="6" t="s">
        <v>1583</v>
      </c>
      <c r="G590" s="8">
        <v>45908</v>
      </c>
      <c r="H590" s="6">
        <v>13.16</v>
      </c>
      <c r="I590" s="6" cm="1">
        <f t="array" ref="I590">IFERROR(VALUE(TRIM(LEFT(E590,MIN(FIND({" ";"g";"k";"m";"o"},E590&amp;" gkmo"))-1))),0)</f>
        <v>120</v>
      </c>
      <c r="J590" s="6" t="str" cm="1">
        <f t="array" ref="J590">IFERROR(TRIM(MID(E590,MIN(FIND({" ";"g";"k";"m";"o"},E590&amp;" gkmo")),10)),"unknown")</f>
        <v>g</v>
      </c>
      <c r="K590" s="6" t="str">
        <f t="shared" si="36"/>
        <v>g</v>
      </c>
      <c r="L590" s="6" t="str">
        <f t="shared" si="37"/>
        <v>Bahlsen,Leibniz</v>
      </c>
      <c r="M590" s="6" t="str">
        <f t="shared" si="38"/>
        <v>Leibniz Butterkeks</v>
      </c>
      <c r="N590" s="6" t="str">
        <f t="shared" si="39"/>
        <v>Germany,Italy,Morocco</v>
      </c>
    </row>
    <row r="591" spans="1:14" x14ac:dyDescent="0.25">
      <c r="A591" s="6" t="s">
        <v>1584</v>
      </c>
      <c r="B591" s="6">
        <v>7759</v>
      </c>
      <c r="C591" s="6" t="s">
        <v>1585</v>
      </c>
      <c r="D591" s="7" t="s">
        <v>726</v>
      </c>
      <c r="E591" s="6" t="s">
        <v>39</v>
      </c>
      <c r="F591" s="6" t="s">
        <v>177</v>
      </c>
      <c r="G591" s="8">
        <v>45606</v>
      </c>
      <c r="H591" s="6">
        <v>13.16</v>
      </c>
      <c r="I591" s="6" cm="1">
        <f t="array" ref="I591">IFERROR(VALUE(TRIM(LEFT(E591,MIN(FIND({" ";"g";"k";"m";"o"},E591&amp;" gkmo"))-1))),0)</f>
        <v>150</v>
      </c>
      <c r="J591" s="6" t="str" cm="1">
        <f t="array" ref="J591">IFERROR(TRIM(MID(E591,MIN(FIND({" ";"g";"k";"m";"o"},E591&amp;" gkmo")),10)),"unknown")</f>
        <v>g</v>
      </c>
      <c r="K591" s="6" t="str">
        <f t="shared" si="36"/>
        <v>g</v>
      </c>
      <c r="L591" s="6" t="str">
        <f t="shared" si="37"/>
        <v>Walkers</v>
      </c>
      <c r="M591" s="6" t="str">
        <f t="shared" si="38"/>
        <v>Sensations Thai Sweet Chilli Crisps</v>
      </c>
      <c r="N591" s="6" t="str">
        <f t="shared" si="39"/>
        <v>United Kingdom</v>
      </c>
    </row>
    <row r="592" spans="1:14" x14ac:dyDescent="0.25">
      <c r="A592" s="6" t="s">
        <v>1586</v>
      </c>
      <c r="B592" s="6">
        <v>13986</v>
      </c>
      <c r="C592" s="6" t="s">
        <v>1587</v>
      </c>
      <c r="D592" s="7" t="s">
        <v>13</v>
      </c>
      <c r="E592" s="6" t="s">
        <v>335</v>
      </c>
      <c r="F592" s="6" t="s">
        <v>139</v>
      </c>
      <c r="G592" s="8">
        <v>45858</v>
      </c>
      <c r="H592" s="6">
        <v>16.86</v>
      </c>
      <c r="I592" s="6" cm="1">
        <f t="array" ref="I592">IFERROR(VALUE(TRIM(LEFT(E592,MIN(FIND({" ";"g";"k";"m";"o"},E592&amp;" gkmo"))-1))),0)</f>
        <v>250</v>
      </c>
      <c r="J592" s="6" t="str" cm="1">
        <f t="array" ref="J592">IFERROR(TRIM(MID(E592,MIN(FIND({" ";"g";"k";"m";"o"},E592&amp;" gkmo")),10)),"unknown")</f>
        <v>g</v>
      </c>
      <c r="K592" s="6" t="str">
        <f t="shared" si="36"/>
        <v>g</v>
      </c>
      <c r="L592" s="6" t="str">
        <f t="shared" si="37"/>
        <v>Lu</v>
      </c>
      <c r="M592" s="6" t="str">
        <f t="shared" si="38"/>
        <v>Cracotte Fibres</v>
      </c>
      <c r="N592" s="6" t="str">
        <f t="shared" si="39"/>
        <v>France</v>
      </c>
    </row>
    <row r="593" spans="1:14" x14ac:dyDescent="0.25">
      <c r="A593" s="6" t="s">
        <v>1588</v>
      </c>
      <c r="B593" s="6">
        <v>6268</v>
      </c>
      <c r="C593" s="6" t="s">
        <v>1589</v>
      </c>
      <c r="D593" s="7" t="s">
        <v>7578</v>
      </c>
      <c r="E593" s="6" t="s">
        <v>1590</v>
      </c>
      <c r="F593" s="6" t="s">
        <v>7970</v>
      </c>
      <c r="G593" s="8">
        <v>45814</v>
      </c>
      <c r="H593" s="6">
        <v>21.57</v>
      </c>
      <c r="I593" s="6" cm="1">
        <f t="array" ref="I593">IFERROR(VALUE(TRIM(LEFT(E593,MIN(FIND({" ";"g";"k";"m";"o"},E593&amp;" gkmo"))-1))),0)</f>
        <v>280</v>
      </c>
      <c r="J593" s="6" t="str" cm="1">
        <f t="array" ref="J593">IFERROR(TRIM(MID(E593,MIN(FIND({" ";"g";"k";"m";"o"},E593&amp;" gkmo")),10)),"unknown")</f>
        <v>g</v>
      </c>
      <c r="K593" s="6" t="str">
        <f t="shared" si="36"/>
        <v>g</v>
      </c>
      <c r="L593" s="6" t="str">
        <f t="shared" si="37"/>
        <v>Gullà³N</v>
      </c>
      <c r="M593" s="6" t="str">
        <f t="shared" si="38"/>
        <v>Cuor Di Cereale Cioccolato</v>
      </c>
      <c r="N593" s="6" t="str">
        <f t="shared" si="39"/>
        <v>France, Italy, Morocco, Tunisia, Bulgaria</v>
      </c>
    </row>
    <row r="594" spans="1:14" x14ac:dyDescent="0.25">
      <c r="A594" s="6" t="s">
        <v>1591</v>
      </c>
      <c r="B594" s="6">
        <v>7730</v>
      </c>
      <c r="C594" s="6" t="s">
        <v>7017</v>
      </c>
      <c r="D594" s="7" t="s">
        <v>7621</v>
      </c>
      <c r="E594" s="6" t="s">
        <v>1592</v>
      </c>
      <c r="F594" s="6" t="s">
        <v>7971</v>
      </c>
      <c r="G594" s="8">
        <v>45759</v>
      </c>
      <c r="H594" s="6">
        <v>13.16</v>
      </c>
      <c r="I594" s="6" cm="1">
        <f t="array" ref="I594">IFERROR(VALUE(TRIM(LEFT(E594,MIN(FIND({" ";"g";"k";"m";"o"},E594&amp;" gkmo"))-1))),0)</f>
        <v>265</v>
      </c>
      <c r="J594" s="6" t="str" cm="1">
        <f t="array" ref="J594">IFERROR(TRIM(MID(E594,MIN(FIND({" ";"g";"k";"m";"o"},E594&amp;" gkmo")),10)),"unknown")</f>
        <v>g</v>
      </c>
      <c r="K594" s="6" t="str">
        <f t="shared" si="36"/>
        <v>g</v>
      </c>
      <c r="L594" s="6" t="str">
        <f t="shared" si="37"/>
        <v>Gullà³N</v>
      </c>
      <c r="M594" s="6" t="str">
        <f t="shared" si="38"/>
        <v>Unknown</v>
      </c>
      <c r="N594" s="6" t="str">
        <f t="shared" si="39"/>
        <v>Hungary, Italy, Morocco, Poland, Spain, Tunisia, En, France</v>
      </c>
    </row>
    <row r="595" spans="1:14" x14ac:dyDescent="0.25">
      <c r="A595" s="6" t="s">
        <v>1593</v>
      </c>
      <c r="B595" s="6">
        <v>11740</v>
      </c>
      <c r="C595" s="6" t="s">
        <v>1594</v>
      </c>
      <c r="D595" s="7" t="s">
        <v>1595</v>
      </c>
      <c r="E595" s="6" t="s">
        <v>966</v>
      </c>
      <c r="F595" s="6" t="s">
        <v>1596</v>
      </c>
      <c r="G595" s="8">
        <v>45560</v>
      </c>
      <c r="H595" s="6">
        <v>18.25</v>
      </c>
      <c r="I595" s="6" cm="1">
        <f t="array" ref="I595">IFERROR(VALUE(TRIM(LEFT(E595,MIN(FIND({" ";"g";"k";"m";"o"},E595&amp;" gkmo"))-1))),0)</f>
        <v>115</v>
      </c>
      <c r="J595" s="6" t="str" cm="1">
        <f t="array" ref="J595">IFERROR(TRIM(MID(E595,MIN(FIND({" ";"g";"k";"m";"o"},E595&amp;" gkmo")),10)),"unknown")</f>
        <v>g</v>
      </c>
      <c r="K595" s="6" t="str">
        <f t="shared" si="36"/>
        <v>g</v>
      </c>
      <c r="L595" s="6" t="str">
        <f t="shared" si="37"/>
        <v>Love Corn</v>
      </c>
      <c r="M595" s="6" t="str">
        <f t="shared" si="38"/>
        <v>Corn Smoked Bbq Crunchy Corn</v>
      </c>
      <c r="N595" s="6" t="str">
        <f t="shared" si="39"/>
        <v>Spain,United Kingdom</v>
      </c>
    </row>
    <row r="596" spans="1:14" x14ac:dyDescent="0.25">
      <c r="A596" s="6" t="s">
        <v>1597</v>
      </c>
      <c r="B596" s="6">
        <v>11925</v>
      </c>
      <c r="C596" s="6" t="s">
        <v>1598</v>
      </c>
      <c r="D596" s="7" t="s">
        <v>1348</v>
      </c>
      <c r="E596" s="6" t="s">
        <v>1599</v>
      </c>
      <c r="F596" s="6" t="s">
        <v>177</v>
      </c>
      <c r="G596" s="8">
        <v>45333</v>
      </c>
      <c r="H596" s="6">
        <v>3.91</v>
      </c>
      <c r="I596" s="6" cm="1">
        <f t="array" ref="I596">IFERROR(VALUE(TRIM(LEFT(E596,MIN(FIND({" ";"g";"k";"m";"o"},E596&amp;" gkmo"))-1))),0)</f>
        <v>5</v>
      </c>
      <c r="J596" s="6" t="str" cm="1">
        <f t="array" ref="J596">IFERROR(TRIM(MID(E596,MIN(FIND({" ";"g";"k";"m";"o"},E596&amp;" gkmo")),10)),"unknown")</f>
        <v>Bars</v>
      </c>
      <c r="K596" s="6" t="str">
        <f t="shared" si="36"/>
        <v>unknown</v>
      </c>
      <c r="L596" s="6" t="str">
        <f t="shared" si="37"/>
        <v>Cadbury</v>
      </c>
      <c r="M596" s="6" t="str">
        <f t="shared" si="38"/>
        <v>Brunch Bar Choc Chip</v>
      </c>
      <c r="N596" s="6" t="str">
        <f t="shared" si="39"/>
        <v>United Kingdom</v>
      </c>
    </row>
    <row r="597" spans="1:14" x14ac:dyDescent="0.25">
      <c r="A597" s="6" t="s">
        <v>1600</v>
      </c>
      <c r="B597" s="6">
        <v>11215</v>
      </c>
      <c r="C597" s="6" t="s">
        <v>1601</v>
      </c>
      <c r="D597" s="7" t="s">
        <v>7017</v>
      </c>
      <c r="E597" s="6"/>
      <c r="F597" s="6" t="s">
        <v>139</v>
      </c>
      <c r="G597" s="8">
        <v>45675</v>
      </c>
      <c r="H597" s="6">
        <v>13.16</v>
      </c>
      <c r="I597" s="6" cm="1">
        <f t="array" ref="I597">IFERROR(VALUE(TRIM(LEFT(E597,MIN(FIND({" ";"g";"k";"m";"o"},E597&amp;" gkmo"))-1))),0)</f>
        <v>0</v>
      </c>
      <c r="J597" s="6" t="str" cm="1">
        <f t="array" ref="J597">IFERROR(TRIM(MID(E597,MIN(FIND({" ";"g";"k";"m";"o"},E597&amp;" gkmo")),10)),"unknown")</f>
        <v/>
      </c>
      <c r="K597" s="6" t="str">
        <f t="shared" si="36"/>
        <v>unknown</v>
      </c>
      <c r="L597" s="6" t="str">
        <f t="shared" si="37"/>
        <v>Unknown</v>
      </c>
      <c r="M597" s="6" t="str">
        <f t="shared" si="38"/>
        <v>Chips Paysanne Nature</v>
      </c>
      <c r="N597" s="6" t="str">
        <f t="shared" si="39"/>
        <v>France</v>
      </c>
    </row>
    <row r="598" spans="1:14" x14ac:dyDescent="0.25">
      <c r="A598" s="6" t="s">
        <v>1602</v>
      </c>
      <c r="B598" s="6">
        <v>10416</v>
      </c>
      <c r="C598" s="6" t="s">
        <v>1603</v>
      </c>
      <c r="D598" s="7" t="s">
        <v>578</v>
      </c>
      <c r="E598" s="6" t="s">
        <v>1080</v>
      </c>
      <c r="F598" s="6" t="s">
        <v>220</v>
      </c>
      <c r="G598" s="8">
        <v>45671</v>
      </c>
      <c r="H598" s="6">
        <v>15.64</v>
      </c>
      <c r="I598" s="6" cm="1">
        <f t="array" ref="I598">IFERROR(VALUE(TRIM(LEFT(E598,MIN(FIND({" ";"g";"k";"m";"o"},E598&amp;" gkmo"))-1))),0)</f>
        <v>210</v>
      </c>
      <c r="J598" s="6" t="str" cm="1">
        <f t="array" ref="J598">IFERROR(TRIM(MID(E598,MIN(FIND({" ";"g";"k";"m";"o"},E598&amp;" gkmo")),10)),"unknown")</f>
        <v>g</v>
      </c>
      <c r="K598" s="6" t="str">
        <f t="shared" si="36"/>
        <v>g</v>
      </c>
      <c r="L598" s="6" t="str">
        <f t="shared" si="37"/>
        <v>Marks &amp; Spencer</v>
      </c>
      <c r="M598" s="6" t="str">
        <f t="shared" si="38"/>
        <v>All Butter Scottish Shortbread Fingers</v>
      </c>
      <c r="N598" s="6" t="str">
        <f t="shared" si="39"/>
        <v>France, United Kingdom</v>
      </c>
    </row>
    <row r="599" spans="1:14" x14ac:dyDescent="0.25">
      <c r="A599" s="6" t="s">
        <v>1604</v>
      </c>
      <c r="B599" s="6">
        <v>9705</v>
      </c>
      <c r="C599" s="6" t="s">
        <v>1605</v>
      </c>
      <c r="D599" s="7" t="s">
        <v>1606</v>
      </c>
      <c r="E599" s="6" t="s">
        <v>14</v>
      </c>
      <c r="F599" s="6" t="s">
        <v>8304</v>
      </c>
      <c r="G599" s="8">
        <v>45783</v>
      </c>
      <c r="H599" s="6">
        <v>22.16</v>
      </c>
      <c r="I599" s="6" cm="1">
        <f t="array" ref="I599">IFERROR(VALUE(TRIM(LEFT(E599,MIN(FIND({" ";"g";"k";"m";"o"},E599&amp;" gkmo"))-1))),0)</f>
        <v>300</v>
      </c>
      <c r="J599" s="6" t="str" cm="1">
        <f t="array" ref="J599">IFERROR(TRIM(MID(E599,MIN(FIND({" ";"g";"k";"m";"o"},E599&amp;" gkmo")),10)),"unknown")</f>
        <v>g</v>
      </c>
      <c r="K599" s="6" t="str">
        <f t="shared" si="36"/>
        <v>g</v>
      </c>
      <c r="L599" s="6" t="str">
        <f t="shared" si="37"/>
        <v>Bonduelle</v>
      </c>
      <c r="M599" s="6" t="str">
        <f t="shared" si="38"/>
        <v>Taboule Oriental 300G</v>
      </c>
      <c r="N599" s="6" t="str">
        <f t="shared" si="39"/>
        <v>France, Belgium, Luxembourg</v>
      </c>
    </row>
    <row r="600" spans="1:14" x14ac:dyDescent="0.25">
      <c r="A600" s="6" t="s">
        <v>1607</v>
      </c>
      <c r="B600" s="6">
        <v>13428</v>
      </c>
      <c r="C600" s="6" t="s">
        <v>7630</v>
      </c>
      <c r="D600" s="7" t="s">
        <v>7017</v>
      </c>
      <c r="E600" s="6" t="s">
        <v>138</v>
      </c>
      <c r="F600" s="6" t="s">
        <v>1181</v>
      </c>
      <c r="G600" s="8">
        <v>45824</v>
      </c>
      <c r="H600" s="6">
        <v>10.57</v>
      </c>
      <c r="I600" s="6" cm="1">
        <f t="array" ref="I600">IFERROR(VALUE(TRIM(LEFT(E600,MIN(FIND({" ";"g";"k";"m";"o"},E600&amp;" gkmo"))-1))),0)</f>
        <v>400</v>
      </c>
      <c r="J600" s="6" t="str" cm="1">
        <f t="array" ref="J600">IFERROR(TRIM(MID(E600,MIN(FIND({" ";"g";"k";"m";"o"},E600&amp;" gkmo")),10)),"unknown")</f>
        <v>g</v>
      </c>
      <c r="K600" s="6" t="str">
        <f t="shared" si="36"/>
        <v>g</v>
      </c>
      <c r="L600" s="6" t="str">
        <f t="shared" si="37"/>
        <v>Unknown</v>
      </c>
      <c r="M600" s="6" t="str">
        <f t="shared" si="38"/>
        <v>Brossard Le Cake À  L'Anglaise</v>
      </c>
      <c r="N600" s="6" t="str">
        <f t="shared" si="39"/>
        <v>France,Switzerland</v>
      </c>
    </row>
    <row r="601" spans="1:14" x14ac:dyDescent="0.25">
      <c r="A601" s="6" t="s">
        <v>1608</v>
      </c>
      <c r="B601" s="6">
        <v>8461</v>
      </c>
      <c r="C601" s="6" t="s">
        <v>7631</v>
      </c>
      <c r="D601" s="7" t="s">
        <v>7017</v>
      </c>
      <c r="E601" s="6" t="s">
        <v>1609</v>
      </c>
      <c r="F601" s="6" t="s">
        <v>139</v>
      </c>
      <c r="G601" s="8">
        <v>45939</v>
      </c>
      <c r="H601" s="6">
        <v>12.36</v>
      </c>
      <c r="I601" s="6" cm="1">
        <f t="array" ref="I601">IFERROR(VALUE(TRIM(LEFT(E601,MIN(FIND({" ";"g";"k";"m";"o"},E601&amp;" gkmo"))-1))),0)</f>
        <v>630</v>
      </c>
      <c r="J601" s="6" t="str" cm="1">
        <f t="array" ref="J601">IFERROR(TRIM(MID(E601,MIN(FIND({" ";"g";"k";"m";"o"},E601&amp;" gkmo")),10)),"unknown")</f>
        <v>g e</v>
      </c>
      <c r="K601" s="6" t="str">
        <f t="shared" si="36"/>
        <v>g</v>
      </c>
      <c r="L601" s="6" t="str">
        <f t="shared" si="37"/>
        <v>Unknown</v>
      </c>
      <c r="M601" s="6" t="str">
        <f t="shared" si="38"/>
        <v>Brioche Tressée À  La Main</v>
      </c>
      <c r="N601" s="6" t="str">
        <f t="shared" si="39"/>
        <v>France</v>
      </c>
    </row>
    <row r="602" spans="1:14" x14ac:dyDescent="0.25">
      <c r="A602" s="6" t="s">
        <v>1610</v>
      </c>
      <c r="B602" s="6">
        <v>11794</v>
      </c>
      <c r="C602" s="6" t="s">
        <v>7120</v>
      </c>
      <c r="D602" s="7" t="s">
        <v>1611</v>
      </c>
      <c r="E602" s="6" t="s">
        <v>84</v>
      </c>
      <c r="F602" s="6" t="s">
        <v>1181</v>
      </c>
      <c r="G602" s="8">
        <v>45910</v>
      </c>
      <c r="H602" s="6">
        <v>11.46</v>
      </c>
      <c r="I602" s="6" cm="1">
        <f t="array" ref="I602">IFERROR(VALUE(TRIM(LEFT(E602,MIN(FIND({" ";"g";"k";"m";"o"},E602&amp;" gkmo"))-1))),0)</f>
        <v>85</v>
      </c>
      <c r="J602" s="6" t="str" cm="1">
        <f t="array" ref="J602">IFERROR(TRIM(MID(E602,MIN(FIND({" ";"g";"k";"m";"o"},E602&amp;" gkmo")),10)),"unknown")</f>
        <v>g</v>
      </c>
      <c r="K602" s="6" t="str">
        <f t="shared" si="36"/>
        <v>g</v>
      </c>
      <c r="L602" s="6" t="str">
        <f t="shared" si="37"/>
        <v>Intersnack,Monster Munch,Vico</v>
      </c>
      <c r="M602" s="6" t="str">
        <f t="shared" si="38"/>
        <v>Monster Munch Salé</v>
      </c>
      <c r="N602" s="6" t="str">
        <f t="shared" si="39"/>
        <v>France,Switzerland</v>
      </c>
    </row>
    <row r="603" spans="1:14" x14ac:dyDescent="0.25">
      <c r="A603" s="6" t="s">
        <v>1612</v>
      </c>
      <c r="B603" s="6">
        <v>5851</v>
      </c>
      <c r="C603" s="6" t="s">
        <v>1613</v>
      </c>
      <c r="D603" s="7" t="s">
        <v>1105</v>
      </c>
      <c r="E603" s="6"/>
      <c r="F603" s="6" t="s">
        <v>139</v>
      </c>
      <c r="G603" s="8">
        <v>46035</v>
      </c>
      <c r="H603" s="6">
        <v>19.95</v>
      </c>
      <c r="I603" s="6" cm="1">
        <f t="array" ref="I603">IFERROR(VALUE(TRIM(LEFT(E603,MIN(FIND({" ";"g";"k";"m";"o"},E603&amp;" gkmo"))-1))),0)</f>
        <v>0</v>
      </c>
      <c r="J603" s="6" t="str" cm="1">
        <f t="array" ref="J603">IFERROR(TRIM(MID(E603,MIN(FIND({" ";"g";"k";"m";"o"},E603&amp;" gkmo")),10)),"unknown")</f>
        <v/>
      </c>
      <c r="K603" s="6" t="str">
        <f t="shared" si="36"/>
        <v>unknown</v>
      </c>
      <c r="L603" s="6" t="str">
        <f t="shared" si="37"/>
        <v>Vico</v>
      </c>
      <c r="M603" s="6" t="str">
        <f t="shared" si="38"/>
        <v>La Vicoise Saveur Sel De Mer</v>
      </c>
      <c r="N603" s="6" t="str">
        <f t="shared" si="39"/>
        <v>France</v>
      </c>
    </row>
    <row r="604" spans="1:14" x14ac:dyDescent="0.25">
      <c r="A604" s="6" t="s">
        <v>1614</v>
      </c>
      <c r="B604" s="6">
        <v>12804</v>
      </c>
      <c r="C604" s="6" t="s">
        <v>1615</v>
      </c>
      <c r="D604" s="7" t="s">
        <v>116</v>
      </c>
      <c r="E604" s="6" t="s">
        <v>1389</v>
      </c>
      <c r="F604" s="6" t="s">
        <v>400</v>
      </c>
      <c r="G604" s="8">
        <v>45371</v>
      </c>
      <c r="H604" s="6">
        <v>16.3</v>
      </c>
      <c r="I604" s="6" cm="1">
        <f t="array" ref="I604">IFERROR(VALUE(TRIM(LEFT(E604,MIN(FIND({" ";"g";"k";"m";"o"},E604&amp;" gkmo"))-1))),0)</f>
        <v>40</v>
      </c>
      <c r="J604" s="6" t="str" cm="1">
        <f t="array" ref="J604">IFERROR(TRIM(MID(E604,MIN(FIND({" ";"g";"k";"m";"o"},E604&amp;" gkmo")),10)),"unknown")</f>
        <v>g</v>
      </c>
      <c r="K604" s="6" t="str">
        <f t="shared" si="36"/>
        <v>g</v>
      </c>
      <c r="L604" s="6" t="str">
        <f t="shared" si="37"/>
        <v>Nature Valley</v>
      </c>
      <c r="M604" s="6" t="str">
        <f t="shared" si="38"/>
        <v>Protein Bar Peanut And Chocolate</v>
      </c>
      <c r="N604" s="6" t="str">
        <f t="shared" si="39"/>
        <v>France,United Kingdom</v>
      </c>
    </row>
    <row r="605" spans="1:14" x14ac:dyDescent="0.25">
      <c r="A605" s="6" t="s">
        <v>1616</v>
      </c>
      <c r="B605" s="6">
        <v>10744</v>
      </c>
      <c r="C605" s="6" t="s">
        <v>1617</v>
      </c>
      <c r="D605" s="7" t="s">
        <v>940</v>
      </c>
      <c r="E605" s="6" t="s">
        <v>64</v>
      </c>
      <c r="F605" s="6" t="s">
        <v>177</v>
      </c>
      <c r="G605" s="8">
        <v>45766</v>
      </c>
      <c r="H605" s="6">
        <v>9.1</v>
      </c>
      <c r="I605" s="6" cm="1">
        <f t="array" ref="I605">IFERROR(VALUE(TRIM(LEFT(E605,MIN(FIND({" ";"g";"k";"m";"o"},E605&amp;" gkmo"))-1))),0)</f>
        <v>150</v>
      </c>
      <c r="J605" s="6" t="str" cm="1">
        <f t="array" ref="J605">IFERROR(TRIM(MID(E605,MIN(FIND({" ";"g";"k";"m";"o"},E605&amp;" gkmo")),10)),"unknown")</f>
        <v>g</v>
      </c>
      <c r="K605" s="6" t="str">
        <f t="shared" si="36"/>
        <v>g</v>
      </c>
      <c r="L605" s="6" t="str">
        <f t="shared" si="37"/>
        <v>Crosta &amp; Mollica</v>
      </c>
      <c r="M605" s="6" t="str">
        <f t="shared" si="38"/>
        <v>Black Peppercorn Bolli Italian Crackers</v>
      </c>
      <c r="N605" s="6" t="str">
        <f t="shared" si="39"/>
        <v>United Kingdom</v>
      </c>
    </row>
    <row r="606" spans="1:14" x14ac:dyDescent="0.25">
      <c r="A606" s="6" t="s">
        <v>1618</v>
      </c>
      <c r="B606" s="6">
        <v>11603</v>
      </c>
      <c r="C606" s="6" t="s">
        <v>1619</v>
      </c>
      <c r="D606" s="7" t="s">
        <v>817</v>
      </c>
      <c r="E606" s="6"/>
      <c r="F606" s="6" t="s">
        <v>7972</v>
      </c>
      <c r="G606" s="8">
        <v>45573</v>
      </c>
      <c r="H606" s="6">
        <v>10.16</v>
      </c>
      <c r="I606" s="6" cm="1">
        <f t="array" ref="I606">IFERROR(VALUE(TRIM(LEFT(E606,MIN(FIND({" ";"g";"k";"m";"o"},E606&amp;" gkmo"))-1))),0)</f>
        <v>0</v>
      </c>
      <c r="J606" s="6" t="str" cm="1">
        <f t="array" ref="J606">IFERROR(TRIM(MID(E606,MIN(FIND({" ";"g";"k";"m";"o"},E606&amp;" gkmo")),10)),"unknown")</f>
        <v/>
      </c>
      <c r="K606" s="6" t="str">
        <f t="shared" si="36"/>
        <v>unknown</v>
      </c>
      <c r="L606" s="6" t="str">
        <f t="shared" si="37"/>
        <v>Soreen</v>
      </c>
      <c r="M606" s="6" t="str">
        <f t="shared" si="38"/>
        <v>Malt Lunchbox Loaves</v>
      </c>
      <c r="N606" s="6" t="str">
        <f t="shared" si="39"/>
        <v>United States, United-Kingdom</v>
      </c>
    </row>
    <row r="607" spans="1:14" x14ac:dyDescent="0.25">
      <c r="A607" s="6" t="s">
        <v>1620</v>
      </c>
      <c r="B607" s="6">
        <v>9790</v>
      </c>
      <c r="C607" s="6" t="s">
        <v>1621</v>
      </c>
      <c r="D607" s="7" t="s">
        <v>525</v>
      </c>
      <c r="E607" s="6"/>
      <c r="F607" s="6" t="s">
        <v>48</v>
      </c>
      <c r="G607" s="8">
        <v>45715</v>
      </c>
      <c r="H607" s="6">
        <v>13.64</v>
      </c>
      <c r="I607" s="6" cm="1">
        <f t="array" ref="I607">IFERROR(VALUE(TRIM(LEFT(E607,MIN(FIND({" ";"g";"k";"m";"o"},E607&amp;" gkmo"))-1))),0)</f>
        <v>0</v>
      </c>
      <c r="J607" s="6" t="str" cm="1">
        <f t="array" ref="J607">IFERROR(TRIM(MID(E607,MIN(FIND({" ";"g";"k";"m";"o"},E607&amp;" gkmo")),10)),"unknown")</f>
        <v/>
      </c>
      <c r="K607" s="6" t="str">
        <f t="shared" si="36"/>
        <v>unknown</v>
      </c>
      <c r="L607" s="6" t="str">
        <f t="shared" si="37"/>
        <v>Aiguebelle</v>
      </c>
      <c r="M607" s="6" t="str">
        <f t="shared" si="38"/>
        <v>Mini Delice Amandes</v>
      </c>
      <c r="N607" s="6" t="str">
        <f t="shared" si="39"/>
        <v>Morocco</v>
      </c>
    </row>
    <row r="608" spans="1:14" x14ac:dyDescent="0.25">
      <c r="A608" s="6" t="s">
        <v>1622</v>
      </c>
      <c r="B608" s="6">
        <v>6850</v>
      </c>
      <c r="C608" s="6" t="s">
        <v>7121</v>
      </c>
      <c r="D608" s="7" t="s">
        <v>1623</v>
      </c>
      <c r="E608" s="6" t="s">
        <v>1624</v>
      </c>
      <c r="F608" s="6" t="s">
        <v>8225</v>
      </c>
      <c r="G608" s="8">
        <v>45327</v>
      </c>
      <c r="H608" s="6">
        <v>13.16</v>
      </c>
      <c r="I608" s="6" cm="1">
        <f t="array" ref="I608">IFERROR(VALUE(TRIM(LEFT(E608,MIN(FIND({" ";"g";"k";"m";"o"},E608&amp;" gkmo"))-1))),0)</f>
        <v>41.4</v>
      </c>
      <c r="J608" s="6" t="str" cm="1">
        <f t="array" ref="J608">IFERROR(TRIM(MID(E608,MIN(FIND({" ";"g";"k";"m";"o"},E608&amp;" gkmo")),10)),"unknown")</f>
        <v>g</v>
      </c>
      <c r="K608" s="6" t="str">
        <f t="shared" si="36"/>
        <v>g</v>
      </c>
      <c r="L608" s="6" t="str">
        <f t="shared" si="37"/>
        <v>Nutella</v>
      </c>
      <c r="M608" s="6" t="str">
        <f t="shared" si="38"/>
        <v>Biscuits Nutella X3 Biscuits Fourrés - 41,4G</v>
      </c>
      <c r="N608" s="6" t="str">
        <f t="shared" si="39"/>
        <v>France,Marruecos,Rumania,Espaà±A</v>
      </c>
    </row>
    <row r="609" spans="1:14" x14ac:dyDescent="0.25">
      <c r="A609" s="6" t="s">
        <v>1625</v>
      </c>
      <c r="B609" s="6">
        <v>12032</v>
      </c>
      <c r="C609" s="6" t="s">
        <v>1626</v>
      </c>
      <c r="D609" s="7" t="s">
        <v>7017</v>
      </c>
      <c r="E609" s="6" t="s">
        <v>962</v>
      </c>
      <c r="F609" s="6" t="s">
        <v>1092</v>
      </c>
      <c r="G609" s="8">
        <v>45838</v>
      </c>
      <c r="H609" s="6">
        <v>5.55</v>
      </c>
      <c r="I609" s="6" cm="1">
        <f t="array" ref="I609">IFERROR(VALUE(TRIM(LEFT(E609,MIN(FIND({" ";"g";"k";"m";"o"},E609&amp;" gkmo"))-1))),0)</f>
        <v>225</v>
      </c>
      <c r="J609" s="6" t="str" cm="1">
        <f t="array" ref="J609">IFERROR(TRIM(MID(E609,MIN(FIND({" ";"g";"k";"m";"o"},E609&amp;" gkmo")),10)),"unknown")</f>
        <v>g</v>
      </c>
      <c r="K609" s="6" t="str">
        <f t="shared" si="36"/>
        <v>g</v>
      </c>
      <c r="L609" s="6" t="str">
        <f t="shared" si="37"/>
        <v>Unknown</v>
      </c>
      <c r="M609" s="6" t="str">
        <f t="shared" si="38"/>
        <v>Granola L'Original</v>
      </c>
      <c r="N609" s="6" t="str">
        <f t="shared" si="39"/>
        <v>Frankrijk</v>
      </c>
    </row>
    <row r="610" spans="1:14" x14ac:dyDescent="0.25">
      <c r="A610" s="6" t="s">
        <v>1627</v>
      </c>
      <c r="B610" s="6">
        <v>10120</v>
      </c>
      <c r="C610" s="6" t="s">
        <v>7632</v>
      </c>
      <c r="D610" s="7" t="s">
        <v>1628</v>
      </c>
      <c r="E610" s="6" t="s">
        <v>138</v>
      </c>
      <c r="F610" s="6" t="s">
        <v>139</v>
      </c>
      <c r="G610" s="8">
        <v>46039</v>
      </c>
      <c r="H610" s="6">
        <v>13.66</v>
      </c>
      <c r="I610" s="6" cm="1">
        <f t="array" ref="I610">IFERROR(VALUE(TRIM(LEFT(E610,MIN(FIND({" ";"g";"k";"m";"o"},E610&amp;" gkmo"))-1))),0)</f>
        <v>400</v>
      </c>
      <c r="J610" s="6" t="str" cm="1">
        <f t="array" ref="J610">IFERROR(TRIM(MID(E610,MIN(FIND({" ";"g";"k";"m";"o"},E610&amp;" gkmo")),10)),"unknown")</f>
        <v>g</v>
      </c>
      <c r="K610" s="6" t="str">
        <f t="shared" si="36"/>
        <v>g</v>
      </c>
      <c r="L610" s="6" t="str">
        <f t="shared" si="37"/>
        <v>Belvita, Lu</v>
      </c>
      <c r="M610" s="6" t="str">
        <f t="shared" si="38"/>
        <v>Belvita Petit Déjeuner Goà»T Noisette Et Chocolat</v>
      </c>
      <c r="N610" s="6" t="str">
        <f t="shared" si="39"/>
        <v>France</v>
      </c>
    </row>
    <row r="611" spans="1:14" x14ac:dyDescent="0.25">
      <c r="A611" s="6" t="s">
        <v>1629</v>
      </c>
      <c r="B611" s="6">
        <v>12600</v>
      </c>
      <c r="C611" s="6" t="s">
        <v>7122</v>
      </c>
      <c r="D611" s="7" t="s">
        <v>1630</v>
      </c>
      <c r="E611" s="6" t="s">
        <v>39</v>
      </c>
      <c r="F611" s="6" t="s">
        <v>139</v>
      </c>
      <c r="G611" s="8">
        <v>46049</v>
      </c>
      <c r="H611" s="6">
        <v>11.58</v>
      </c>
      <c r="I611" s="6" cm="1">
        <f t="array" ref="I611">IFERROR(VALUE(TRIM(LEFT(E611,MIN(FIND({" ";"g";"k";"m";"o"},E611&amp;" gkmo"))-1))),0)</f>
        <v>150</v>
      </c>
      <c r="J611" s="6" t="str" cm="1">
        <f t="array" ref="J611">IFERROR(TRIM(MID(E611,MIN(FIND({" ";"g";"k";"m";"o"},E611&amp;" gkmo")),10)),"unknown")</f>
        <v>g</v>
      </c>
      <c r="K611" s="6" t="str">
        <f t="shared" si="36"/>
        <v>g</v>
      </c>
      <c r="L611" s="6" t="str">
        <f t="shared" si="37"/>
        <v>Delacre</v>
      </c>
      <c r="M611" s="6" t="str">
        <f t="shared" si="38"/>
        <v>Délichoc Noir</v>
      </c>
      <c r="N611" s="6" t="str">
        <f t="shared" si="39"/>
        <v>France</v>
      </c>
    </row>
    <row r="612" spans="1:14" x14ac:dyDescent="0.25">
      <c r="A612" s="6" t="s">
        <v>1631</v>
      </c>
      <c r="B612" s="6">
        <v>12918</v>
      </c>
      <c r="C612" s="6" t="s">
        <v>1632</v>
      </c>
      <c r="D612" s="7" t="s">
        <v>1633</v>
      </c>
      <c r="E612" s="6" t="s">
        <v>10</v>
      </c>
      <c r="F612" s="6" t="s">
        <v>7973</v>
      </c>
      <c r="G612" s="8">
        <v>46023</v>
      </c>
      <c r="H612" s="6">
        <v>13.15</v>
      </c>
      <c r="I612" s="6" cm="1">
        <f t="array" ref="I612">IFERROR(VALUE(TRIM(LEFT(E612,MIN(FIND({" ";"g";"k";"m";"o"},E612&amp;" gkmo"))-1))),0)</f>
        <v>100</v>
      </c>
      <c r="J612" s="6" t="str" cm="1">
        <f t="array" ref="J612">IFERROR(TRIM(MID(E612,MIN(FIND({" ";"g";"k";"m";"o"},E612&amp;" gkmo")),10)),"unknown")</f>
        <v>g</v>
      </c>
      <c r="K612" s="6" t="str">
        <f t="shared" si="36"/>
        <v>g</v>
      </c>
      <c r="L612" s="6" t="str">
        <f t="shared" si="37"/>
        <v>Ritter Sport</v>
      </c>
      <c r="M612" s="6" t="str">
        <f t="shared" si="38"/>
        <v>Dunkle Voll-Nuss</v>
      </c>
      <c r="N612" s="6" t="str">
        <f t="shared" si="39"/>
        <v>Austria, Belgium, Czech Republic, Denmark, France, Germany, Italy, Norway, Russia, Sweden, Switzerland, United Kingdom, Netherlands</v>
      </c>
    </row>
    <row r="613" spans="1:14" x14ac:dyDescent="0.25">
      <c r="A613" s="6" t="s">
        <v>1634</v>
      </c>
      <c r="B613" s="6">
        <v>13347</v>
      </c>
      <c r="C613" s="6" t="s">
        <v>1635</v>
      </c>
      <c r="D613" s="7" t="s">
        <v>7017</v>
      </c>
      <c r="E613" s="6" t="s">
        <v>528</v>
      </c>
      <c r="F613" s="6" t="s">
        <v>7926</v>
      </c>
      <c r="G613" s="8">
        <v>45580</v>
      </c>
      <c r="H613" s="6">
        <v>9.35</v>
      </c>
      <c r="I613" s="6" cm="1">
        <f t="array" ref="I613">IFERROR(VALUE(TRIM(LEFT(E613,MIN(FIND({" ";"g";"k";"m";"o"},E613&amp;" gkmo"))-1))),0)</f>
        <v>200</v>
      </c>
      <c r="J613" s="6" t="str" cm="1">
        <f t="array" ref="J613">IFERROR(TRIM(MID(E613,MIN(FIND({" ";"g";"k";"m";"o"},E613&amp;" gkmo")),10)),"unknown")</f>
        <v>g</v>
      </c>
      <c r="K613" s="6" t="str">
        <f t="shared" si="36"/>
        <v>g</v>
      </c>
      <c r="L613" s="6" t="str">
        <f t="shared" si="37"/>
        <v>Unknown</v>
      </c>
      <c r="M613" s="6" t="str">
        <f t="shared" si="38"/>
        <v>Crunchy Savoury Wholewheat Sticks</v>
      </c>
      <c r="N613" s="6" t="str">
        <f t="shared" si="39"/>
        <v>France, United-Kingdom</v>
      </c>
    </row>
    <row r="614" spans="1:14" x14ac:dyDescent="0.25">
      <c r="A614" s="6" t="s">
        <v>1636</v>
      </c>
      <c r="B614" s="6">
        <v>5619</v>
      </c>
      <c r="C614" s="6" t="s">
        <v>1637</v>
      </c>
      <c r="D614" s="7" t="s">
        <v>7017</v>
      </c>
      <c r="E614" s="6" t="s">
        <v>39</v>
      </c>
      <c r="F614" s="6" t="s">
        <v>400</v>
      </c>
      <c r="G614" s="8">
        <v>45991</v>
      </c>
      <c r="H614" s="6">
        <v>13.97</v>
      </c>
      <c r="I614" s="6" cm="1">
        <f t="array" ref="I614">IFERROR(VALUE(TRIM(LEFT(E614,MIN(FIND({" ";"g";"k";"m";"o"},E614&amp;" gkmo"))-1))),0)</f>
        <v>150</v>
      </c>
      <c r="J614" s="6" t="str" cm="1">
        <f t="array" ref="J614">IFERROR(TRIM(MID(E614,MIN(FIND({" ";"g";"k";"m";"o"},E614&amp;" gkmo")),10)),"unknown")</f>
        <v>g</v>
      </c>
      <c r="K614" s="6" t="str">
        <f t="shared" si="36"/>
        <v>g</v>
      </c>
      <c r="L614" s="6" t="str">
        <f t="shared" si="37"/>
        <v>Unknown</v>
      </c>
      <c r="M614" s="6" t="str">
        <f t="shared" si="38"/>
        <v>Sweet Chilli Flavour Wholegrain Snack</v>
      </c>
      <c r="N614" s="6" t="str">
        <f t="shared" si="39"/>
        <v>France,United Kingdom</v>
      </c>
    </row>
    <row r="615" spans="1:14" x14ac:dyDescent="0.25">
      <c r="A615" s="6" t="s">
        <v>1638</v>
      </c>
      <c r="B615" s="6">
        <v>10152</v>
      </c>
      <c r="C615" s="6" t="s">
        <v>1639</v>
      </c>
      <c r="D615" s="7" t="s">
        <v>7017</v>
      </c>
      <c r="E615" s="6" t="s">
        <v>39</v>
      </c>
      <c r="F615" s="6" t="s">
        <v>400</v>
      </c>
      <c r="G615" s="8">
        <v>45481</v>
      </c>
      <c r="H615" s="6">
        <v>2.2599999999999998</v>
      </c>
      <c r="I615" s="6" cm="1">
        <f t="array" ref="I615">IFERROR(VALUE(TRIM(LEFT(E615,MIN(FIND({" ";"g";"k";"m";"o"},E615&amp;" gkmo"))-1))),0)</f>
        <v>150</v>
      </c>
      <c r="J615" s="6" t="str" cm="1">
        <f t="array" ref="J615">IFERROR(TRIM(MID(E615,MIN(FIND({" ";"g";"k";"m";"o"},E615&amp;" gkmo")),10)),"unknown")</f>
        <v>g</v>
      </c>
      <c r="K615" s="6" t="str">
        <f t="shared" si="36"/>
        <v>g</v>
      </c>
      <c r="L615" s="6" t="str">
        <f t="shared" si="37"/>
        <v>Unknown</v>
      </c>
      <c r="M615" s="6" t="str">
        <f t="shared" si="38"/>
        <v>Sea Salted Potato Crisps</v>
      </c>
      <c r="N615" s="6" t="str">
        <f t="shared" si="39"/>
        <v>France,United Kingdom</v>
      </c>
    </row>
    <row r="616" spans="1:14" x14ac:dyDescent="0.25">
      <c r="A616" s="6" t="s">
        <v>1640</v>
      </c>
      <c r="B616" s="6">
        <v>8408</v>
      </c>
      <c r="C616" s="6" t="s">
        <v>1641</v>
      </c>
      <c r="D616" s="7" t="s">
        <v>1542</v>
      </c>
      <c r="E616" s="6" t="s">
        <v>73</v>
      </c>
      <c r="F616" s="6" t="s">
        <v>8371</v>
      </c>
      <c r="G616" s="8">
        <v>45476</v>
      </c>
      <c r="H616" s="6">
        <v>13.6</v>
      </c>
      <c r="I616" s="6" cm="1">
        <f t="array" ref="I616">IFERROR(VALUE(TRIM(LEFT(E616,MIN(FIND({" ";"g";"k";"m";"o"},E616&amp;" gkmo"))-1))),0)</f>
        <v>225</v>
      </c>
      <c r="J616" s="6" t="str" cm="1">
        <f t="array" ref="J616">IFERROR(TRIM(MID(E616,MIN(FIND({" ";"g";"k";"m";"o"},E616&amp;" gkmo")),10)),"unknown")</f>
        <v>g</v>
      </c>
      <c r="K616" s="6" t="str">
        <f t="shared" si="36"/>
        <v>g</v>
      </c>
      <c r="L616" s="6" t="str">
        <f t="shared" si="37"/>
        <v>Balconi</v>
      </c>
      <c r="M616" s="6" t="str">
        <f t="shared" si="38"/>
        <v>Wafers Bfb Hazelnut</v>
      </c>
      <c r="N616" s="6" t="str">
        <f t="shared" si="39"/>
        <v>France,Morocco,Spain,United Kingdom</v>
      </c>
    </row>
    <row r="617" spans="1:14" x14ac:dyDescent="0.25">
      <c r="A617" s="6" t="s">
        <v>1642</v>
      </c>
      <c r="B617" s="6">
        <v>13747</v>
      </c>
      <c r="C617" s="6" t="s">
        <v>1643</v>
      </c>
      <c r="D617" s="7" t="s">
        <v>1644</v>
      </c>
      <c r="E617" s="6">
        <v>800</v>
      </c>
      <c r="F617" s="6" t="s">
        <v>8226</v>
      </c>
      <c r="G617" s="8">
        <v>45568</v>
      </c>
      <c r="H617" s="6">
        <v>19.510000000000002</v>
      </c>
      <c r="I617" s="6" cm="1">
        <f t="array" ref="I617">IFERROR(VALUE(TRIM(LEFT(E617,MIN(FIND({" ";"g";"k";"m";"o"},E617&amp;" gkmo"))-1))),0)</f>
        <v>800</v>
      </c>
      <c r="J617" s="6" t="str" cm="1">
        <f t="array" ref="J617">IFERROR(TRIM(MID(E617,MIN(FIND({" ";"g";"k";"m";"o"},E617&amp;" gkmo")),10)),"unknown")</f>
        <v/>
      </c>
      <c r="K617" s="6" t="str">
        <f t="shared" si="36"/>
        <v>unknown</v>
      </c>
      <c r="L617" s="6" t="str">
        <f t="shared" si="37"/>
        <v>Barilla,Mulino Bianco</v>
      </c>
      <c r="M617" s="6" t="str">
        <f t="shared" si="38"/>
        <v>Molinetti</v>
      </c>
      <c r="N617" s="6" t="str">
        <f t="shared" si="39"/>
        <v>France,Italia</v>
      </c>
    </row>
    <row r="618" spans="1:14" x14ac:dyDescent="0.25">
      <c r="A618" s="6" t="s">
        <v>1645</v>
      </c>
      <c r="B618" s="6">
        <v>7451</v>
      </c>
      <c r="C618" s="6" t="s">
        <v>135</v>
      </c>
      <c r="D618" s="7" t="s">
        <v>135</v>
      </c>
      <c r="E618" s="6" t="s">
        <v>10</v>
      </c>
      <c r="F618" s="6" t="s">
        <v>8213</v>
      </c>
      <c r="G618" s="8">
        <v>45460</v>
      </c>
      <c r="H618" s="6">
        <v>2.65</v>
      </c>
      <c r="I618" s="6" cm="1">
        <f t="array" ref="I618">IFERROR(VALUE(TRIM(LEFT(E618,MIN(FIND({" ";"g";"k";"m";"o"},E618&amp;" gkmo"))-1))),0)</f>
        <v>100</v>
      </c>
      <c r="J618" s="6" t="str" cm="1">
        <f t="array" ref="J618">IFERROR(TRIM(MID(E618,MIN(FIND({" ";"g";"k";"m";"o"},E618&amp;" gkmo")),10)),"unknown")</f>
        <v>g</v>
      </c>
      <c r="K618" s="6" t="str">
        <f t="shared" si="36"/>
        <v>g</v>
      </c>
      <c r="L618" s="6" t="str">
        <f t="shared" si="37"/>
        <v>Milka</v>
      </c>
      <c r="M618" s="6" t="str">
        <f t="shared" si="38"/>
        <v>Milka</v>
      </c>
      <c r="N618" s="6" t="str">
        <f t="shared" si="39"/>
        <v>France, Morocco, Morocco</v>
      </c>
    </row>
    <row r="619" spans="1:14" x14ac:dyDescent="0.25">
      <c r="A619" s="6" t="s">
        <v>1646</v>
      </c>
      <c r="B619" s="6">
        <v>12938</v>
      </c>
      <c r="C619" s="6" t="s">
        <v>1647</v>
      </c>
      <c r="D619" s="7" t="s">
        <v>542</v>
      </c>
      <c r="E619" s="6" t="s">
        <v>120</v>
      </c>
      <c r="F619" s="6" t="s">
        <v>177</v>
      </c>
      <c r="G619" s="8">
        <v>45602</v>
      </c>
      <c r="H619" s="6">
        <v>13.16</v>
      </c>
      <c r="I619" s="6" cm="1">
        <f t="array" ref="I619">IFERROR(VALUE(TRIM(LEFT(E619,MIN(FIND({" ";"g";"k";"m";"o"},E619&amp;" gkmo"))-1))),0)</f>
        <v>210</v>
      </c>
      <c r="J619" s="6" t="str" cm="1">
        <f t="array" ref="J619">IFERROR(TRIM(MID(E619,MIN(FIND({" ";"g";"k";"m";"o"},E619&amp;" gkmo")),10)),"unknown")</f>
        <v>g</v>
      </c>
      <c r="K619" s="6" t="str">
        <f t="shared" si="36"/>
        <v>g</v>
      </c>
      <c r="L619" s="6" t="str">
        <f t="shared" si="37"/>
        <v>Proper Corn</v>
      </c>
      <c r="M619" s="6" t="str">
        <f t="shared" si="38"/>
        <v>Salted Microwave Popcorn</v>
      </c>
      <c r="N619" s="6" t="str">
        <f t="shared" si="39"/>
        <v>United Kingdom</v>
      </c>
    </row>
    <row r="620" spans="1:14" x14ac:dyDescent="0.25">
      <c r="A620" s="6" t="s">
        <v>1648</v>
      </c>
      <c r="B620" s="6">
        <v>13737</v>
      </c>
      <c r="C620" s="6" t="s">
        <v>1649</v>
      </c>
      <c r="D620" s="7" t="s">
        <v>1650</v>
      </c>
      <c r="E620" s="6" t="s">
        <v>10</v>
      </c>
      <c r="F620" s="6" t="s">
        <v>1651</v>
      </c>
      <c r="G620" s="8">
        <v>45966</v>
      </c>
      <c r="H620" s="6">
        <v>13.16</v>
      </c>
      <c r="I620" s="6" cm="1">
        <f t="array" ref="I620">IFERROR(VALUE(TRIM(LEFT(E620,MIN(FIND({" ";"g";"k";"m";"o"},E620&amp;" gkmo"))-1))),0)</f>
        <v>100</v>
      </c>
      <c r="J620" s="6" t="str" cm="1">
        <f t="array" ref="J620">IFERROR(TRIM(MID(E620,MIN(FIND({" ";"g";"k";"m";"o"},E620&amp;" gkmo")),10)),"unknown")</f>
        <v>g</v>
      </c>
      <c r="K620" s="6" t="str">
        <f t="shared" si="36"/>
        <v>g</v>
      </c>
      <c r="L620" s="6" t="str">
        <f t="shared" si="37"/>
        <v>M&amp;S Collection</v>
      </c>
      <c r="M620" s="6" t="str">
        <f t="shared" si="38"/>
        <v>Dark Milk Chocolate</v>
      </c>
      <c r="N620" s="6" t="str">
        <f t="shared" si="39"/>
        <v>Hong Kong</v>
      </c>
    </row>
    <row r="621" spans="1:14" x14ac:dyDescent="0.25">
      <c r="A621" s="6" t="s">
        <v>1652</v>
      </c>
      <c r="B621" s="6">
        <v>9817</v>
      </c>
      <c r="C621" s="6" t="s">
        <v>1653</v>
      </c>
      <c r="D621" s="7" t="s">
        <v>310</v>
      </c>
      <c r="E621" s="6" t="s">
        <v>138</v>
      </c>
      <c r="F621" s="6" t="s">
        <v>139</v>
      </c>
      <c r="G621" s="8">
        <v>45488</v>
      </c>
      <c r="H621" s="6">
        <v>7.12</v>
      </c>
      <c r="I621" s="6" cm="1">
        <f t="array" ref="I621">IFERROR(VALUE(TRIM(LEFT(E621,MIN(FIND({" ";"g";"k";"m";"o"},E621&amp;" gkmo"))-1))),0)</f>
        <v>400</v>
      </c>
      <c r="J621" s="6" t="str" cm="1">
        <f t="array" ref="J621">IFERROR(TRIM(MID(E621,MIN(FIND({" ";"g";"k";"m";"o"},E621&amp;" gkmo")),10)),"unknown")</f>
        <v>g</v>
      </c>
      <c r="K621" s="6" t="str">
        <f t="shared" si="36"/>
        <v>g</v>
      </c>
      <c r="L621" s="6" t="str">
        <f t="shared" si="37"/>
        <v>St Michel</v>
      </c>
      <c r="M621" s="6" t="str">
        <f t="shared" si="38"/>
        <v>Petites Madeleines -30% De Sucres</v>
      </c>
      <c r="N621" s="6" t="str">
        <f t="shared" si="39"/>
        <v>France</v>
      </c>
    </row>
    <row r="622" spans="1:14" x14ac:dyDescent="0.25">
      <c r="A622" s="6" t="s">
        <v>1654</v>
      </c>
      <c r="B622" s="6">
        <v>9075</v>
      </c>
      <c r="C622" s="6" t="s">
        <v>1529</v>
      </c>
      <c r="D622" s="7" t="s">
        <v>1655</v>
      </c>
      <c r="E622" s="6" t="s">
        <v>1656</v>
      </c>
      <c r="F622" s="6" t="s">
        <v>7974</v>
      </c>
      <c r="G622" s="8">
        <v>45364</v>
      </c>
      <c r="H622" s="6">
        <v>17.600000000000001</v>
      </c>
      <c r="I622" s="6" cm="1">
        <f t="array" ref="I622">IFERROR(VALUE(TRIM(LEFT(E622,MIN(FIND({" ";"g";"k";"m";"o"},E622&amp;" gkmo"))-1))),0)</f>
        <v>51</v>
      </c>
      <c r="J622" s="6" t="str" cm="1">
        <f t="array" ref="J622">IFERROR(TRIM(MID(E622,MIN(FIND({" ";"g";"k";"m";"o"},E622&amp;" gkmo")),10)),"unknown")</f>
        <v>g</v>
      </c>
      <c r="K622" s="6" t="str">
        <f t="shared" si="36"/>
        <v>g</v>
      </c>
      <c r="L622" s="6" t="str">
        <f t="shared" si="37"/>
        <v>Mars, Mars Wrigley</v>
      </c>
      <c r="M622" s="6" t="str">
        <f t="shared" si="38"/>
        <v>Mars</v>
      </c>
      <c r="N622" s="6" t="str">
        <f t="shared" si="39"/>
        <v>France, Germany, Hungary, Morocco, Poland, Romania</v>
      </c>
    </row>
    <row r="623" spans="1:14" x14ac:dyDescent="0.25">
      <c r="A623" s="6" t="s">
        <v>1657</v>
      </c>
      <c r="B623" s="6">
        <v>6811</v>
      </c>
      <c r="C623" s="6" t="s">
        <v>7467</v>
      </c>
      <c r="D623" s="7" t="s">
        <v>1084</v>
      </c>
      <c r="E623" s="6" t="s">
        <v>39</v>
      </c>
      <c r="F623" s="6" t="s">
        <v>8372</v>
      </c>
      <c r="G623" s="8">
        <v>45401</v>
      </c>
      <c r="H623" s="6">
        <v>3.98</v>
      </c>
      <c r="I623" s="6" cm="1">
        <f t="array" ref="I623">IFERROR(VALUE(TRIM(LEFT(E623,MIN(FIND({" ";"g";"k";"m";"o"},E623&amp;" gkmo"))-1))),0)</f>
        <v>150</v>
      </c>
      <c r="J623" s="6" t="str" cm="1">
        <f t="array" ref="J623">IFERROR(TRIM(MID(E623,MIN(FIND({" ";"g";"k";"m";"o"},E623&amp;" gkmo")),10)),"unknown")</f>
        <v>g</v>
      </c>
      <c r="K623" s="6" t="str">
        <f t="shared" si="36"/>
        <v>g</v>
      </c>
      <c r="L623" s="6" t="str">
        <f t="shared" si="37"/>
        <v>Lotus</v>
      </c>
      <c r="M623" s="6" t="str">
        <f t="shared" si="38"/>
        <v>Lotus Biscoff Speculoos Fourré - Crème Saveur Chocolat - 150G</v>
      </c>
      <c r="N623" s="6" t="str">
        <f t="shared" si="39"/>
        <v>République Tchèque,France,Germany,Morocco,Spain,United Kingdom</v>
      </c>
    </row>
    <row r="624" spans="1:14" x14ac:dyDescent="0.25">
      <c r="A624" s="6" t="s">
        <v>1658</v>
      </c>
      <c r="B624" s="6">
        <v>10268</v>
      </c>
      <c r="C624" s="6" t="s">
        <v>1659</v>
      </c>
      <c r="D624" s="7" t="s">
        <v>1660</v>
      </c>
      <c r="E624" s="6" t="s">
        <v>1661</v>
      </c>
      <c r="F624" s="6" t="s">
        <v>7975</v>
      </c>
      <c r="G624" s="8">
        <v>45864</v>
      </c>
      <c r="H624" s="6">
        <v>22.98</v>
      </c>
      <c r="I624" s="6" cm="1">
        <f t="array" ref="I624">IFERROR(VALUE(TRIM(LEFT(E624,MIN(FIND({" ";"g";"k";"m";"o"},E624&amp;" gkmo"))-1))),0)</f>
        <v>19</v>
      </c>
      <c r="J624" s="6" t="str" cm="1">
        <f t="array" ref="J624">IFERROR(TRIM(MID(E624,MIN(FIND({" ";"g";"k";"m";"o"},E624&amp;" gkmo")),10)),"unknown")</f>
        <v>g</v>
      </c>
      <c r="K624" s="6" t="str">
        <f t="shared" si="36"/>
        <v>g</v>
      </c>
      <c r="L624" s="6" t="str">
        <f t="shared" si="37"/>
        <v>Snackajacks</v>
      </c>
      <c r="M624" s="6" t="str">
        <f t="shared" si="38"/>
        <v>Snack A Jacks Mini</v>
      </c>
      <c r="N624" s="6" t="str">
        <f t="shared" si="39"/>
        <v>Ireland, United Kingdom, Cyprus</v>
      </c>
    </row>
    <row r="625" spans="1:14" x14ac:dyDescent="0.25">
      <c r="A625" s="6" t="s">
        <v>1662</v>
      </c>
      <c r="B625" s="6">
        <v>7363</v>
      </c>
      <c r="C625" s="6" t="s">
        <v>1663</v>
      </c>
      <c r="D625" s="7" t="s">
        <v>13</v>
      </c>
      <c r="E625" s="6" t="s">
        <v>18</v>
      </c>
      <c r="F625" s="6" t="s">
        <v>139</v>
      </c>
      <c r="G625" s="8">
        <v>45462</v>
      </c>
      <c r="H625" s="6">
        <v>4.4800000000000004</v>
      </c>
      <c r="I625" s="6" cm="1">
        <f t="array" ref="I625">IFERROR(VALUE(TRIM(LEFT(E625,MIN(FIND({" ";"g";"k";"m";"o"},E625&amp;" gkmo"))-1))),0)</f>
        <v>100</v>
      </c>
      <c r="J625" s="6" t="str" cm="1">
        <f t="array" ref="J625">IFERROR(TRIM(MID(E625,MIN(FIND({" ";"g";"k";"m";"o"},E625&amp;" gkmo")),10)),"unknown")</f>
        <v>g</v>
      </c>
      <c r="K625" s="6" t="str">
        <f t="shared" si="36"/>
        <v>g</v>
      </c>
      <c r="L625" s="6" t="str">
        <f t="shared" si="37"/>
        <v>Lu</v>
      </c>
      <c r="M625" s="6" t="str">
        <f t="shared" si="38"/>
        <v>Mikado Chocolat Au Lait</v>
      </c>
      <c r="N625" s="6" t="str">
        <f t="shared" si="39"/>
        <v>France</v>
      </c>
    </row>
    <row r="626" spans="1:14" x14ac:dyDescent="0.25">
      <c r="A626" s="6" t="s">
        <v>1664</v>
      </c>
      <c r="B626" s="6">
        <v>6421</v>
      </c>
      <c r="C626" s="6" t="s">
        <v>7123</v>
      </c>
      <c r="D626" s="7" t="s">
        <v>150</v>
      </c>
      <c r="E626" s="6" t="s">
        <v>64</v>
      </c>
      <c r="F626" s="6" t="s">
        <v>8417</v>
      </c>
      <c r="G626" s="8">
        <v>45459</v>
      </c>
      <c r="H626" s="6">
        <v>13.57</v>
      </c>
      <c r="I626" s="6" cm="1">
        <f t="array" ref="I626">IFERROR(VALUE(TRIM(LEFT(E626,MIN(FIND({" ";"g";"k";"m";"o"},E626&amp;" gkmo"))-1))),0)</f>
        <v>150</v>
      </c>
      <c r="J626" s="6" t="str" cm="1">
        <f t="array" ref="J626">IFERROR(TRIM(MID(E626,MIN(FIND({" ";"g";"k";"m";"o"},E626&amp;" gkmo")),10)),"unknown")</f>
        <v>g</v>
      </c>
      <c r="K626" s="6" t="str">
        <f t="shared" si="36"/>
        <v>g</v>
      </c>
      <c r="L626" s="6" t="str">
        <f t="shared" si="37"/>
        <v>Alesto</v>
      </c>
      <c r="M626" s="6" t="str">
        <f t="shared" si="38"/>
        <v>Amandes Grillées Salées</v>
      </c>
      <c r="N626" s="6" t="str">
        <f t="shared" si="39"/>
        <v>République Tchèque,France,Germany,Netherlands</v>
      </c>
    </row>
    <row r="627" spans="1:14" x14ac:dyDescent="0.25">
      <c r="A627" s="6" t="s">
        <v>1665</v>
      </c>
      <c r="B627" s="6">
        <v>12789</v>
      </c>
      <c r="C627" s="6" t="s">
        <v>7124</v>
      </c>
      <c r="D627" s="7" t="s">
        <v>7633</v>
      </c>
      <c r="E627" s="6" t="s">
        <v>10</v>
      </c>
      <c r="F627" s="6" t="s">
        <v>8418</v>
      </c>
      <c r="G627" s="8">
        <v>45671</v>
      </c>
      <c r="H627" s="6">
        <v>9.4600000000000009</v>
      </c>
      <c r="I627" s="6" cm="1">
        <f t="array" ref="I627">IFERROR(VALUE(TRIM(LEFT(E627,MIN(FIND({" ";"g";"k";"m";"o"},E627&amp;" gkmo"))-1))),0)</f>
        <v>100</v>
      </c>
      <c r="J627" s="6" t="str" cm="1">
        <f t="array" ref="J627">IFERROR(TRIM(MID(E627,MIN(FIND({" ";"g";"k";"m";"o"},E627&amp;" gkmo")),10)),"unknown")</f>
        <v>g</v>
      </c>
      <c r="K627" s="6" t="str">
        <f t="shared" si="36"/>
        <v>g</v>
      </c>
      <c r="L627" s="6" t="str">
        <f t="shared" si="37"/>
        <v>Lindt &amp; Sprà¼Ngli</v>
      </c>
      <c r="M627" s="6" t="str">
        <f t="shared" si="38"/>
        <v>Excellence Noir Sésame Grillé</v>
      </c>
      <c r="N627" s="6" t="str">
        <f t="shared" si="39"/>
        <v>France,Morocco,Netherlands,Spain</v>
      </c>
    </row>
    <row r="628" spans="1:14" x14ac:dyDescent="0.25">
      <c r="A628" s="6" t="s">
        <v>1666</v>
      </c>
      <c r="B628" s="6">
        <v>12559</v>
      </c>
      <c r="C628" s="6" t="s">
        <v>7634</v>
      </c>
      <c r="D628" s="7" t="s">
        <v>306</v>
      </c>
      <c r="E628" s="6" t="s">
        <v>14</v>
      </c>
      <c r="F628" s="6" t="s">
        <v>139</v>
      </c>
      <c r="G628" s="8">
        <v>45483</v>
      </c>
      <c r="H628" s="6">
        <v>11.77</v>
      </c>
      <c r="I628" s="6" cm="1">
        <f t="array" ref="I628">IFERROR(VALUE(TRIM(LEFT(E628,MIN(FIND({" ";"g";"k";"m";"o"},E628&amp;" gkmo"))-1))),0)</f>
        <v>300</v>
      </c>
      <c r="J628" s="6" t="str" cm="1">
        <f t="array" ref="J628">IFERROR(TRIM(MID(E628,MIN(FIND({" ";"g";"k";"m";"o"},E628&amp;" gkmo")),10)),"unknown")</f>
        <v>g</v>
      </c>
      <c r="K628" s="6" t="str">
        <f t="shared" si="36"/>
        <v>g</v>
      </c>
      <c r="L628" s="6" t="str">
        <f t="shared" si="37"/>
        <v>Lu</v>
      </c>
      <c r="M628" s="6" t="str">
        <f t="shared" si="38"/>
        <v>Prince Goà»T Vanille</v>
      </c>
      <c r="N628" s="6" t="str">
        <f t="shared" si="39"/>
        <v>France</v>
      </c>
    </row>
    <row r="629" spans="1:14" x14ac:dyDescent="0.25">
      <c r="A629" s="6" t="s">
        <v>1667</v>
      </c>
      <c r="B629" s="6">
        <v>7692</v>
      </c>
      <c r="C629" s="6" t="s">
        <v>1668</v>
      </c>
      <c r="D629" s="7" t="s">
        <v>112</v>
      </c>
      <c r="E629" s="6" t="s">
        <v>1669</v>
      </c>
      <c r="F629" s="6" t="s">
        <v>7976</v>
      </c>
      <c r="G629" s="8">
        <v>46048</v>
      </c>
      <c r="H629" s="6">
        <v>13.04</v>
      </c>
      <c r="I629" s="6" cm="1">
        <f t="array" ref="I629">IFERROR(VALUE(TRIM(LEFT(E629,MIN(FIND({" ";"g";"k";"m";"o"},E629&amp;" gkmo"))-1))),0)</f>
        <v>195</v>
      </c>
      <c r="J629" s="6" t="str" cm="1">
        <f t="array" ref="J629">IFERROR(TRIM(MID(E629,MIN(FIND({" ";"g";"k";"m";"o"},E629&amp;" gkmo")),10)),"unknown")</f>
        <v>g</v>
      </c>
      <c r="K629" s="6" t="str">
        <f t="shared" si="36"/>
        <v>g</v>
      </c>
      <c r="L629" s="6" t="str">
        <f t="shared" si="37"/>
        <v>Pringles</v>
      </c>
      <c r="M629" s="6" t="str">
        <f t="shared" si="38"/>
        <v>Pringles Original</v>
      </c>
      <c r="N629" s="6" t="str">
        <f t="shared" si="39"/>
        <v>Frankreich, Ch</v>
      </c>
    </row>
    <row r="630" spans="1:14" x14ac:dyDescent="0.25">
      <c r="A630" s="6" t="s">
        <v>1670</v>
      </c>
      <c r="B630" s="6">
        <v>8697</v>
      </c>
      <c r="C630" s="6" t="s">
        <v>1671</v>
      </c>
      <c r="D630" s="7" t="s">
        <v>652</v>
      </c>
      <c r="E630" s="6" t="s">
        <v>120</v>
      </c>
      <c r="F630" s="6" t="s">
        <v>5759</v>
      </c>
      <c r="G630" s="8">
        <v>45586</v>
      </c>
      <c r="H630" s="6">
        <v>17.079999999999998</v>
      </c>
      <c r="I630" s="6" cm="1">
        <f t="array" ref="I630">IFERROR(VALUE(TRIM(LEFT(E630,MIN(FIND({" ";"g";"k";"m";"o"},E630&amp;" gkmo"))-1))),0)</f>
        <v>210</v>
      </c>
      <c r="J630" s="6" t="str" cm="1">
        <f t="array" ref="J630">IFERROR(TRIM(MID(E630,MIN(FIND({" ";"g";"k";"m";"o"},E630&amp;" gkmo")),10)),"unknown")</f>
        <v>g</v>
      </c>
      <c r="K630" s="6" t="str">
        <f t="shared" si="36"/>
        <v>g</v>
      </c>
      <c r="L630" s="6" t="str">
        <f t="shared" si="37"/>
        <v>Brossard</v>
      </c>
      <c r="M630" s="6" t="str">
        <f t="shared" si="38"/>
        <v>Savane Chocolat</v>
      </c>
      <c r="N630" s="6" t="str">
        <f t="shared" si="39"/>
        <v>Fr</v>
      </c>
    </row>
    <row r="631" spans="1:14" x14ac:dyDescent="0.25">
      <c r="A631" s="6" t="s">
        <v>1672</v>
      </c>
      <c r="B631" s="6">
        <v>7739</v>
      </c>
      <c r="C631" s="6" t="s">
        <v>1673</v>
      </c>
      <c r="D631" s="7" t="s">
        <v>1674</v>
      </c>
      <c r="E631" s="6" t="s">
        <v>1675</v>
      </c>
      <c r="F631" s="6" t="s">
        <v>1676</v>
      </c>
      <c r="G631" s="8">
        <v>45942</v>
      </c>
      <c r="H631" s="6">
        <v>11.71</v>
      </c>
      <c r="I631" s="6" cm="1">
        <f t="array" ref="I631">IFERROR(VALUE(TRIM(LEFT(E631,MIN(FIND({" ";"g";"k";"m";"o"},E631&amp;" gkmo"))-1))),0)</f>
        <v>600</v>
      </c>
      <c r="J631" s="6" t="str" cm="1">
        <f t="array" ref="J631">IFERROR(TRIM(MID(E631,MIN(FIND({" ";"g";"k";"m";"o"},E631&amp;" gkmo")),10)),"unknown")</f>
        <v>g</v>
      </c>
      <c r="K631" s="6" t="str">
        <f t="shared" si="36"/>
        <v>g</v>
      </c>
      <c r="L631" s="6" t="str">
        <f t="shared" si="37"/>
        <v>Ikea</v>
      </c>
      <c r="M631" s="6" t="str">
        <f t="shared" si="38"/>
        <v>Kafferep</v>
      </c>
      <c r="N631" s="6" t="str">
        <f t="shared" si="39"/>
        <v>France,Germany,Italy</v>
      </c>
    </row>
    <row r="632" spans="1:14" x14ac:dyDescent="0.25">
      <c r="A632" s="6" t="s">
        <v>1677</v>
      </c>
      <c r="B632" s="6">
        <v>10338</v>
      </c>
      <c r="C632" s="6" t="s">
        <v>1678</v>
      </c>
      <c r="D632" s="7" t="s">
        <v>1679</v>
      </c>
      <c r="E632" s="6"/>
      <c r="F632" s="6" t="s">
        <v>177</v>
      </c>
      <c r="G632" s="8">
        <v>45717</v>
      </c>
      <c r="H632" s="6">
        <v>10.36</v>
      </c>
      <c r="I632" s="6" cm="1">
        <f t="array" ref="I632">IFERROR(VALUE(TRIM(LEFT(E632,MIN(FIND({" ";"g";"k";"m";"o"},E632&amp;" gkmo"))-1))),0)</f>
        <v>0</v>
      </c>
      <c r="J632" s="6" t="str" cm="1">
        <f t="array" ref="J632">IFERROR(TRIM(MID(E632,MIN(FIND({" ";"g";"k";"m";"o"},E632&amp;" gkmo")),10)),"unknown")</f>
        <v/>
      </c>
      <c r="K632" s="6" t="str">
        <f t="shared" si="36"/>
        <v>unknown</v>
      </c>
      <c r="L632" s="6" t="str">
        <f t="shared" si="37"/>
        <v>Kettle Chips</v>
      </c>
      <c r="M632" s="6" t="str">
        <f t="shared" si="38"/>
        <v>Sea Salt &amp; Crushed Black Peppercorns</v>
      </c>
      <c r="N632" s="6" t="str">
        <f t="shared" si="39"/>
        <v>United Kingdom</v>
      </c>
    </row>
    <row r="633" spans="1:14" x14ac:dyDescent="0.25">
      <c r="A633" s="6" t="s">
        <v>1680</v>
      </c>
      <c r="B633" s="6">
        <v>12195</v>
      </c>
      <c r="C633" s="6" t="s">
        <v>7635</v>
      </c>
      <c r="D633" s="7" t="s">
        <v>1681</v>
      </c>
      <c r="E633" s="6" t="s">
        <v>1682</v>
      </c>
      <c r="F633" s="6" t="s">
        <v>7977</v>
      </c>
      <c r="G633" s="8">
        <v>45418</v>
      </c>
      <c r="H633" s="6">
        <v>11.08</v>
      </c>
      <c r="I633" s="6" cm="1">
        <f t="array" ref="I633">IFERROR(VALUE(TRIM(LEFT(E633,MIN(FIND({" ";"g";"k";"m";"o"},E633&amp;" gkmo"))-1))),0)</f>
        <v>0</v>
      </c>
      <c r="J633" s="6" t="str" cm="1">
        <f t="array" ref="J633">IFERROR(TRIM(MID(E633,MIN(FIND({" ";"g";"k";"m";"o"},E633&amp;" gkmo")),10)),"unknown")</f>
        <v>known</v>
      </c>
      <c r="K633" s="6" t="str">
        <f t="shared" si="36"/>
        <v>unknown</v>
      </c>
      <c r="L633" s="6" t="str">
        <f t="shared" si="37"/>
        <v>Mars Incorporated</v>
      </c>
      <c r="M633" s="6" t="str">
        <f t="shared" si="38"/>
        <v>Snickers (5 Stà¼Ck À  50 G)</v>
      </c>
      <c r="N633" s="6" t="str">
        <f t="shared" si="39"/>
        <v>France, Germany, Spain</v>
      </c>
    </row>
    <row r="634" spans="1:14" x14ac:dyDescent="0.25">
      <c r="A634" s="6" t="s">
        <v>1683</v>
      </c>
      <c r="B634" s="6">
        <v>10982</v>
      </c>
      <c r="C634" s="6" t="s">
        <v>7636</v>
      </c>
      <c r="D634" s="7" t="s">
        <v>7125</v>
      </c>
      <c r="E634" s="6" t="s">
        <v>18</v>
      </c>
      <c r="F634" s="6" t="s">
        <v>1684</v>
      </c>
      <c r="G634" s="8">
        <v>45572</v>
      </c>
      <c r="H634" s="6">
        <v>21.22</v>
      </c>
      <c r="I634" s="6" cm="1">
        <f t="array" ref="I634">IFERROR(VALUE(TRIM(LEFT(E634,MIN(FIND({" ";"g";"k";"m";"o"},E634&amp;" gkmo"))-1))),0)</f>
        <v>100</v>
      </c>
      <c r="J634" s="6" t="str" cm="1">
        <f t="array" ref="J634">IFERROR(TRIM(MID(E634,MIN(FIND({" ";"g";"k";"m";"o"},E634&amp;" gkmo")),10)),"unknown")</f>
        <v>g</v>
      </c>
      <c r="K634" s="6" t="str">
        <f t="shared" si="36"/>
        <v>g</v>
      </c>
      <c r="L634" s="6" t="str">
        <f t="shared" si="37"/>
        <v>Fin Carré, Lidl, Lidl Fin Carré</v>
      </c>
      <c r="M634" s="6" t="str">
        <f t="shared" si="38"/>
        <v>Weiàÿe Schokolade</v>
      </c>
      <c r="N634" s="6" t="str">
        <f t="shared" si="39"/>
        <v>France,Germany,Italy,Poland,Spain</v>
      </c>
    </row>
    <row r="635" spans="1:14" x14ac:dyDescent="0.25">
      <c r="A635" s="6" t="s">
        <v>1685</v>
      </c>
      <c r="B635" s="6">
        <v>14985</v>
      </c>
      <c r="C635" s="6" t="s">
        <v>7532</v>
      </c>
      <c r="D635" s="7" t="s">
        <v>1686</v>
      </c>
      <c r="E635" s="6" t="s">
        <v>1687</v>
      </c>
      <c r="F635" s="6" t="s">
        <v>7978</v>
      </c>
      <c r="G635" s="8">
        <v>45768</v>
      </c>
      <c r="H635" s="6">
        <v>17.87</v>
      </c>
      <c r="I635" s="6" cm="1">
        <f t="array" ref="I635">IFERROR(VALUE(TRIM(LEFT(E635,MIN(FIND({" ";"g";"k";"m";"o"},E635&amp;" gkmo"))-1))),0)</f>
        <v>85</v>
      </c>
      <c r="J635" s="6" t="str" cm="1">
        <f t="array" ref="J635">IFERROR(TRIM(MID(E635,MIN(FIND({" ";"g";"k";"m";"o"},E635&amp;" gkmo")),10)),"unknown")</f>
        <v>g</v>
      </c>
      <c r="K635" s="6" t="str">
        <f t="shared" si="36"/>
        <v>g</v>
      </c>
      <c r="L635" s="6" t="str">
        <f t="shared" si="37"/>
        <v>Too Good</v>
      </c>
      <c r="M635" s="6" t="str">
        <f t="shared" si="38"/>
        <v>Snack Poppé</v>
      </c>
      <c r="N635" s="6" t="str">
        <f t="shared" si="39"/>
        <v>France, Us</v>
      </c>
    </row>
    <row r="636" spans="1:14" x14ac:dyDescent="0.25">
      <c r="A636" s="6" t="s">
        <v>1688</v>
      </c>
      <c r="B636" s="6">
        <v>10736</v>
      </c>
      <c r="C636" s="6" t="s">
        <v>7126</v>
      </c>
      <c r="D636" s="7" t="s">
        <v>1689</v>
      </c>
      <c r="E636" s="6"/>
      <c r="F636" s="6" t="s">
        <v>1181</v>
      </c>
      <c r="G636" s="8">
        <v>45934</v>
      </c>
      <c r="H636" s="6">
        <v>13.18</v>
      </c>
      <c r="I636" s="6" cm="1">
        <f t="array" ref="I636">IFERROR(VALUE(TRIM(LEFT(E636,MIN(FIND({" ";"g";"k";"m";"o"},E636&amp;" gkmo"))-1))),0)</f>
        <v>0</v>
      </c>
      <c r="J636" s="6" t="str" cm="1">
        <f t="array" ref="J636">IFERROR(TRIM(MID(E636,MIN(FIND({" ";"g";"k";"m";"o"},E636&amp;" gkmo")),10)),"unknown")</f>
        <v/>
      </c>
      <c r="K636" s="6" t="str">
        <f t="shared" si="36"/>
        <v>unknown</v>
      </c>
      <c r="L636" s="6" t="str">
        <f t="shared" si="37"/>
        <v>Le Ster</v>
      </c>
      <c r="M636" s="6" t="str">
        <f t="shared" si="38"/>
        <v>Madeleines Longues Marbrées Chocolat</v>
      </c>
      <c r="N636" s="6" t="str">
        <f t="shared" si="39"/>
        <v>France,Switzerland</v>
      </c>
    </row>
    <row r="637" spans="1:14" x14ac:dyDescent="0.25">
      <c r="A637" s="6" t="s">
        <v>1690</v>
      </c>
      <c r="B637" s="6">
        <v>8496</v>
      </c>
      <c r="C637" s="6" t="s">
        <v>1691</v>
      </c>
      <c r="D637" s="7" t="s">
        <v>1084</v>
      </c>
      <c r="E637" s="6" t="s">
        <v>73</v>
      </c>
      <c r="F637" s="6" t="s">
        <v>1356</v>
      </c>
      <c r="G637" s="8">
        <v>45487</v>
      </c>
      <c r="H637" s="6">
        <v>8.26</v>
      </c>
      <c r="I637" s="6" cm="1">
        <f t="array" ref="I637">IFERROR(VALUE(TRIM(LEFT(E637,MIN(FIND({" ";"g";"k";"m";"o"},E637&amp;" gkmo"))-1))),0)</f>
        <v>225</v>
      </c>
      <c r="J637" s="6" t="str" cm="1">
        <f t="array" ref="J637">IFERROR(TRIM(MID(E637,MIN(FIND({" ";"g";"k";"m";"o"},E637&amp;" gkmo")),10)),"unknown")</f>
        <v>g</v>
      </c>
      <c r="K637" s="6" t="str">
        <f t="shared" si="36"/>
        <v>g</v>
      </c>
      <c r="L637" s="6" t="str">
        <f t="shared" si="37"/>
        <v>Lotus</v>
      </c>
      <c r="M637" s="6" t="str">
        <f t="shared" si="38"/>
        <v>Lotus Dinosaurus Original Chocolat 225G (4X3P)</v>
      </c>
      <c r="N637" s="6" t="str">
        <f t="shared" si="39"/>
        <v>France,Germany</v>
      </c>
    </row>
    <row r="638" spans="1:14" x14ac:dyDescent="0.25">
      <c r="A638" s="6" t="s">
        <v>1692</v>
      </c>
      <c r="B638" s="6">
        <v>6068</v>
      </c>
      <c r="C638" s="6" t="s">
        <v>1693</v>
      </c>
      <c r="D638" s="7" t="s">
        <v>452</v>
      </c>
      <c r="E638" s="6" t="s">
        <v>156</v>
      </c>
      <c r="F638" s="6" t="s">
        <v>1694</v>
      </c>
      <c r="G638" s="8">
        <v>45732</v>
      </c>
      <c r="H638" s="6">
        <v>18.37</v>
      </c>
      <c r="I638" s="6" cm="1">
        <f t="array" ref="I638">IFERROR(VALUE(TRIM(LEFT(E638,MIN(FIND({" ";"g";"k";"m";"o"},E638&amp;" gkmo"))-1))),0)</f>
        <v>500</v>
      </c>
      <c r="J638" s="6" t="str" cm="1">
        <f t="array" ref="J638">IFERROR(TRIM(MID(E638,MIN(FIND({" ";"g";"k";"m";"o"},E638&amp;" gkmo")),10)),"unknown")</f>
        <v>g</v>
      </c>
      <c r="K638" s="6" t="str">
        <f t="shared" si="36"/>
        <v>g</v>
      </c>
      <c r="L638" s="6" t="str">
        <f t="shared" si="37"/>
        <v>Hacendado</v>
      </c>
      <c r="M638" s="6" t="str">
        <f t="shared" si="38"/>
        <v>Galletas Chocolate Rebuenas</v>
      </c>
      <c r="N638" s="6" t="str">
        <f t="shared" si="39"/>
        <v>Morocco,Spain</v>
      </c>
    </row>
    <row r="639" spans="1:14" x14ac:dyDescent="0.25">
      <c r="A639" s="6" t="s">
        <v>1695</v>
      </c>
      <c r="B639" s="6">
        <v>8431</v>
      </c>
      <c r="C639" s="6" t="s">
        <v>1696</v>
      </c>
      <c r="D639" s="7" t="s">
        <v>1345</v>
      </c>
      <c r="E639" s="6"/>
      <c r="F639" s="6" t="s">
        <v>7979</v>
      </c>
      <c r="G639" s="8">
        <v>45654</v>
      </c>
      <c r="H639" s="6">
        <v>8.32</v>
      </c>
      <c r="I639" s="6" cm="1">
        <f t="array" ref="I639">IFERROR(VALUE(TRIM(LEFT(E639,MIN(FIND({" ";"g";"k";"m";"o"},E639&amp;" gkmo"))-1))),0)</f>
        <v>0</v>
      </c>
      <c r="J639" s="6" t="str" cm="1">
        <f t="array" ref="J639">IFERROR(TRIM(MID(E639,MIN(FIND({" ";"g";"k";"m";"o"},E639&amp;" gkmo")),10)),"unknown")</f>
        <v/>
      </c>
      <c r="K639" s="6" t="str">
        <f t="shared" si="36"/>
        <v>unknown</v>
      </c>
      <c r="L639" s="6" t="str">
        <f t="shared" si="37"/>
        <v>Haribo</v>
      </c>
      <c r="M639" s="6" t="str">
        <f t="shared" si="38"/>
        <v>Tagada</v>
      </c>
      <c r="N639" s="6" t="str">
        <f t="shared" si="39"/>
        <v>France, Switzerland</v>
      </c>
    </row>
    <row r="640" spans="1:14" x14ac:dyDescent="0.25">
      <c r="A640" s="6" t="s">
        <v>1697</v>
      </c>
      <c r="B640" s="6">
        <v>14552</v>
      </c>
      <c r="C640" s="6" t="s">
        <v>1698</v>
      </c>
      <c r="D640" s="7" t="s">
        <v>1699</v>
      </c>
      <c r="E640" s="6" t="s">
        <v>1700</v>
      </c>
      <c r="F640" s="6" t="s">
        <v>139</v>
      </c>
      <c r="G640" s="8">
        <v>45601</v>
      </c>
      <c r="H640" s="6">
        <v>10</v>
      </c>
      <c r="I640" s="6" cm="1">
        <f t="array" ref="I640">IFERROR(VALUE(TRIM(LEFT(E640,MIN(FIND({" ";"g";"k";"m";"o"},E640&amp;" gkmo"))-1))),0)</f>
        <v>4</v>
      </c>
      <c r="J640" s="6" t="str" cm="1">
        <f t="array" ref="J640">IFERROR(TRIM(MID(E640,MIN(FIND({" ";"g";"k";"m";"o"},E640&amp;" gkmo")),10)),"unknown")</f>
        <v>pcs</v>
      </c>
      <c r="K640" s="6" t="str">
        <f t="shared" si="36"/>
        <v>unknown</v>
      </c>
      <c r="L640" s="6" t="str">
        <f t="shared" si="37"/>
        <v>Brioche Pasquier</v>
      </c>
      <c r="M640" s="6" t="str">
        <f t="shared" si="38"/>
        <v>Pain Au Lait Bio Pasquier</v>
      </c>
      <c r="N640" s="6" t="str">
        <f t="shared" si="39"/>
        <v>France</v>
      </c>
    </row>
    <row r="641" spans="1:14" x14ac:dyDescent="0.25">
      <c r="A641" s="6" t="s">
        <v>1701</v>
      </c>
      <c r="B641" s="6">
        <v>8125</v>
      </c>
      <c r="C641" s="6" t="s">
        <v>1702</v>
      </c>
      <c r="D641" s="7" t="s">
        <v>1703</v>
      </c>
      <c r="E641" s="6" t="s">
        <v>1312</v>
      </c>
      <c r="F641" s="6" t="s">
        <v>1181</v>
      </c>
      <c r="G641" s="8">
        <v>45827</v>
      </c>
      <c r="H641" s="6">
        <v>2.93</v>
      </c>
      <c r="I641" s="6" cm="1">
        <f t="array" ref="I641">IFERROR(VALUE(TRIM(LEFT(E641,MIN(FIND({" ";"g";"k";"m";"o"},E641&amp;" gkmo"))-1))),0)</f>
        <v>50</v>
      </c>
      <c r="J641" s="6" t="str" cm="1">
        <f t="array" ref="J641">IFERROR(TRIM(MID(E641,MIN(FIND({" ";"g";"k";"m";"o"},E641&amp;" gkmo")),10)),"unknown")</f>
        <v>g</v>
      </c>
      <c r="K641" s="6" t="str">
        <f t="shared" si="36"/>
        <v>g</v>
      </c>
      <c r="L641" s="6" t="str">
        <f t="shared" si="37"/>
        <v>Ricola</v>
      </c>
      <c r="M641" s="6" t="str">
        <f t="shared" si="38"/>
        <v>50G Ricola Citron Melisse</v>
      </c>
      <c r="N641" s="6" t="str">
        <f t="shared" si="39"/>
        <v>France,Switzerland</v>
      </c>
    </row>
    <row r="642" spans="1:14" x14ac:dyDescent="0.25">
      <c r="A642" s="6" t="s">
        <v>1704</v>
      </c>
      <c r="B642" s="6">
        <v>12021</v>
      </c>
      <c r="C642" s="6" t="s">
        <v>1705</v>
      </c>
      <c r="D642" s="7" t="s">
        <v>81</v>
      </c>
      <c r="E642" s="6" t="s">
        <v>1706</v>
      </c>
      <c r="F642" s="6" t="s">
        <v>1707</v>
      </c>
      <c r="G642" s="8">
        <v>45601</v>
      </c>
      <c r="H642" s="6">
        <v>11.51</v>
      </c>
      <c r="I642" s="6" cm="1">
        <f t="array" ref="I642">IFERROR(VALUE(TRIM(LEFT(E642,MIN(FIND({" ";"g";"k";"m";"o"},E642&amp;" gkmo"))-1))),0)</f>
        <v>245</v>
      </c>
      <c r="J642" s="6" t="str" cm="1">
        <f t="array" ref="J642">IFERROR(TRIM(MID(E642,MIN(FIND({" ";"g";"k";"m";"o"},E642&amp;" gkmo")),10)),"unknown")</f>
        <v>g</v>
      </c>
      <c r="K642" s="6" t="str">
        <f t="shared" si="36"/>
        <v>g</v>
      </c>
      <c r="L642" s="6" t="str">
        <f t="shared" si="37"/>
        <v>Wasa</v>
      </c>
      <c r="M642" s="6" t="str">
        <f t="shared" si="38"/>
        <v>Wasa Tartine Croustillante Sensation Aux Graines De Chia &amp; Touche De Sel 245G</v>
      </c>
      <c r="N642" s="6" t="str">
        <f t="shared" si="39"/>
        <v>France,Sweden</v>
      </c>
    </row>
    <row r="643" spans="1:14" x14ac:dyDescent="0.25">
      <c r="A643" s="6" t="s">
        <v>1708</v>
      </c>
      <c r="B643" s="6">
        <v>11319</v>
      </c>
      <c r="C643" s="6" t="s">
        <v>1709</v>
      </c>
      <c r="D643" s="7" t="s">
        <v>1710</v>
      </c>
      <c r="E643" s="6" t="s">
        <v>1711</v>
      </c>
      <c r="F643" s="6" t="s">
        <v>48</v>
      </c>
      <c r="G643" s="8">
        <v>45916</v>
      </c>
      <c r="H643" s="6">
        <v>8.6</v>
      </c>
      <c r="I643" s="6" cm="1">
        <f t="array" ref="I643">IFERROR(VALUE(TRIM(LEFT(E643,MIN(FIND({" ";"g";"k";"m";"o"},E643&amp;" gkmo"))-1))),0)</f>
        <v>26</v>
      </c>
      <c r="J643" s="6" t="str" cm="1">
        <f t="array" ref="J643">IFERROR(TRIM(MID(E643,MIN(FIND({" ";"g";"k";"m";"o"},E643&amp;" gkmo")),10)),"unknown")</f>
        <v>g</v>
      </c>
      <c r="K643" s="6" t="str">
        <f t="shared" ref="K643:K706" si="40">IF(E643="","unknown",IF(OR(J643="g",LEFT(J643,1)="g"),"g",IF(OR(LEFT(J643,2)="kg",LEFT(J643,2)="ki"),"kg",IF(OR(LEFT(J643,2)="ml",LEFT(J643,1)="m"),"ml",IF(LEFT(J643,1)="l","l",IF(ISNUMBER(SEARCH("g",E643)),"g",IF(ISNUMBER(SEARCH("kg",E643)),"kg",IF(ISNUMBER(SEARCH("ml",E643)),"ml","unknown"))))))))</f>
        <v>g</v>
      </c>
      <c r="L643" s="6" t="str">
        <f t="shared" ref="L643:L706" si="41">IF(D643="","Unknown",PROPER(TRIM(D643)))</f>
        <v>Wafer Sandwich</v>
      </c>
      <c r="M643" s="6" t="str">
        <f t="shared" ref="M643:M706" si="42">IF(C643="Unknown","Unknown",PROPER(TRIM(C643)))</f>
        <v>Breaksta Tiffany</v>
      </c>
      <c r="N643" s="6" t="str">
        <f t="shared" ref="N643:N706" si="43">IF(F643="","Unknown",PROPER(TRIM(F643)))</f>
        <v>Morocco</v>
      </c>
    </row>
    <row r="644" spans="1:14" x14ac:dyDescent="0.25">
      <c r="A644" s="6" t="s">
        <v>1712</v>
      </c>
      <c r="B644" s="6">
        <v>10431</v>
      </c>
      <c r="C644" s="6" t="s">
        <v>7127</v>
      </c>
      <c r="D644" s="7" t="s">
        <v>7128</v>
      </c>
      <c r="E644" s="6" t="s">
        <v>14</v>
      </c>
      <c r="F644" s="6" t="s">
        <v>139</v>
      </c>
      <c r="G644" s="8">
        <v>45406</v>
      </c>
      <c r="H644" s="6">
        <v>23.57</v>
      </c>
      <c r="I644" s="6" cm="1">
        <f t="array" ref="I644">IFERROR(VALUE(TRIM(LEFT(E644,MIN(FIND({" ";"g";"k";"m";"o"},E644&amp;" gkmo"))-1))),0)</f>
        <v>300</v>
      </c>
      <c r="J644" s="6" t="str" cm="1">
        <f t="array" ref="J644">IFERROR(TRIM(MID(E644,MIN(FIND({" ";"g";"k";"m";"o"},E644&amp;" gkmo")),10)),"unknown")</f>
        <v>g</v>
      </c>
      <c r="K644" s="6" t="str">
        <f t="shared" si="40"/>
        <v>g</v>
      </c>
      <c r="L644" s="6" t="str">
        <f t="shared" si="41"/>
        <v>Régilait</v>
      </c>
      <c r="M644" s="6" t="str">
        <f t="shared" si="42"/>
        <v>Tube Caramel Beurre Salé</v>
      </c>
      <c r="N644" s="6" t="str">
        <f t="shared" si="43"/>
        <v>France</v>
      </c>
    </row>
    <row r="645" spans="1:14" x14ac:dyDescent="0.25">
      <c r="A645" s="6" t="s">
        <v>1713</v>
      </c>
      <c r="B645" s="6">
        <v>7260</v>
      </c>
      <c r="C645" s="6" t="s">
        <v>175</v>
      </c>
      <c r="D645" s="7" t="s">
        <v>7017</v>
      </c>
      <c r="E645" s="6"/>
      <c r="F645" s="6" t="s">
        <v>8266</v>
      </c>
      <c r="G645" s="8">
        <v>45970</v>
      </c>
      <c r="H645" s="6">
        <v>13.16</v>
      </c>
      <c r="I645" s="6" cm="1">
        <f t="array" ref="I645">IFERROR(VALUE(TRIM(LEFT(E645,MIN(FIND({" ";"g";"k";"m";"o"},E645&amp;" gkmo"))-1))),0)</f>
        <v>0</v>
      </c>
      <c r="J645" s="6" t="str" cm="1">
        <f t="array" ref="J645">IFERROR(TRIM(MID(E645,MIN(FIND({" ";"g";"k";"m";"o"},E645&amp;" gkmo")),10)),"unknown")</f>
        <v/>
      </c>
      <c r="K645" s="6" t="str">
        <f t="shared" si="40"/>
        <v>unknown</v>
      </c>
      <c r="L645" s="6" t="str">
        <f t="shared" si="41"/>
        <v>Unknown</v>
      </c>
      <c r="M645" s="6" t="str">
        <f t="shared" si="42"/>
        <v>Dark Chocolate</v>
      </c>
      <c r="N645" s="6" t="str">
        <f t="shared" si="43"/>
        <v>Bolivia,Bulgaria,Dinamarca,France,Germany,Israel,Marruecos,Polonia,Rumania,Serbia,Espaà±A</v>
      </c>
    </row>
    <row r="646" spans="1:14" x14ac:dyDescent="0.25">
      <c r="A646" s="6" t="s">
        <v>1714</v>
      </c>
      <c r="B646" s="6">
        <v>12161</v>
      </c>
      <c r="C646" s="6" t="s">
        <v>1715</v>
      </c>
      <c r="D646" s="7" t="s">
        <v>1716</v>
      </c>
      <c r="E646" s="6" t="s">
        <v>1717</v>
      </c>
      <c r="F646" s="6" t="s">
        <v>7923</v>
      </c>
      <c r="G646" s="8">
        <v>45371</v>
      </c>
      <c r="H646" s="6">
        <v>13.16</v>
      </c>
      <c r="I646" s="6" cm="1">
        <f t="array" ref="I646">IFERROR(VALUE(TRIM(LEFT(E646,MIN(FIND({" ";"g";"k";"m";"o"},E646&amp;" gkmo"))-1))),0)</f>
        <v>415</v>
      </c>
      <c r="J646" s="6" t="str" cm="1">
        <f t="array" ref="J646">IFERROR(TRIM(MID(E646,MIN(FIND({" ";"g";"k";"m";"o"},E646&amp;" gkmo")),10)),"unknown")</f>
        <v>g</v>
      </c>
      <c r="K646" s="6" t="str">
        <f t="shared" si="40"/>
        <v>g</v>
      </c>
      <c r="L646" s="6" t="str">
        <f t="shared" si="41"/>
        <v>Kp</v>
      </c>
      <c r="M646" s="6" t="str">
        <f t="shared" si="42"/>
        <v>Original Salted Peanuts</v>
      </c>
      <c r="N646" s="6" t="str">
        <f t="shared" si="43"/>
        <v>France, United Kingdom, Ireland</v>
      </c>
    </row>
    <row r="647" spans="1:14" x14ac:dyDescent="0.25">
      <c r="A647" s="6" t="s">
        <v>1718</v>
      </c>
      <c r="B647" s="6">
        <v>10288</v>
      </c>
      <c r="C647" s="6" t="s">
        <v>1719</v>
      </c>
      <c r="D647" s="7" t="s">
        <v>1720</v>
      </c>
      <c r="E647" s="6" t="s">
        <v>1721</v>
      </c>
      <c r="F647" s="6" t="s">
        <v>7980</v>
      </c>
      <c r="G647" s="8">
        <v>45523</v>
      </c>
      <c r="H647" s="6">
        <v>4.82</v>
      </c>
      <c r="I647" s="6" cm="1">
        <f t="array" ref="I647">IFERROR(VALUE(TRIM(LEFT(E647,MIN(FIND({" ";"g";"k";"m";"o"},E647&amp;" gkmo"))-1))),0)</f>
        <v>30</v>
      </c>
      <c r="J647" s="6" t="str" cm="1">
        <f t="array" ref="J647">IFERROR(TRIM(MID(E647,MIN(FIND({" ";"g";"k";"m";"o"},E647&amp;" gkmo")),10)),"unknown")</f>
        <v>g</v>
      </c>
      <c r="K647" s="6" t="str">
        <f t="shared" si="40"/>
        <v>g</v>
      </c>
      <c r="L647" s="6" t="str">
        <f t="shared" si="41"/>
        <v>Jordans</v>
      </c>
      <c r="M647" s="6" t="str">
        <f t="shared" si="42"/>
        <v>Frusli Juicy Blueberries Chewy Cereal Bars 6 X (180G)</v>
      </c>
      <c r="N647" s="6" t="str">
        <f t="shared" si="43"/>
        <v>France, Switzerland, United-Kingdom</v>
      </c>
    </row>
    <row r="648" spans="1:14" x14ac:dyDescent="0.25">
      <c r="A648" s="6" t="s">
        <v>1722</v>
      </c>
      <c r="B648" s="6">
        <v>11647</v>
      </c>
      <c r="C648" s="6" t="s">
        <v>7637</v>
      </c>
      <c r="D648" s="7" t="s">
        <v>7578</v>
      </c>
      <c r="E648" s="6" t="s">
        <v>335</v>
      </c>
      <c r="F648" s="6" t="s">
        <v>8219</v>
      </c>
      <c r="G648" s="8">
        <v>45898</v>
      </c>
      <c r="H648" s="6">
        <v>21.84</v>
      </c>
      <c r="I648" s="6" cm="1">
        <f t="array" ref="I648">IFERROR(VALUE(TRIM(LEFT(E648,MIN(FIND({" ";"g";"k";"m";"o"},E648&amp;" gkmo"))-1))),0)</f>
        <v>250</v>
      </c>
      <c r="J648" s="6" t="str" cm="1">
        <f t="array" ref="J648">IFERROR(TRIM(MID(E648,MIN(FIND({" ";"g";"k";"m";"o"},E648&amp;" gkmo")),10)),"unknown")</f>
        <v>g</v>
      </c>
      <c r="K648" s="6" t="str">
        <f t="shared" si="40"/>
        <v>g</v>
      </c>
      <c r="L648" s="6" t="str">
        <f t="shared" si="41"/>
        <v>Gullà³N</v>
      </c>
      <c r="M648" s="6" t="str">
        <f t="shared" si="42"/>
        <v>Mini Bites Quinoa &amp; Chà­A</v>
      </c>
      <c r="N648" s="6" t="str">
        <f t="shared" si="43"/>
        <v>France,Marruecos,Espaà±A</v>
      </c>
    </row>
    <row r="649" spans="1:14" x14ac:dyDescent="0.25">
      <c r="A649" s="6" t="s">
        <v>1723</v>
      </c>
      <c r="B649" s="6">
        <v>10929</v>
      </c>
      <c r="C649" s="6" t="s">
        <v>1724</v>
      </c>
      <c r="D649" s="7" t="s">
        <v>1430</v>
      </c>
      <c r="E649" s="6" t="s">
        <v>515</v>
      </c>
      <c r="F649" s="6" t="s">
        <v>177</v>
      </c>
      <c r="G649" s="8">
        <v>45719</v>
      </c>
      <c r="H649" s="6">
        <v>13.16</v>
      </c>
      <c r="I649" s="6" cm="1">
        <f t="array" ref="I649">IFERROR(VALUE(TRIM(LEFT(E649,MIN(FIND({" ";"g";"k";"m";"o"},E649&amp;" gkmo"))-1))),0)</f>
        <v>3</v>
      </c>
      <c r="J649" s="6" t="str" cm="1">
        <f t="array" ref="J649">IFERROR(TRIM(MID(E649,MIN(FIND({" ";"g";"k";"m";"o"},E649&amp;" gkmo")),10)),"unknown")</f>
        <v>x 50g</v>
      </c>
      <c r="K649" s="6" t="str">
        <f t="shared" si="40"/>
        <v>g</v>
      </c>
      <c r="L649" s="6" t="str">
        <f t="shared" si="41"/>
        <v>Deliciously Ella</v>
      </c>
      <c r="M649" s="6" t="str">
        <f t="shared" si="42"/>
        <v>Cacao &amp; Almond Oat Bars</v>
      </c>
      <c r="N649" s="6" t="str">
        <f t="shared" si="43"/>
        <v>United Kingdom</v>
      </c>
    </row>
    <row r="650" spans="1:14" x14ac:dyDescent="0.25">
      <c r="A650" s="6" t="s">
        <v>1725</v>
      </c>
      <c r="B650" s="6">
        <v>6019</v>
      </c>
      <c r="C650" s="6" t="s">
        <v>1726</v>
      </c>
      <c r="D650" s="7" t="s">
        <v>1105</v>
      </c>
      <c r="E650" s="6" t="s">
        <v>39</v>
      </c>
      <c r="F650" s="6" t="s">
        <v>139</v>
      </c>
      <c r="G650" s="8">
        <v>45554</v>
      </c>
      <c r="H650" s="6">
        <v>11</v>
      </c>
      <c r="I650" s="6" cm="1">
        <f t="array" ref="I650">IFERROR(VALUE(TRIM(LEFT(E650,MIN(FIND({" ";"g";"k";"m";"o"},E650&amp;" gkmo"))-1))),0)</f>
        <v>150</v>
      </c>
      <c r="J650" s="6" t="str" cm="1">
        <f t="array" ref="J650">IFERROR(TRIM(MID(E650,MIN(FIND({" ";"g";"k";"m";"o"},E650&amp;" gkmo")),10)),"unknown")</f>
        <v>g</v>
      </c>
      <c r="K650" s="6" t="str">
        <f t="shared" si="40"/>
        <v>g</v>
      </c>
      <c r="L650" s="6" t="str">
        <f t="shared" si="41"/>
        <v>Vico</v>
      </c>
      <c r="M650" s="6" t="str">
        <f t="shared" si="42"/>
        <v>L'Extra Craquante Nature</v>
      </c>
      <c r="N650" s="6" t="str">
        <f t="shared" si="43"/>
        <v>France</v>
      </c>
    </row>
    <row r="651" spans="1:14" x14ac:dyDescent="0.25">
      <c r="A651" s="6" t="s">
        <v>1727</v>
      </c>
      <c r="B651" s="6">
        <v>5974</v>
      </c>
      <c r="C651" s="6" t="s">
        <v>1728</v>
      </c>
      <c r="D651" s="7" t="s">
        <v>1227</v>
      </c>
      <c r="E651" s="6" t="s">
        <v>1020</v>
      </c>
      <c r="F651" s="6" t="s">
        <v>2973</v>
      </c>
      <c r="G651" s="8">
        <v>45777</v>
      </c>
      <c r="H651" s="6">
        <v>8.93</v>
      </c>
      <c r="I651" s="6" cm="1">
        <f t="array" ref="I651">IFERROR(VALUE(TRIM(LEFT(E651,MIN(FIND({" ";"g";"k";"m";"o"},E651&amp;" gkmo"))-1))),0)</f>
        <v>60</v>
      </c>
      <c r="J651" s="6" t="str" cm="1">
        <f t="array" ref="J651">IFERROR(TRIM(MID(E651,MIN(FIND({" ";"g";"k";"m";"o"},E651&amp;" gkmo")),10)),"unknown")</f>
        <v>g</v>
      </c>
      <c r="K651" s="6" t="str">
        <f t="shared" si="40"/>
        <v>g</v>
      </c>
      <c r="L651" s="6" t="str">
        <f t="shared" si="41"/>
        <v>Hu</v>
      </c>
      <c r="M651" s="6" t="str">
        <f t="shared" si="42"/>
        <v>Cashew Butter + Pure Vanilla Bean Dark Chocolate</v>
      </c>
      <c r="N651" s="6" t="str">
        <f t="shared" si="43"/>
        <v>Gb</v>
      </c>
    </row>
    <row r="652" spans="1:14" x14ac:dyDescent="0.25">
      <c r="A652" s="6" t="s">
        <v>1729</v>
      </c>
      <c r="B652" s="6">
        <v>12293</v>
      </c>
      <c r="C652" s="6" t="s">
        <v>882</v>
      </c>
      <c r="D652" s="7" t="s">
        <v>72</v>
      </c>
      <c r="E652" s="6" t="s">
        <v>39</v>
      </c>
      <c r="F652" s="6" t="s">
        <v>139</v>
      </c>
      <c r="G652" s="8">
        <v>45880</v>
      </c>
      <c r="H652" s="6">
        <v>13.29</v>
      </c>
      <c r="I652" s="6" cm="1">
        <f t="array" ref="I652">IFERROR(VALUE(TRIM(LEFT(E652,MIN(FIND({" ";"g";"k";"m";"o"},E652&amp;" gkmo"))-1))),0)</f>
        <v>150</v>
      </c>
      <c r="J652" s="6" t="str" cm="1">
        <f t="array" ref="J652">IFERROR(TRIM(MID(E652,MIN(FIND({" ";"g";"k";"m";"o"},E652&amp;" gkmo")),10)),"unknown")</f>
        <v>g</v>
      </c>
      <c r="K652" s="6" t="str">
        <f t="shared" si="40"/>
        <v>g</v>
      </c>
      <c r="L652" s="6" t="str">
        <f t="shared" si="41"/>
        <v>Bjorg</v>
      </c>
      <c r="M652" s="6" t="str">
        <f t="shared" si="42"/>
        <v>Crunchy</v>
      </c>
      <c r="N652" s="6" t="str">
        <f t="shared" si="43"/>
        <v>France</v>
      </c>
    </row>
    <row r="653" spans="1:14" x14ac:dyDescent="0.25">
      <c r="A653" s="6" t="s">
        <v>1730</v>
      </c>
      <c r="B653" s="6">
        <v>8544</v>
      </c>
      <c r="C653" s="6" t="s">
        <v>1731</v>
      </c>
      <c r="D653" s="7" t="s">
        <v>1732</v>
      </c>
      <c r="E653" s="6" t="s">
        <v>621</v>
      </c>
      <c r="F653" s="6" t="s">
        <v>139</v>
      </c>
      <c r="G653" s="8">
        <v>45851</v>
      </c>
      <c r="H653" s="6">
        <v>13.16</v>
      </c>
      <c r="I653" s="6" cm="1">
        <f t="array" ref="I653">IFERROR(VALUE(TRIM(LEFT(E653,MIN(FIND({" ";"g";"k";"m";"o"},E653&amp;" gkmo"))-1))),0)</f>
        <v>160</v>
      </c>
      <c r="J653" s="6" t="str" cm="1">
        <f t="array" ref="J653">IFERROR(TRIM(MID(E653,MIN(FIND({" ";"g";"k";"m";"o"},E653&amp;" gkmo")),10)),"unknown")</f>
        <v>g</v>
      </c>
      <c r="K653" s="6" t="str">
        <f t="shared" si="40"/>
        <v>g</v>
      </c>
      <c r="L653" s="6" t="str">
        <f t="shared" si="41"/>
        <v>Doritos,Pepsico</v>
      </c>
      <c r="M653" s="6" t="str">
        <f t="shared" si="42"/>
        <v>Doritos Cheese</v>
      </c>
      <c r="N653" s="6" t="str">
        <f t="shared" si="43"/>
        <v>France</v>
      </c>
    </row>
    <row r="654" spans="1:14" x14ac:dyDescent="0.25">
      <c r="A654" s="6" t="s">
        <v>1733</v>
      </c>
      <c r="B654" s="6">
        <v>14867</v>
      </c>
      <c r="C654" s="6" t="s">
        <v>7017</v>
      </c>
      <c r="D654" s="7" t="s">
        <v>811</v>
      </c>
      <c r="E654" s="6"/>
      <c r="F654" s="6" t="s">
        <v>48</v>
      </c>
      <c r="G654" s="8">
        <v>45956</v>
      </c>
      <c r="H654" s="6">
        <v>13.16</v>
      </c>
      <c r="I654" s="6" cm="1">
        <f t="array" ref="I654">IFERROR(VALUE(TRIM(LEFT(E654,MIN(FIND({" ";"g";"k";"m";"o"},E654&amp;" gkmo"))-1))),0)</f>
        <v>0</v>
      </c>
      <c r="J654" s="6" t="str" cm="1">
        <f t="array" ref="J654">IFERROR(TRIM(MID(E654,MIN(FIND({" ";"g";"k";"m";"o"},E654&amp;" gkmo")),10)),"unknown")</f>
        <v/>
      </c>
      <c r="K654" s="6" t="str">
        <f t="shared" si="40"/>
        <v>unknown</v>
      </c>
      <c r="L654" s="6" t="str">
        <f t="shared" si="41"/>
        <v>Merendina</v>
      </c>
      <c r="M654" s="6" t="str">
        <f t="shared" si="42"/>
        <v>Unknown</v>
      </c>
      <c r="N654" s="6" t="str">
        <f t="shared" si="43"/>
        <v>Morocco</v>
      </c>
    </row>
    <row r="655" spans="1:14" x14ac:dyDescent="0.25">
      <c r="A655" s="6" t="s">
        <v>1734</v>
      </c>
      <c r="B655" s="6">
        <v>7857</v>
      </c>
      <c r="C655" s="6" t="s">
        <v>1735</v>
      </c>
      <c r="D655" s="7" t="s">
        <v>1736</v>
      </c>
      <c r="E655" s="6"/>
      <c r="F655" s="6" t="s">
        <v>177</v>
      </c>
      <c r="G655" s="8">
        <v>45889</v>
      </c>
      <c r="H655" s="6">
        <v>1.1000000000000001</v>
      </c>
      <c r="I655" s="6" cm="1">
        <f t="array" ref="I655">IFERROR(VALUE(TRIM(LEFT(E655,MIN(FIND({" ";"g";"k";"m";"o"},E655&amp;" gkmo"))-1))),0)</f>
        <v>0</v>
      </c>
      <c r="J655" s="6" t="str" cm="1">
        <f t="array" ref="J655">IFERROR(TRIM(MID(E655,MIN(FIND({" ";"g";"k";"m";"o"},E655&amp;" gkmo")),10)),"unknown")</f>
        <v/>
      </c>
      <c r="K655" s="6" t="str">
        <f t="shared" si="40"/>
        <v>unknown</v>
      </c>
      <c r="L655" s="6" t="str">
        <f t="shared" si="41"/>
        <v>Ritz</v>
      </c>
      <c r="M655" s="6" t="str">
        <f t="shared" si="42"/>
        <v>The Original Cracker</v>
      </c>
      <c r="N655" s="6" t="str">
        <f t="shared" si="43"/>
        <v>United Kingdom</v>
      </c>
    </row>
    <row r="656" spans="1:14" x14ac:dyDescent="0.25">
      <c r="A656" s="6" t="s">
        <v>1737</v>
      </c>
      <c r="B656" s="6">
        <v>11153</v>
      </c>
      <c r="C656" s="6" t="s">
        <v>1738</v>
      </c>
      <c r="D656" s="7" t="s">
        <v>1739</v>
      </c>
      <c r="E656" s="6" t="s">
        <v>335</v>
      </c>
      <c r="F656" s="6" t="s">
        <v>400</v>
      </c>
      <c r="G656" s="8">
        <v>45483</v>
      </c>
      <c r="H656" s="6">
        <v>13.16</v>
      </c>
      <c r="I656" s="6" cm="1">
        <f t="array" ref="I656">IFERROR(VALUE(TRIM(LEFT(E656,MIN(FIND({" ";"g";"k";"m";"o"},E656&amp;" gkmo"))-1))),0)</f>
        <v>250</v>
      </c>
      <c r="J656" s="6" t="str" cm="1">
        <f t="array" ref="J656">IFERROR(TRIM(MID(E656,MIN(FIND({" ";"g";"k";"m";"o"},E656&amp;" gkmo")),10)),"unknown")</f>
        <v>g</v>
      </c>
      <c r="K656" s="6" t="str">
        <f t="shared" si="40"/>
        <v>g</v>
      </c>
      <c r="L656" s="6" t="str">
        <f t="shared" si="41"/>
        <v>Sainsbury'S, By Sainsbury'S</v>
      </c>
      <c r="M656" s="6" t="str">
        <f t="shared" si="42"/>
        <v>Rough Oatcakes</v>
      </c>
      <c r="N656" s="6" t="str">
        <f t="shared" si="43"/>
        <v>France,United Kingdom</v>
      </c>
    </row>
    <row r="657" spans="1:14" x14ac:dyDescent="0.25">
      <c r="A657" s="6" t="s">
        <v>1740</v>
      </c>
      <c r="B657" s="6">
        <v>7216</v>
      </c>
      <c r="C657" s="6" t="s">
        <v>1741</v>
      </c>
      <c r="D657" s="7" t="s">
        <v>1742</v>
      </c>
      <c r="E657" s="6" t="s">
        <v>1743</v>
      </c>
      <c r="F657" s="6" t="s">
        <v>8373</v>
      </c>
      <c r="G657" s="8">
        <v>45480</v>
      </c>
      <c r="H657" s="6">
        <v>10.24</v>
      </c>
      <c r="I657" s="6" cm="1">
        <f t="array" ref="I657">IFERROR(VALUE(TRIM(LEFT(E657,MIN(FIND({" ";"g";"k";"m";"o"},E657&amp;" gkmo"))-1))),0)</f>
        <v>0</v>
      </c>
      <c r="J657" s="6" t="str" cm="1">
        <f t="array" ref="J657">IFERROR(TRIM(MID(E657,MIN(FIND({" ";"g";"k";"m";"o"},E657&amp;" gkmo")),10)),"unknown")</f>
        <v>gram</v>
      </c>
      <c r="K657" s="6" t="str">
        <f t="shared" si="40"/>
        <v>g</v>
      </c>
      <c r="L657" s="6" t="str">
        <f t="shared" si="41"/>
        <v>Crownfield</v>
      </c>
      <c r="M657" s="6" t="str">
        <f t="shared" si="42"/>
        <v>Muesli Bars Chocolate</v>
      </c>
      <c r="N657" s="6" t="str">
        <f t="shared" si="43"/>
        <v>Bulgarie,France,Germany,Irlande,United Kingdom</v>
      </c>
    </row>
    <row r="658" spans="1:14" x14ac:dyDescent="0.25">
      <c r="A658" s="6" t="s">
        <v>1744</v>
      </c>
      <c r="B658" s="6">
        <v>12401</v>
      </c>
      <c r="C658" s="6" t="s">
        <v>1745</v>
      </c>
      <c r="D658" s="7" t="s">
        <v>7129</v>
      </c>
      <c r="E658" s="6" t="s">
        <v>151</v>
      </c>
      <c r="F658" s="6" t="s">
        <v>1356</v>
      </c>
      <c r="G658" s="8">
        <v>45646</v>
      </c>
      <c r="H658" s="6">
        <v>1.55</v>
      </c>
      <c r="I658" s="6" cm="1">
        <f t="array" ref="I658">IFERROR(VALUE(TRIM(LEFT(E658,MIN(FIND({" ";"g";"k";"m";"o"},E658&amp;" gkmo"))-1))),0)</f>
        <v>200</v>
      </c>
      <c r="J658" s="6" t="str" cm="1">
        <f t="array" ref="J658">IFERROR(TRIM(MID(E658,MIN(FIND({" ";"g";"k";"m";"o"},E658&amp;" gkmo")),10)),"unknown")</f>
        <v>g</v>
      </c>
      <c r="K658" s="6" t="str">
        <f t="shared" si="40"/>
        <v>g</v>
      </c>
      <c r="L658" s="6" t="str">
        <f t="shared" si="41"/>
        <v>Fin Carré, Lidl</v>
      </c>
      <c r="M658" s="6" t="str">
        <f t="shared" si="42"/>
        <v>Dunkle Ganze Mandel</v>
      </c>
      <c r="N658" s="6" t="str">
        <f t="shared" si="43"/>
        <v>France,Germany</v>
      </c>
    </row>
    <row r="659" spans="1:14" x14ac:dyDescent="0.25">
      <c r="A659" s="6" t="s">
        <v>1746</v>
      </c>
      <c r="B659" s="6">
        <v>5081</v>
      </c>
      <c r="C659" s="6" t="s">
        <v>7130</v>
      </c>
      <c r="D659" s="7" t="s">
        <v>1101</v>
      </c>
      <c r="E659" s="6" t="s">
        <v>14</v>
      </c>
      <c r="F659" s="6" t="s">
        <v>139</v>
      </c>
      <c r="G659" s="8">
        <v>45422</v>
      </c>
      <c r="H659" s="6">
        <v>16.18</v>
      </c>
      <c r="I659" s="6" cm="1">
        <f t="array" ref="I659">IFERROR(VALUE(TRIM(LEFT(E659,MIN(FIND({" ";"g";"k";"m";"o"},E659&amp;" gkmo"))-1))),0)</f>
        <v>300</v>
      </c>
      <c r="J659" s="6" t="str" cm="1">
        <f t="array" ref="J659">IFERROR(TRIM(MID(E659,MIN(FIND({" ";"g";"k";"m";"o"},E659&amp;" gkmo")),10)),"unknown")</f>
        <v>g</v>
      </c>
      <c r="K659" s="6" t="str">
        <f t="shared" si="40"/>
        <v>g</v>
      </c>
      <c r="L659" s="6" t="str">
        <f t="shared" si="41"/>
        <v>Lidl, Sondey</v>
      </c>
      <c r="M659" s="6" t="str">
        <f t="shared" si="42"/>
        <v>Cake Aux Fruits - Tranché</v>
      </c>
      <c r="N659" s="6" t="str">
        <f t="shared" si="43"/>
        <v>France</v>
      </c>
    </row>
    <row r="660" spans="1:14" x14ac:dyDescent="0.25">
      <c r="A660" s="6" t="s">
        <v>1747</v>
      </c>
      <c r="B660" s="6">
        <v>10102</v>
      </c>
      <c r="C660" s="6" t="s">
        <v>1748</v>
      </c>
      <c r="D660" s="7" t="s">
        <v>488</v>
      </c>
      <c r="E660" s="6" t="s">
        <v>352</v>
      </c>
      <c r="F660" s="6" t="s">
        <v>1181</v>
      </c>
      <c r="G660" s="8">
        <v>45550</v>
      </c>
      <c r="H660" s="6">
        <v>14.57</v>
      </c>
      <c r="I660" s="6" cm="1">
        <f t="array" ref="I660">IFERROR(VALUE(TRIM(LEFT(E660,MIN(FIND({" ";"g";"k";"m";"o"},E660&amp;" gkmo"))-1))),0)</f>
        <v>170</v>
      </c>
      <c r="J660" s="6" t="str" cm="1">
        <f t="array" ref="J660">IFERROR(TRIM(MID(E660,MIN(FIND({" ";"g";"k";"m";"o"},E660&amp;" gkmo")),10)),"unknown")</f>
        <v>g</v>
      </c>
      <c r="K660" s="6" t="str">
        <f t="shared" si="40"/>
        <v>g</v>
      </c>
      <c r="L660" s="6" t="str">
        <f t="shared" si="41"/>
        <v>Bonne Maman</v>
      </c>
      <c r="M660" s="6" t="str">
        <f t="shared" si="42"/>
        <v>Galettes Pur Beurre</v>
      </c>
      <c r="N660" s="6" t="str">
        <f t="shared" si="43"/>
        <v>France,Switzerland</v>
      </c>
    </row>
    <row r="661" spans="1:14" x14ac:dyDescent="0.25">
      <c r="A661" s="6" t="s">
        <v>1749</v>
      </c>
      <c r="B661" s="6">
        <v>5802</v>
      </c>
      <c r="C661" s="6" t="s">
        <v>1750</v>
      </c>
      <c r="D661" s="7" t="s">
        <v>7468</v>
      </c>
      <c r="E661" s="6" t="s">
        <v>423</v>
      </c>
      <c r="F661" s="6" t="s">
        <v>7919</v>
      </c>
      <c r="G661" s="8">
        <v>45696</v>
      </c>
      <c r="H661" s="6">
        <v>17.63</v>
      </c>
      <c r="I661" s="6" cm="1">
        <f t="array" ref="I661">IFERROR(VALUE(TRIM(LEFT(E661,MIN(FIND({" ";"g";"k";"m";"o"},E661&amp;" gkmo"))-1))),0)</f>
        <v>125</v>
      </c>
      <c r="J661" s="6" t="str" cm="1">
        <f t="array" ref="J661">IFERROR(TRIM(MID(E661,MIN(FIND({" ";"g";"k";"m";"o"},E661&amp;" gkmo")),10)),"unknown")</f>
        <v>g</v>
      </c>
      <c r="K661" s="6" t="str">
        <f t="shared" si="40"/>
        <v>g</v>
      </c>
      <c r="L661" s="6" t="str">
        <f t="shared" si="41"/>
        <v>La Mère Poulard</v>
      </c>
      <c r="M661" s="6" t="str">
        <f t="shared" si="42"/>
        <v>Le Palet Pur Beurre</v>
      </c>
      <c r="N661" s="6" t="str">
        <f t="shared" si="43"/>
        <v>France, Morocco</v>
      </c>
    </row>
    <row r="662" spans="1:14" x14ac:dyDescent="0.25">
      <c r="A662" s="6" t="s">
        <v>1751</v>
      </c>
      <c r="B662" s="6">
        <v>8304</v>
      </c>
      <c r="C662" s="6" t="s">
        <v>7131</v>
      </c>
      <c r="D662" s="7" t="s">
        <v>7017</v>
      </c>
      <c r="E662" s="6" t="s">
        <v>335</v>
      </c>
      <c r="F662" s="6" t="s">
        <v>8455</v>
      </c>
      <c r="G662" s="8">
        <v>45967</v>
      </c>
      <c r="H662" s="6">
        <v>16.739999999999998</v>
      </c>
      <c r="I662" s="6" cm="1">
        <f t="array" ref="I662">IFERROR(VALUE(TRIM(LEFT(E662,MIN(FIND({" ";"g";"k";"m";"o"},E662&amp;" gkmo"))-1))),0)</f>
        <v>250</v>
      </c>
      <c r="J662" s="6" t="str" cm="1">
        <f t="array" ref="J662">IFERROR(TRIM(MID(E662,MIN(FIND({" ";"g";"k";"m";"o"},E662&amp;" gkmo")),10)),"unknown")</f>
        <v>g</v>
      </c>
      <c r="K662" s="6" t="str">
        <f t="shared" si="40"/>
        <v>g</v>
      </c>
      <c r="L662" s="6" t="str">
        <f t="shared" si="41"/>
        <v>Unknown</v>
      </c>
      <c r="M662" s="6" t="str">
        <f t="shared" si="42"/>
        <v>Les Craquantes Blé Complet</v>
      </c>
      <c r="N662" s="6" t="str">
        <f t="shared" si="43"/>
        <v>France,Reunion</v>
      </c>
    </row>
    <row r="663" spans="1:14" x14ac:dyDescent="0.25">
      <c r="A663" s="6" t="s">
        <v>1752</v>
      </c>
      <c r="B663" s="6">
        <v>10870</v>
      </c>
      <c r="C663" s="6" t="s">
        <v>1753</v>
      </c>
      <c r="D663" s="7" t="s">
        <v>1754</v>
      </c>
      <c r="E663" s="6" t="s">
        <v>1755</v>
      </c>
      <c r="F663" s="6" t="s">
        <v>1756</v>
      </c>
      <c r="G663" s="8">
        <v>45522</v>
      </c>
      <c r="H663" s="6">
        <v>9.39</v>
      </c>
      <c r="I663" s="6" cm="1">
        <f t="array" ref="I663">IFERROR(VALUE(TRIM(LEFT(E663,MIN(FIND({" ";"g";"k";"m";"o"},E663&amp;" gkmo"))-1))),0)</f>
        <v>0.45</v>
      </c>
      <c r="J663" s="6" t="str" cm="1">
        <f t="array" ref="J663">IFERROR(TRIM(MID(E663,MIN(FIND({" ";"g";"k";"m";"o"},E663&amp;" gkmo")),10)),"unknown")</f>
        <v>kg</v>
      </c>
      <c r="K663" s="6" t="str">
        <f t="shared" si="40"/>
        <v>kg</v>
      </c>
      <c r="L663" s="6" t="str">
        <f t="shared" si="41"/>
        <v>Auchan</v>
      </c>
      <c r="M663" s="6" t="str">
        <f t="shared" si="42"/>
        <v>Muesli Croustillantnoix</v>
      </c>
      <c r="N663" s="6" t="str">
        <f t="shared" si="43"/>
        <v>France,Spain, Monde</v>
      </c>
    </row>
    <row r="664" spans="1:14" x14ac:dyDescent="0.25">
      <c r="A664" s="6" t="s">
        <v>1757</v>
      </c>
      <c r="B664" s="6">
        <v>10199</v>
      </c>
      <c r="C664" s="6" t="s">
        <v>1758</v>
      </c>
      <c r="D664" s="7" t="s">
        <v>1759</v>
      </c>
      <c r="E664" s="6"/>
      <c r="F664" s="6" t="s">
        <v>7981</v>
      </c>
      <c r="G664" s="8">
        <v>45712</v>
      </c>
      <c r="H664" s="6">
        <v>19.54</v>
      </c>
      <c r="I664" s="6" cm="1">
        <f t="array" ref="I664">IFERROR(VALUE(TRIM(LEFT(E664,MIN(FIND({" ";"g";"k";"m";"o"},E664&amp;" gkmo"))-1))),0)</f>
        <v>0</v>
      </c>
      <c r="J664" s="6" t="str" cm="1">
        <f t="array" ref="J664">IFERROR(TRIM(MID(E664,MIN(FIND({" ";"g";"k";"m";"o"},E664&amp;" gkmo")),10)),"unknown")</f>
        <v/>
      </c>
      <c r="K664" s="6" t="str">
        <f t="shared" si="40"/>
        <v>unknown</v>
      </c>
      <c r="L664" s="6" t="str">
        <f t="shared" si="41"/>
        <v>Mars</v>
      </c>
      <c r="M664" s="6" t="str">
        <f t="shared" si="42"/>
        <v>Celebrations</v>
      </c>
      <c r="N664" s="6" t="str">
        <f t="shared" si="43"/>
        <v>Belgium, France, Germany, Hungary, Morocco</v>
      </c>
    </row>
    <row r="665" spans="1:14" x14ac:dyDescent="0.25">
      <c r="A665" s="6" t="s">
        <v>1760</v>
      </c>
      <c r="B665" s="6">
        <v>9545</v>
      </c>
      <c r="C665" s="6" t="s">
        <v>1761</v>
      </c>
      <c r="D665" s="7" t="s">
        <v>1762</v>
      </c>
      <c r="E665" s="6" t="s">
        <v>1763</v>
      </c>
      <c r="F665" s="6" t="s">
        <v>1764</v>
      </c>
      <c r="G665" s="8">
        <v>45861</v>
      </c>
      <c r="H665" s="6">
        <v>13.16</v>
      </c>
      <c r="I665" s="6" cm="1">
        <f t="array" ref="I665">IFERROR(VALUE(TRIM(LEFT(E665,MIN(FIND({" ";"g";"k";"m";"o"},E665&amp;" gkmo"))-1))),0)</f>
        <v>8</v>
      </c>
      <c r="J665" s="6" t="str" cm="1">
        <f t="array" ref="J665">IFERROR(TRIM(MID(E665,MIN(FIND({" ";"g";"k";"m";"o"},E665&amp;" gkmo")),10)),"unknown")</f>
        <v>x 30g</v>
      </c>
      <c r="K665" s="6" t="str">
        <f t="shared" si="40"/>
        <v>g</v>
      </c>
      <c r="L665" s="6" t="str">
        <f t="shared" si="41"/>
        <v>Thomas Tunnock Ltd</v>
      </c>
      <c r="M665" s="6" t="str">
        <f t="shared" si="42"/>
        <v>Tunnock'S Caramel Wafer Biscuits Imp</v>
      </c>
      <c r="N665" s="6" t="str">
        <f t="shared" si="43"/>
        <v>Australia,United Kingdom</v>
      </c>
    </row>
    <row r="666" spans="1:14" x14ac:dyDescent="0.25">
      <c r="A666" s="6" t="s">
        <v>1765</v>
      </c>
      <c r="B666" s="6">
        <v>10476</v>
      </c>
      <c r="C666" s="6" t="s">
        <v>1766</v>
      </c>
      <c r="D666" s="7" t="s">
        <v>1542</v>
      </c>
      <c r="E666" s="6" t="s">
        <v>614</v>
      </c>
      <c r="F666" s="6" t="s">
        <v>930</v>
      </c>
      <c r="G666" s="8">
        <v>45872</v>
      </c>
      <c r="H666" s="6">
        <v>6.55</v>
      </c>
      <c r="I666" s="6" cm="1">
        <f t="array" ref="I666">IFERROR(VALUE(TRIM(LEFT(E666,MIN(FIND({" ";"g";"k";"m";"o"},E666&amp;" gkmo"))-1))),0)</f>
        <v>45</v>
      </c>
      <c r="J666" s="6" t="str" cm="1">
        <f t="array" ref="J666">IFERROR(TRIM(MID(E666,MIN(FIND({" ";"g";"k";"m";"o"},E666&amp;" gkmo")),10)),"unknown")</f>
        <v>g</v>
      </c>
      <c r="K666" s="6" t="str">
        <f t="shared" si="40"/>
        <v>g</v>
      </c>
      <c r="L666" s="6" t="str">
        <f t="shared" si="41"/>
        <v>Balconi</v>
      </c>
      <c r="M666" s="6" t="str">
        <f t="shared" si="42"/>
        <v>Wafers Cocoa</v>
      </c>
      <c r="N666" s="6" t="str">
        <f t="shared" si="43"/>
        <v>France,Morocco,Switzerland</v>
      </c>
    </row>
    <row r="667" spans="1:14" x14ac:dyDescent="0.25">
      <c r="A667" s="6" t="s">
        <v>1767</v>
      </c>
      <c r="B667" s="6">
        <v>13919</v>
      </c>
      <c r="C667" s="6" t="s">
        <v>1768</v>
      </c>
      <c r="D667" s="7" t="s">
        <v>1769</v>
      </c>
      <c r="E667" s="6" t="s">
        <v>614</v>
      </c>
      <c r="F667" s="6" t="s">
        <v>1770</v>
      </c>
      <c r="G667" s="8">
        <v>45906</v>
      </c>
      <c r="H667" s="6">
        <v>14.13</v>
      </c>
      <c r="I667" s="6" cm="1">
        <f t="array" ref="I667">IFERROR(VALUE(TRIM(LEFT(E667,MIN(FIND({" ";"g";"k";"m";"o"},E667&amp;" gkmo"))-1))),0)</f>
        <v>45</v>
      </c>
      <c r="J667" s="6" t="str" cm="1">
        <f t="array" ref="J667">IFERROR(TRIM(MID(E667,MIN(FIND({" ";"g";"k";"m";"o"},E667&amp;" gkmo")),10)),"unknown")</f>
        <v>g</v>
      </c>
      <c r="K667" s="6" t="str">
        <f t="shared" si="40"/>
        <v>g</v>
      </c>
      <c r="L667" s="6" t="str">
        <f t="shared" si="41"/>
        <v>Ironmaxx Nutrition Gmbh &amp; Co.</v>
      </c>
      <c r="M667" s="6" t="str">
        <f t="shared" si="42"/>
        <v>Protein Bar Cookie &amp; Cream Flavour</v>
      </c>
      <c r="N667" s="6" t="str">
        <f t="shared" si="43"/>
        <v>France,Germany,Bulgaria</v>
      </c>
    </row>
    <row r="668" spans="1:14" x14ac:dyDescent="0.25">
      <c r="A668" s="6" t="s">
        <v>1771</v>
      </c>
      <c r="B668" s="6">
        <v>7829</v>
      </c>
      <c r="C668" s="6" t="s">
        <v>1772</v>
      </c>
      <c r="D668" s="7" t="s">
        <v>1773</v>
      </c>
      <c r="E668" s="6" t="s">
        <v>1265</v>
      </c>
      <c r="F668" s="6" t="s">
        <v>1774</v>
      </c>
      <c r="G668" s="8">
        <v>45938</v>
      </c>
      <c r="H668" s="6">
        <v>2.78</v>
      </c>
      <c r="I668" s="6" cm="1">
        <f t="array" ref="I668">IFERROR(VALUE(TRIM(LEFT(E668,MIN(FIND({" ";"g";"k";"m";"o"},E668&amp;" gkmo"))-1))),0)</f>
        <v>185</v>
      </c>
      <c r="J668" s="6" t="str" cm="1">
        <f t="array" ref="J668">IFERROR(TRIM(MID(E668,MIN(FIND({" ";"g";"k";"m";"o"},E668&amp;" gkmo")),10)),"unknown")</f>
        <v>g</v>
      </c>
      <c r="K668" s="6" t="str">
        <f t="shared" si="40"/>
        <v>g</v>
      </c>
      <c r="L668" s="6" t="str">
        <f t="shared" si="41"/>
        <v>Aldi</v>
      </c>
      <c r="M668" s="6" t="str">
        <f t="shared" si="42"/>
        <v>Gourmet Sea Salt Savoury Crackers</v>
      </c>
      <c r="N668" s="6" t="str">
        <f t="shared" si="43"/>
        <v>Ireland,United Kingdom</v>
      </c>
    </row>
    <row r="669" spans="1:14" x14ac:dyDescent="0.25">
      <c r="A669" s="6" t="s">
        <v>1775</v>
      </c>
      <c r="B669" s="6">
        <v>7493</v>
      </c>
      <c r="C669" s="6" t="s">
        <v>1776</v>
      </c>
      <c r="D669" s="7" t="s">
        <v>1595</v>
      </c>
      <c r="E669" s="6"/>
      <c r="F669" s="6" t="s">
        <v>2973</v>
      </c>
      <c r="G669" s="8">
        <v>45833</v>
      </c>
      <c r="H669" s="6">
        <v>2.08</v>
      </c>
      <c r="I669" s="6" cm="1">
        <f t="array" ref="I669">IFERROR(VALUE(TRIM(LEFT(E669,MIN(FIND({" ";"g";"k";"m";"o"},E669&amp;" gkmo"))-1))),0)</f>
        <v>0</v>
      </c>
      <c r="J669" s="6" t="str" cm="1">
        <f t="array" ref="J669">IFERROR(TRIM(MID(E669,MIN(FIND({" ";"g";"k";"m";"o"},E669&amp;" gkmo")),10)),"unknown")</f>
        <v/>
      </c>
      <c r="K669" s="6" t="str">
        <f t="shared" si="40"/>
        <v>unknown</v>
      </c>
      <c r="L669" s="6" t="str">
        <f t="shared" si="41"/>
        <v>Love Corn</v>
      </c>
      <c r="M669" s="6" t="str">
        <f t="shared" si="42"/>
        <v>Love Corn Salt &amp; Vinegat</v>
      </c>
      <c r="N669" s="6" t="str">
        <f t="shared" si="43"/>
        <v>Gb</v>
      </c>
    </row>
    <row r="670" spans="1:14" x14ac:dyDescent="0.25">
      <c r="A670" s="6" t="s">
        <v>1777</v>
      </c>
      <c r="B670" s="6">
        <v>8787</v>
      </c>
      <c r="C670" s="6" t="s">
        <v>1778</v>
      </c>
      <c r="D670" s="7" t="s">
        <v>1779</v>
      </c>
      <c r="E670" s="6" t="s">
        <v>1309</v>
      </c>
      <c r="F670" s="6" t="s">
        <v>7926</v>
      </c>
      <c r="G670" s="8">
        <v>45924</v>
      </c>
      <c r="H670" s="6">
        <v>3.71</v>
      </c>
      <c r="I670" s="6" cm="1">
        <f t="array" ref="I670">IFERROR(VALUE(TRIM(LEFT(E670,MIN(FIND({" ";"g";"k";"m";"o"},E670&amp;" gkmo"))-1))),0)</f>
        <v>300</v>
      </c>
      <c r="J670" s="6" t="str" cm="1">
        <f t="array" ref="J670">IFERROR(TRIM(MID(E670,MIN(FIND({" ";"g";"k";"m";"o"},E670&amp;" gkmo")),10)),"unknown")</f>
        <v>g</v>
      </c>
      <c r="K670" s="6" t="str">
        <f t="shared" si="40"/>
        <v>g</v>
      </c>
      <c r="L670" s="6" t="str">
        <f t="shared" si="41"/>
        <v>By Sainsbury'S</v>
      </c>
      <c r="M670" s="6" t="str">
        <f t="shared" si="42"/>
        <v>Cream Crackers</v>
      </c>
      <c r="N670" s="6" t="str">
        <f t="shared" si="43"/>
        <v>France, United-Kingdom</v>
      </c>
    </row>
    <row r="671" spans="1:14" x14ac:dyDescent="0.25">
      <c r="A671" s="6" t="s">
        <v>1780</v>
      </c>
      <c r="B671" s="6">
        <v>8446</v>
      </c>
      <c r="C671" s="6" t="s">
        <v>1781</v>
      </c>
      <c r="D671" s="7" t="s">
        <v>1782</v>
      </c>
      <c r="E671" s="6" t="s">
        <v>1548</v>
      </c>
      <c r="F671" s="6" t="s">
        <v>7638</v>
      </c>
      <c r="G671" s="8">
        <v>45835</v>
      </c>
      <c r="H671" s="6">
        <v>4.41</v>
      </c>
      <c r="I671" s="6" cm="1">
        <f t="array" ref="I671">IFERROR(VALUE(TRIM(LEFT(E671,MIN(FIND({" ";"g";"k";"m";"o"},E671&amp;" gkmo"))-1))),0)</f>
        <v>4</v>
      </c>
      <c r="J671" s="6" t="str" cm="1">
        <f t="array" ref="J671">IFERROR(TRIM(MID(E671,MIN(FIND({" ";"g";"k";"m";"o"},E671&amp;" gkmo")),10)),"unknown")</f>
        <v>x 42 g</v>
      </c>
      <c r="K671" s="6" t="str">
        <f t="shared" si="40"/>
        <v>g</v>
      </c>
      <c r="L671" s="6" t="str">
        <f t="shared" si="41"/>
        <v>Stoats</v>
      </c>
      <c r="M671" s="6" t="str">
        <f t="shared" si="42"/>
        <v>Blueberry &amp; Honey Porridge Oat Bars</v>
      </c>
      <c r="N671" s="6" t="str">
        <f t="shared" si="43"/>
        <v>An Fhraing,An Rà¬Oghachd Aonaichte</v>
      </c>
    </row>
    <row r="672" spans="1:14" x14ac:dyDescent="0.25">
      <c r="A672" s="6" t="s">
        <v>1783</v>
      </c>
      <c r="B672" s="6">
        <v>5522</v>
      </c>
      <c r="C672" s="6" t="s">
        <v>1784</v>
      </c>
      <c r="D672" s="7" t="s">
        <v>1623</v>
      </c>
      <c r="E672" s="6" t="s">
        <v>1785</v>
      </c>
      <c r="F672" s="6" t="s">
        <v>1786</v>
      </c>
      <c r="G672" s="8">
        <v>45669</v>
      </c>
      <c r="H672" s="6">
        <v>11.59</v>
      </c>
      <c r="I672" s="6" cm="1">
        <f t="array" ref="I672">IFERROR(VALUE(TRIM(LEFT(E672,MIN(FIND({" ";"g";"k";"m";"o"},E672&amp;" gkmo"))-1))),0)</f>
        <v>193.2</v>
      </c>
      <c r="J672" s="6" t="str" cm="1">
        <f t="array" ref="J672">IFERROR(TRIM(MID(E672,MIN(FIND({" ";"g";"k";"m";"o"},E672&amp;" gkmo")),10)),"unknown")</f>
        <v>g</v>
      </c>
      <c r="K672" s="6" t="str">
        <f t="shared" si="40"/>
        <v>g</v>
      </c>
      <c r="L672" s="6" t="str">
        <f t="shared" si="41"/>
        <v>Nutella</v>
      </c>
      <c r="M672" s="6" t="str">
        <f t="shared" si="42"/>
        <v>Biscuit Filled With Hazelnut Spread With Cocoa</v>
      </c>
      <c r="N672" s="6" t="str">
        <f t="shared" si="43"/>
        <v>Ä¿Åš Åˆ©Äºš,Å¾·Å›½,É©¬Æ¥È¥¿Äºš,Æ‘©Æ´›Å“¥,Æ³¢Å…°,Ç¾…É¦¬Å°¼Äºž,Ç‘Žå£«,ÅœˆÇ‰™Åˆ©</v>
      </c>
    </row>
    <row r="673" spans="1:14" x14ac:dyDescent="0.25">
      <c r="A673" s="6" t="s">
        <v>1787</v>
      </c>
      <c r="B673" s="6">
        <v>10383</v>
      </c>
      <c r="C673" s="6" t="s">
        <v>1788</v>
      </c>
      <c r="D673" s="7" t="s">
        <v>1789</v>
      </c>
      <c r="E673" s="6" t="s">
        <v>1790</v>
      </c>
      <c r="F673" s="6" t="s">
        <v>8335</v>
      </c>
      <c r="G673" s="8">
        <v>45764</v>
      </c>
      <c r="H673" s="6">
        <v>13.16</v>
      </c>
      <c r="I673" s="6" cm="1">
        <f t="array" ref="I673">IFERROR(VALUE(TRIM(LEFT(E673,MIN(FIND({" ";"g";"k";"m";"o"},E673&amp;" gkmo"))-1))),0)</f>
        <v>75</v>
      </c>
      <c r="J673" s="6" t="str" cm="1">
        <f t="array" ref="J673">IFERROR(TRIM(MID(E673,MIN(FIND({" ";"g";"k";"m";"o"},E673&amp;" gkmo")),10)),"unknown")</f>
        <v>g</v>
      </c>
      <c r="K673" s="6" t="str">
        <f t="shared" si="40"/>
        <v>g</v>
      </c>
      <c r="L673" s="6" t="str">
        <f t="shared" si="41"/>
        <v>Belin, Mondelez</v>
      </c>
      <c r="M673" s="6" t="str">
        <f t="shared" si="42"/>
        <v>Chipster</v>
      </c>
      <c r="N673" s="6" t="str">
        <f t="shared" si="43"/>
        <v>Canada,France,Guadeloupe,Switzerland</v>
      </c>
    </row>
    <row r="674" spans="1:14" x14ac:dyDescent="0.25">
      <c r="A674" s="6" t="s">
        <v>1791</v>
      </c>
      <c r="B674" s="6">
        <v>14151</v>
      </c>
      <c r="C674" s="6" t="s">
        <v>1792</v>
      </c>
      <c r="D674" s="7" t="s">
        <v>1255</v>
      </c>
      <c r="E674" s="6" t="s">
        <v>1793</v>
      </c>
      <c r="F674" s="6" t="s">
        <v>177</v>
      </c>
      <c r="G674" s="8">
        <v>45876</v>
      </c>
      <c r="H674" s="6">
        <v>4.6100000000000003</v>
      </c>
      <c r="I674" s="6" cm="1">
        <f t="array" ref="I674">IFERROR(VALUE(TRIM(LEFT(E674,MIN(FIND({" ";"g";"k";"m";"o"},E674&amp;" gkmo"))-1))),0)</f>
        <v>0</v>
      </c>
      <c r="J674" s="6" t="str" cm="1">
        <f t="array" ref="J674">IFERROR(TRIM(MID(E674,MIN(FIND({" ";"g";"k";"m";"o"},E674&amp;" gkmo")),10)),"unknown")</f>
        <v>g</v>
      </c>
      <c r="K674" s="6" t="str">
        <f t="shared" si="40"/>
        <v>g</v>
      </c>
      <c r="L674" s="6" t="str">
        <f t="shared" si="41"/>
        <v>Kp Snacks</v>
      </c>
      <c r="M674" s="6" t="str">
        <f t="shared" si="42"/>
        <v>Hula Hoops Original</v>
      </c>
      <c r="N674" s="6" t="str">
        <f t="shared" si="43"/>
        <v>United Kingdom</v>
      </c>
    </row>
    <row r="675" spans="1:14" x14ac:dyDescent="0.25">
      <c r="A675" s="6" t="s">
        <v>1794</v>
      </c>
      <c r="B675" s="6">
        <v>7789</v>
      </c>
      <c r="C675" s="6" t="s">
        <v>1795</v>
      </c>
      <c r="D675" s="7" t="s">
        <v>814</v>
      </c>
      <c r="E675" s="6" t="s">
        <v>528</v>
      </c>
      <c r="F675" s="6" t="s">
        <v>7982</v>
      </c>
      <c r="G675" s="8">
        <v>45776</v>
      </c>
      <c r="H675" s="6">
        <v>24.5</v>
      </c>
      <c r="I675" s="6" cm="1">
        <f t="array" ref="I675">IFERROR(VALUE(TRIM(LEFT(E675,MIN(FIND({" ";"g";"k";"m";"o"},E675&amp;" gkmo"))-1))),0)</f>
        <v>200</v>
      </c>
      <c r="J675" s="6" t="str" cm="1">
        <f t="array" ref="J675">IFERROR(TRIM(MID(E675,MIN(FIND({" ";"g";"k";"m";"o"},E675&amp;" gkmo")),10)),"unknown")</f>
        <v>g</v>
      </c>
      <c r="K675" s="6" t="str">
        <f t="shared" si="40"/>
        <v>g</v>
      </c>
      <c r="L675" s="6" t="str">
        <f t="shared" si="41"/>
        <v>Mondelez</v>
      </c>
      <c r="M675" s="6" t="str">
        <f t="shared" si="42"/>
        <v>Ritz Crackers Original 200 G</v>
      </c>
      <c r="N675" s="6" t="str">
        <f t="shared" si="43"/>
        <v>Germany, Norway, Spain, Switzerland, France</v>
      </c>
    </row>
    <row r="676" spans="1:14" x14ac:dyDescent="0.25">
      <c r="A676" s="6" t="s">
        <v>1796</v>
      </c>
      <c r="B676" s="6">
        <v>13403</v>
      </c>
      <c r="C676" s="6" t="s">
        <v>1797</v>
      </c>
      <c r="D676" s="7" t="s">
        <v>613</v>
      </c>
      <c r="E676" s="6" t="s">
        <v>495</v>
      </c>
      <c r="F676" s="6" t="s">
        <v>7920</v>
      </c>
      <c r="G676" s="8">
        <v>45941</v>
      </c>
      <c r="H676" s="6">
        <v>1.78</v>
      </c>
      <c r="I676" s="6" cm="1">
        <f t="array" ref="I676">IFERROR(VALUE(TRIM(LEFT(E676,MIN(FIND({" ";"g";"k";"m";"o"},E676&amp;" gkmo"))-1))),0)</f>
        <v>35</v>
      </c>
      <c r="J676" s="6" t="str" cm="1">
        <f t="array" ref="J676">IFERROR(TRIM(MID(E676,MIN(FIND({" ";"g";"k";"m";"o"},E676&amp;" gkmo")),10)),"unknown")</f>
        <v>g</v>
      </c>
      <c r="K676" s="6" t="str">
        <f t="shared" si="40"/>
        <v>g</v>
      </c>
      <c r="L676" s="6" t="str">
        <f t="shared" si="41"/>
        <v>Nakd</v>
      </c>
      <c r="M676" s="6" t="str">
        <f t="shared" si="42"/>
        <v>Berry Delight Fruit &amp; Nut Bar</v>
      </c>
      <c r="N676" s="6" t="str">
        <f t="shared" si="43"/>
        <v>United Kingdom, Ireland</v>
      </c>
    </row>
    <row r="677" spans="1:14" x14ac:dyDescent="0.25">
      <c r="A677" s="6" t="s">
        <v>1798</v>
      </c>
      <c r="B677" s="6">
        <v>11696</v>
      </c>
      <c r="C677" s="6" t="s">
        <v>1799</v>
      </c>
      <c r="D677" s="7" t="s">
        <v>1800</v>
      </c>
      <c r="E677" s="6"/>
      <c r="F677" s="6" t="s">
        <v>8336</v>
      </c>
      <c r="G677" s="8">
        <v>45518</v>
      </c>
      <c r="H677" s="6">
        <v>15.42</v>
      </c>
      <c r="I677" s="6" cm="1">
        <f t="array" ref="I677">IFERROR(VALUE(TRIM(LEFT(E677,MIN(FIND({" ";"g";"k";"m";"o"},E677&amp;" gkmo"))-1))),0)</f>
        <v>0</v>
      </c>
      <c r="J677" s="6" t="str" cm="1">
        <f t="array" ref="J677">IFERROR(TRIM(MID(E677,MIN(FIND({" ";"g";"k";"m";"o"},E677&amp;" gkmo")),10)),"unknown")</f>
        <v/>
      </c>
      <c r="K677" s="6" t="str">
        <f t="shared" si="40"/>
        <v>unknown</v>
      </c>
      <c r="L677" s="6" t="str">
        <f t="shared" si="41"/>
        <v>Villars</v>
      </c>
      <c r="M677" s="6" t="str">
        <f t="shared" si="42"/>
        <v>Chocolat Noir 72%, Collection Pure</v>
      </c>
      <c r="N677" s="6" t="str">
        <f t="shared" si="43"/>
        <v>Croatie,France,Morocco,Switzerland</v>
      </c>
    </row>
    <row r="678" spans="1:14" x14ac:dyDescent="0.25">
      <c r="A678" s="6" t="s">
        <v>1801</v>
      </c>
      <c r="B678" s="6">
        <v>8367</v>
      </c>
      <c r="C678" s="6" t="s">
        <v>1802</v>
      </c>
      <c r="D678" s="7" t="s">
        <v>7033</v>
      </c>
      <c r="E678" s="6" t="s">
        <v>352</v>
      </c>
      <c r="F678" s="6" t="s">
        <v>789</v>
      </c>
      <c r="G678" s="8">
        <v>45876</v>
      </c>
      <c r="H678" s="6">
        <v>1.05</v>
      </c>
      <c r="I678" s="6" cm="1">
        <f t="array" ref="I678">IFERROR(VALUE(TRIM(LEFT(E678,MIN(FIND({" ";"g";"k";"m";"o"},E678&amp;" gkmo"))-1))),0)</f>
        <v>170</v>
      </c>
      <c r="J678" s="6" t="str" cm="1">
        <f t="array" ref="J678">IFERROR(TRIM(MID(E678,MIN(FIND({" ";"g";"k";"m";"o"},E678&amp;" gkmo")),10)),"unknown")</f>
        <v>g</v>
      </c>
      <c r="K678" s="6" t="str">
        <f t="shared" si="40"/>
        <v>g</v>
      </c>
      <c r="L678" s="6" t="str">
        <f t="shared" si="41"/>
        <v>Nestlé</v>
      </c>
      <c r="M678" s="6" t="str">
        <f t="shared" si="42"/>
        <v>Nestle Dessert Lait</v>
      </c>
      <c r="N678" s="6" t="str">
        <f t="shared" si="43"/>
        <v>Canada,France</v>
      </c>
    </row>
    <row r="679" spans="1:14" x14ac:dyDescent="0.25">
      <c r="A679" s="6" t="s">
        <v>1803</v>
      </c>
      <c r="B679" s="6">
        <v>10211</v>
      </c>
      <c r="C679" s="6" t="s">
        <v>7132</v>
      </c>
      <c r="D679" s="7" t="s">
        <v>13</v>
      </c>
      <c r="E679" s="6" t="s">
        <v>580</v>
      </c>
      <c r="F679" s="6" t="s">
        <v>8446</v>
      </c>
      <c r="G679" s="8">
        <v>45731</v>
      </c>
      <c r="H679" s="6">
        <v>19.489999999999998</v>
      </c>
      <c r="I679" s="6" cm="1">
        <f t="array" ref="I679">IFERROR(VALUE(TRIM(LEFT(E679,MIN(FIND({" ";"g";"k";"m";"o"},E679&amp;" gkmo"))-1))),0)</f>
        <v>250</v>
      </c>
      <c r="J679" s="6" t="str" cm="1">
        <f t="array" ref="J679">IFERROR(TRIM(MID(E679,MIN(FIND({" ";"g";"k";"m";"o"},E679&amp;" gkmo")),10)),"unknown")</f>
        <v>g</v>
      </c>
      <c r="K679" s="6" t="str">
        <f t="shared" si="40"/>
        <v>g</v>
      </c>
      <c r="L679" s="6" t="str">
        <f t="shared" si="41"/>
        <v>Lu</v>
      </c>
      <c r="M679" s="6" t="str">
        <f t="shared" si="42"/>
        <v>Belvita - Petit Déjeuner Tartiné</v>
      </c>
      <c r="N679" s="6" t="str">
        <f t="shared" si="43"/>
        <v>Belgium,France,Reunion</v>
      </c>
    </row>
    <row r="680" spans="1:14" x14ac:dyDescent="0.25">
      <c r="A680" s="6" t="s">
        <v>1804</v>
      </c>
      <c r="B680" s="6">
        <v>12458</v>
      </c>
      <c r="C680" s="6" t="s">
        <v>1805</v>
      </c>
      <c r="D680" s="7" t="s">
        <v>7017</v>
      </c>
      <c r="E680" s="6" t="s">
        <v>1806</v>
      </c>
      <c r="F680" s="6" t="s">
        <v>7983</v>
      </c>
      <c r="G680" s="8">
        <v>45796</v>
      </c>
      <c r="H680" s="6">
        <v>4.1100000000000003</v>
      </c>
      <c r="I680" s="6" cm="1">
        <f t="array" ref="I680">IFERROR(VALUE(TRIM(LEFT(E680,MIN(FIND({" ";"g";"k";"m";"o"},E680&amp;" gkmo"))-1))),0)</f>
        <v>10</v>
      </c>
      <c r="J680" s="6" t="str" cm="1">
        <f t="array" ref="J680">IFERROR(TRIM(MID(E680,MIN(FIND({" ";"g";"k";"m";"o"},E680&amp;" gkmo")),10)),"unknown")</f>
        <v>Barres</v>
      </c>
      <c r="K680" s="6" t="str">
        <f t="shared" si="40"/>
        <v>unknown</v>
      </c>
      <c r="L680" s="6" t="str">
        <f t="shared" si="41"/>
        <v>Unknown</v>
      </c>
      <c r="M680" s="6" t="str">
        <f t="shared" si="42"/>
        <v>Nature Valley Crunchy</v>
      </c>
      <c r="N680" s="6" t="str">
        <f t="shared" si="43"/>
        <v>France, Germany, Italy, United-Kingdom</v>
      </c>
    </row>
    <row r="681" spans="1:14" x14ac:dyDescent="0.25">
      <c r="A681" s="6" t="s">
        <v>1807</v>
      </c>
      <c r="B681" s="6">
        <v>5427</v>
      </c>
      <c r="C681" s="6" t="s">
        <v>1808</v>
      </c>
      <c r="D681" s="7" t="s">
        <v>1809</v>
      </c>
      <c r="E681" s="6" t="s">
        <v>1590</v>
      </c>
      <c r="F681" s="6" t="s">
        <v>7984</v>
      </c>
      <c r="G681" s="8">
        <v>45863</v>
      </c>
      <c r="H681" s="6">
        <v>13.16</v>
      </c>
      <c r="I681" s="6" cm="1">
        <f t="array" ref="I681">IFERROR(VALUE(TRIM(LEFT(E681,MIN(FIND({" ";"g";"k";"m";"o"},E681&amp;" gkmo"))-1))),0)</f>
        <v>280</v>
      </c>
      <c r="J681" s="6" t="str" cm="1">
        <f t="array" ref="J681">IFERROR(TRIM(MID(E681,MIN(FIND({" ";"g";"k";"m";"o"},E681&amp;" gkmo")),10)),"unknown")</f>
        <v>g</v>
      </c>
      <c r="K681" s="6" t="str">
        <f t="shared" si="40"/>
        <v>g</v>
      </c>
      <c r="L681" s="6" t="str">
        <f t="shared" si="41"/>
        <v>Gullon</v>
      </c>
      <c r="M681" s="6" t="str">
        <f t="shared" si="42"/>
        <v>Gullon Cuordi Cereale Tradizionale, Alto Contenuto Di Fibra</v>
      </c>
      <c r="N681" s="6" t="str">
        <f t="shared" si="43"/>
        <v>France, Italy, Morocco, Romania, Albania</v>
      </c>
    </row>
    <row r="682" spans="1:14" x14ac:dyDescent="0.25">
      <c r="A682" s="6" t="s">
        <v>1810</v>
      </c>
      <c r="B682" s="6">
        <v>5222</v>
      </c>
      <c r="C682" s="6" t="s">
        <v>1811</v>
      </c>
      <c r="D682" s="7" t="s">
        <v>357</v>
      </c>
      <c r="E682" s="6" t="s">
        <v>1812</v>
      </c>
      <c r="F682" s="6" t="s">
        <v>2973</v>
      </c>
      <c r="G682" s="8">
        <v>46026</v>
      </c>
      <c r="H682" s="6">
        <v>8.32</v>
      </c>
      <c r="I682" s="6" cm="1">
        <f t="array" ref="I682">IFERROR(VALUE(TRIM(LEFT(E682,MIN(FIND({" ";"g";"k";"m";"o"},E682&amp;" gkmo"))-1))),0)</f>
        <v>6</v>
      </c>
      <c r="J682" s="6" t="str" cm="1">
        <f t="array" ref="J682">IFERROR(TRIM(MID(E682,MIN(FIND({" ";"g";"k";"m";"o"},E682&amp;" gkmo")),10)),"unknown")</f>
        <v>x 10g</v>
      </c>
      <c r="K682" s="6" t="str">
        <f t="shared" si="40"/>
        <v>g</v>
      </c>
      <c r="L682" s="6" t="str">
        <f t="shared" si="41"/>
        <v>Proper</v>
      </c>
      <c r="M682" s="6" t="str">
        <f t="shared" si="42"/>
        <v>Proper Corn Sea Salt</v>
      </c>
      <c r="N682" s="6" t="str">
        <f t="shared" si="43"/>
        <v>Gb</v>
      </c>
    </row>
    <row r="683" spans="1:14" x14ac:dyDescent="0.25">
      <c r="A683" s="6" t="s">
        <v>1813</v>
      </c>
      <c r="B683" s="6">
        <v>7667</v>
      </c>
      <c r="C683" s="6" t="s">
        <v>1388</v>
      </c>
      <c r="D683" s="7" t="s">
        <v>112</v>
      </c>
      <c r="E683" s="6" t="s">
        <v>840</v>
      </c>
      <c r="F683" s="6" t="s">
        <v>7639</v>
      </c>
      <c r="G683" s="8">
        <v>45932</v>
      </c>
      <c r="H683" s="6">
        <v>10.62</v>
      </c>
      <c r="I683" s="6" cm="1">
        <f t="array" ref="I683">IFERROR(VALUE(TRIM(LEFT(E683,MIN(FIND({" ";"g";"k";"m";"o"},E683&amp;" gkmo"))-1))),0)</f>
        <v>175</v>
      </c>
      <c r="J683" s="6" t="str" cm="1">
        <f t="array" ref="J683">IFERROR(TRIM(MID(E683,MIN(FIND({" ";"g";"k";"m";"o"},E683&amp;" gkmo")),10)),"unknown")</f>
        <v>g</v>
      </c>
      <c r="K683" s="6" t="str">
        <f t="shared" si="40"/>
        <v>g</v>
      </c>
      <c r="L683" s="6" t="str">
        <f t="shared" si="41"/>
        <v>Pringles</v>
      </c>
      <c r="M683" s="6" t="str">
        <f t="shared" si="42"/>
        <v>Pringles Hot &amp; Spicy</v>
      </c>
      <c r="N683" s="6" t="str">
        <f t="shared" si="43"/>
        <v>Franà§A,Ità¡Lia,Portugal</v>
      </c>
    </row>
    <row r="684" spans="1:14" x14ac:dyDescent="0.25">
      <c r="A684" s="6" t="s">
        <v>1814</v>
      </c>
      <c r="B684" s="6">
        <v>5760</v>
      </c>
      <c r="C684" s="6" t="s">
        <v>1815</v>
      </c>
      <c r="D684" s="7" t="s">
        <v>1816</v>
      </c>
      <c r="E684" s="6" t="s">
        <v>1817</v>
      </c>
      <c r="F684" s="6" t="s">
        <v>400</v>
      </c>
      <c r="G684" s="8">
        <v>45473</v>
      </c>
      <c r="H684" s="6">
        <v>13.16</v>
      </c>
      <c r="I684" s="6" cm="1">
        <f t="array" ref="I684">IFERROR(VALUE(TRIM(LEFT(E684,MIN(FIND({" ";"g";"k";"m";"o"},E684&amp;" gkmo"))-1))),0)</f>
        <v>42</v>
      </c>
      <c r="J684" s="6" t="str" cm="1">
        <f t="array" ref="J684">IFERROR(TRIM(MID(E684,MIN(FIND({" ";"g";"k";"m";"o"},E684&amp;" gkmo")),10)),"unknown")</f>
        <v>gram</v>
      </c>
      <c r="K684" s="6" t="str">
        <f t="shared" si="40"/>
        <v>g</v>
      </c>
      <c r="L684" s="6" t="str">
        <f t="shared" si="41"/>
        <v>General Mills, Nature Valley</v>
      </c>
      <c r="M684" s="6" t="str">
        <f t="shared" si="42"/>
        <v>Crunchy Variety</v>
      </c>
      <c r="N684" s="6" t="str">
        <f t="shared" si="43"/>
        <v>France,United Kingdom</v>
      </c>
    </row>
    <row r="685" spans="1:14" x14ac:dyDescent="0.25">
      <c r="A685" s="6" t="s">
        <v>1818</v>
      </c>
      <c r="B685" s="6">
        <v>13206</v>
      </c>
      <c r="C685" s="6" t="s">
        <v>1819</v>
      </c>
      <c r="D685" s="7" t="s">
        <v>1820</v>
      </c>
      <c r="E685" s="6" t="s">
        <v>10</v>
      </c>
      <c r="F685" s="6" t="s">
        <v>2973</v>
      </c>
      <c r="G685" s="8">
        <v>45656</v>
      </c>
      <c r="H685" s="6">
        <v>19.05</v>
      </c>
      <c r="I685" s="6" cm="1">
        <f t="array" ref="I685">IFERROR(VALUE(TRIM(LEFT(E685,MIN(FIND({" ";"g";"k";"m";"o"},E685&amp;" gkmo"))-1))),0)</f>
        <v>100</v>
      </c>
      <c r="J685" s="6" t="str" cm="1">
        <f t="array" ref="J685">IFERROR(TRIM(MID(E685,MIN(FIND({" ";"g";"k";"m";"o"},E685&amp;" gkmo")),10)),"unknown")</f>
        <v>g</v>
      </c>
      <c r="K685" s="6" t="str">
        <f t="shared" si="40"/>
        <v>g</v>
      </c>
      <c r="L685" s="6" t="str">
        <f t="shared" si="41"/>
        <v>Sainsbury'S Taste The Difference</v>
      </c>
      <c r="M685" s="6" t="str">
        <f t="shared" si="42"/>
        <v>Single Estate Venezuelan Dark Clchocolate</v>
      </c>
      <c r="N685" s="6" t="str">
        <f t="shared" si="43"/>
        <v>Gb</v>
      </c>
    </row>
    <row r="686" spans="1:14" x14ac:dyDescent="0.25">
      <c r="A686" s="6" t="s">
        <v>1821</v>
      </c>
      <c r="B686" s="6">
        <v>10754</v>
      </c>
      <c r="C686" s="6" t="s">
        <v>1822</v>
      </c>
      <c r="D686" s="7" t="s">
        <v>1304</v>
      </c>
      <c r="E686" s="6">
        <v>12</v>
      </c>
      <c r="F686" s="6" t="s">
        <v>7985</v>
      </c>
      <c r="G686" s="8">
        <v>45774</v>
      </c>
      <c r="H686" s="6">
        <v>7.87</v>
      </c>
      <c r="I686" s="6" cm="1">
        <f t="array" ref="I686">IFERROR(VALUE(TRIM(LEFT(E686,MIN(FIND({" ";"g";"k";"m";"o"},E686&amp;" gkmo"))-1))),0)</f>
        <v>12</v>
      </c>
      <c r="J686" s="6" t="str" cm="1">
        <f t="array" ref="J686">IFERROR(TRIM(MID(E686,MIN(FIND({" ";"g";"k";"m";"o"},E686&amp;" gkmo")),10)),"unknown")</f>
        <v/>
      </c>
      <c r="K686" s="6" t="str">
        <f t="shared" si="40"/>
        <v>unknown</v>
      </c>
      <c r="L686" s="6" t="str">
        <f t="shared" si="41"/>
        <v>Tiffany</v>
      </c>
      <c r="M686" s="6" t="str">
        <f t="shared" si="42"/>
        <v>Ø¨Ø±Ùšùƒ</v>
      </c>
      <c r="N686" s="6" t="str">
        <f t="shared" si="43"/>
        <v>Saudi Arabia, Morocco</v>
      </c>
    </row>
    <row r="687" spans="1:14" x14ac:dyDescent="0.25">
      <c r="A687" s="6" t="s">
        <v>1823</v>
      </c>
      <c r="B687" s="6">
        <v>13819</v>
      </c>
      <c r="C687" s="6" t="s">
        <v>1824</v>
      </c>
      <c r="D687" s="7" t="s">
        <v>60</v>
      </c>
      <c r="E687" s="6" t="s">
        <v>18</v>
      </c>
      <c r="F687" s="6" t="s">
        <v>7940</v>
      </c>
      <c r="G687" s="8">
        <v>45720</v>
      </c>
      <c r="H687" s="6">
        <v>4.8499999999999996</v>
      </c>
      <c r="I687" s="6" cm="1">
        <f t="array" ref="I687">IFERROR(VALUE(TRIM(LEFT(E687,MIN(FIND({" ";"g";"k";"m";"o"},E687&amp;" gkmo"))-1))),0)</f>
        <v>100</v>
      </c>
      <c r="J687" s="6" t="str" cm="1">
        <f t="array" ref="J687">IFERROR(TRIM(MID(E687,MIN(FIND({" ";"g";"k";"m";"o"},E687&amp;" gkmo")),10)),"unknown")</f>
        <v>g</v>
      </c>
      <c r="K687" s="6" t="str">
        <f t="shared" si="40"/>
        <v>g</v>
      </c>
      <c r="L687" s="6" t="str">
        <f t="shared" si="41"/>
        <v>Lindt</v>
      </c>
      <c r="M687" s="6" t="str">
        <f t="shared" si="42"/>
        <v>Mint Intense Dark Chocolate</v>
      </c>
      <c r="N687" s="6" t="str">
        <f t="shared" si="43"/>
        <v>Ireland, United-Kingdom</v>
      </c>
    </row>
    <row r="688" spans="1:14" x14ac:dyDescent="0.25">
      <c r="A688" s="6" t="s">
        <v>1825</v>
      </c>
      <c r="B688" s="6">
        <v>6826</v>
      </c>
      <c r="C688" s="6" t="s">
        <v>1826</v>
      </c>
      <c r="D688" s="7" t="s">
        <v>799</v>
      </c>
      <c r="E688" s="6" t="s">
        <v>39</v>
      </c>
      <c r="F688" s="6" t="s">
        <v>1827</v>
      </c>
      <c r="G688" s="8">
        <v>45814</v>
      </c>
      <c r="H688" s="6">
        <v>16.510000000000002</v>
      </c>
      <c r="I688" s="6" cm="1">
        <f t="array" ref="I688">IFERROR(VALUE(TRIM(LEFT(E688,MIN(FIND({" ";"g";"k";"m";"o"},E688&amp;" gkmo"))-1))),0)</f>
        <v>150</v>
      </c>
      <c r="J688" s="6" t="str" cm="1">
        <f t="array" ref="J688">IFERROR(TRIM(MID(E688,MIN(FIND({" ";"g";"k";"m";"o"},E688&amp;" gkmo")),10)),"unknown")</f>
        <v>g</v>
      </c>
      <c r="K688" s="6" t="str">
        <f t="shared" si="40"/>
        <v>g</v>
      </c>
      <c r="L688" s="6" t="str">
        <f t="shared" si="41"/>
        <v>Kinder,Ferrero</v>
      </c>
      <c r="M688" s="6" t="str">
        <f t="shared" si="42"/>
        <v>Kinder Duo</v>
      </c>
      <c r="N688" s="6" t="str">
        <f t="shared" si="43"/>
        <v>Frankreich,Deutschland,Marokko</v>
      </c>
    </row>
    <row r="689" spans="1:14" x14ac:dyDescent="0.25">
      <c r="A689" s="6" t="s">
        <v>1828</v>
      </c>
      <c r="B689" s="6">
        <v>10753</v>
      </c>
      <c r="C689" s="6" t="s">
        <v>1829</v>
      </c>
      <c r="D689" s="7" t="s">
        <v>1830</v>
      </c>
      <c r="E689" s="6" t="s">
        <v>1831</v>
      </c>
      <c r="F689" s="6" t="s">
        <v>139</v>
      </c>
      <c r="G689" s="8">
        <v>45911</v>
      </c>
      <c r="H689" s="6">
        <v>2.84</v>
      </c>
      <c r="I689" s="6" cm="1">
        <f t="array" ref="I689">IFERROR(VALUE(TRIM(LEFT(E689,MIN(FIND({" ";"g";"k";"m";"o"},E689&amp;" gkmo"))-1))),0)</f>
        <v>55</v>
      </c>
      <c r="J689" s="6" t="str" cm="1">
        <f t="array" ref="J689">IFERROR(TRIM(MID(E689,MIN(FIND({" ";"g";"k";"m";"o"},E689&amp;" gkmo")),10)),"unknown")</f>
        <v>g</v>
      </c>
      <c r="K689" s="6" t="str">
        <f t="shared" si="40"/>
        <v>g</v>
      </c>
      <c r="L689" s="6" t="str">
        <f t="shared" si="41"/>
        <v>Joyfuel</v>
      </c>
      <c r="M689" s="6" t="str">
        <f t="shared" si="42"/>
        <v>Joyfuel Chocolat Au Lait &amp; Cookie Dough</v>
      </c>
      <c r="N689" s="6" t="str">
        <f t="shared" si="43"/>
        <v>France</v>
      </c>
    </row>
    <row r="690" spans="1:14" x14ac:dyDescent="0.25">
      <c r="A690" s="6" t="s">
        <v>1832</v>
      </c>
      <c r="B690" s="6">
        <v>9725</v>
      </c>
      <c r="C690" s="6" t="s">
        <v>1434</v>
      </c>
      <c r="D690" s="7" t="s">
        <v>7017</v>
      </c>
      <c r="E690" s="6" t="s">
        <v>24</v>
      </c>
      <c r="F690" s="6" t="s">
        <v>177</v>
      </c>
      <c r="G690" s="8">
        <v>45604</v>
      </c>
      <c r="H690" s="6">
        <v>19.010000000000002</v>
      </c>
      <c r="I690" s="6" cm="1">
        <f t="array" ref="I690">IFERROR(VALUE(TRIM(LEFT(E690,MIN(FIND({" ";"g";"k";"m";"o"},E690&amp;" gkmo"))-1))),0)</f>
        <v>230</v>
      </c>
      <c r="J690" s="6" t="str" cm="1">
        <f t="array" ref="J690">IFERROR(TRIM(MID(E690,MIN(FIND({" ";"g";"k";"m";"o"},E690&amp;" gkmo")),10)),"unknown")</f>
        <v>g</v>
      </c>
      <c r="K690" s="6" t="str">
        <f t="shared" si="40"/>
        <v>g</v>
      </c>
      <c r="L690" s="6" t="str">
        <f t="shared" si="41"/>
        <v>Unknown</v>
      </c>
      <c r="M690" s="6" t="str">
        <f t="shared" si="42"/>
        <v>Doritos</v>
      </c>
      <c r="N690" s="6" t="str">
        <f t="shared" si="43"/>
        <v>United Kingdom</v>
      </c>
    </row>
    <row r="691" spans="1:14" x14ac:dyDescent="0.25">
      <c r="A691" s="6" t="s">
        <v>1833</v>
      </c>
      <c r="B691" s="6">
        <v>6000</v>
      </c>
      <c r="C691" s="6" t="s">
        <v>1834</v>
      </c>
      <c r="D691" s="7" t="s">
        <v>135</v>
      </c>
      <c r="E691" s="6" t="s">
        <v>10</v>
      </c>
      <c r="F691" s="6" t="s">
        <v>7640</v>
      </c>
      <c r="G691" s="8">
        <v>45570</v>
      </c>
      <c r="H691" s="6">
        <v>5.81</v>
      </c>
      <c r="I691" s="6" cm="1">
        <f t="array" ref="I691">IFERROR(VALUE(TRIM(LEFT(E691,MIN(FIND({" ";"g";"k";"m";"o"},E691&amp;" gkmo"))-1))),0)</f>
        <v>100</v>
      </c>
      <c r="J691" s="6" t="str" cm="1">
        <f t="array" ref="J691">IFERROR(TRIM(MID(E691,MIN(FIND({" ";"g";"k";"m";"o"},E691&amp;" gkmo")),10)),"unknown")</f>
        <v>g</v>
      </c>
      <c r="K691" s="6" t="str">
        <f t="shared" si="40"/>
        <v>g</v>
      </c>
      <c r="L691" s="6" t="str">
        <f t="shared" si="41"/>
        <v>Milka</v>
      </c>
      <c r="M691" s="6" t="str">
        <f t="shared" si="42"/>
        <v>Milka Chocolate Hazelnuts</v>
      </c>
      <c r="N691" s="6" t="str">
        <f t="shared" si="43"/>
        <v>À–Sterreich,Bulgarien,Frankreich,Deutschland,Italien,Marokko,Niederlande,Polen,Rumà¤Nien,Thailand,Tunesien,Vereinigtes Kà¶Nigreich</v>
      </c>
    </row>
    <row r="692" spans="1:14" x14ac:dyDescent="0.25">
      <c r="A692" s="6" t="s">
        <v>1835</v>
      </c>
      <c r="B692" s="6">
        <v>6886</v>
      </c>
      <c r="C692" s="6" t="s">
        <v>1836</v>
      </c>
      <c r="D692" s="7" t="s">
        <v>1837</v>
      </c>
      <c r="E692" s="6" t="s">
        <v>18</v>
      </c>
      <c r="F692" s="6" t="s">
        <v>1838</v>
      </c>
      <c r="G692" s="8">
        <v>45657</v>
      </c>
      <c r="H692" s="6">
        <v>8.9</v>
      </c>
      <c r="I692" s="6" cm="1">
        <f t="array" ref="I692">IFERROR(VALUE(TRIM(LEFT(E692,MIN(FIND({" ";"g";"k";"m";"o"},E692&amp;" gkmo"))-1))),0)</f>
        <v>100</v>
      </c>
      <c r="J692" s="6" t="str" cm="1">
        <f t="array" ref="J692">IFERROR(TRIM(MID(E692,MIN(FIND({" ";"g";"k";"m";"o"},E692&amp;" gkmo")),10)),"unknown")</f>
        <v>g</v>
      </c>
      <c r="K692" s="6" t="str">
        <f t="shared" si="40"/>
        <v>g</v>
      </c>
      <c r="L692" s="6" t="str">
        <f t="shared" si="41"/>
        <v>Ovomaltine</v>
      </c>
      <c r="M692" s="6" t="str">
        <f t="shared" si="42"/>
        <v>Ovomaltine Barres</v>
      </c>
      <c r="N692" s="6" t="str">
        <f t="shared" si="43"/>
        <v>Belgium,France,Luxembourg,Switzerland</v>
      </c>
    </row>
    <row r="693" spans="1:14" x14ac:dyDescent="0.25">
      <c r="A693" s="6" t="s">
        <v>1839</v>
      </c>
      <c r="B693" s="6">
        <v>6239</v>
      </c>
      <c r="C693" s="6" t="s">
        <v>7641</v>
      </c>
      <c r="D693" s="7" t="s">
        <v>7017</v>
      </c>
      <c r="E693" s="6" t="s">
        <v>1840</v>
      </c>
      <c r="F693" s="6" t="s">
        <v>8449</v>
      </c>
      <c r="G693" s="8">
        <v>45680</v>
      </c>
      <c r="H693" s="6">
        <v>5.8</v>
      </c>
      <c r="I693" s="6" cm="1">
        <f t="array" ref="I693">IFERROR(VALUE(TRIM(LEFT(E693,MIN(FIND({" ";"g";"k";"m";"o"},E693&amp;" gkmo"))-1))),0)</f>
        <v>294</v>
      </c>
      <c r="J693" s="6" t="str" cm="1">
        <f t="array" ref="J693">IFERROR(TRIM(MID(E693,MIN(FIND({" ";"g";"k";"m";"o"},E693&amp;" gkmo")),10)),"unknown")</f>
        <v>g</v>
      </c>
      <c r="K693" s="6" t="str">
        <f t="shared" si="40"/>
        <v>g</v>
      </c>
      <c r="L693" s="6" t="str">
        <f t="shared" si="41"/>
        <v>Unknown</v>
      </c>
      <c r="M693" s="6" t="str">
        <f t="shared" si="42"/>
        <v>Pépito Croc Sablé Goà»T Choco</v>
      </c>
      <c r="N693" s="6" t="str">
        <f t="shared" si="43"/>
        <v>France,La Reunion</v>
      </c>
    </row>
    <row r="694" spans="1:14" x14ac:dyDescent="0.25">
      <c r="A694" s="6" t="s">
        <v>1841</v>
      </c>
      <c r="B694" s="6">
        <v>11439</v>
      </c>
      <c r="C694" s="6" t="s">
        <v>1842</v>
      </c>
      <c r="D694" s="7" t="s">
        <v>7017</v>
      </c>
      <c r="E694" s="6" t="s">
        <v>1843</v>
      </c>
      <c r="F694" s="6" t="s">
        <v>7595</v>
      </c>
      <c r="G694" s="8">
        <v>45364</v>
      </c>
      <c r="H694" s="6">
        <v>14.53</v>
      </c>
      <c r="I694" s="6" cm="1">
        <f t="array" ref="I694">IFERROR(VALUE(TRIM(LEFT(E694,MIN(FIND({" ";"g";"k";"m";"o"},E694&amp;" gkmo"))-1))),0)</f>
        <v>400</v>
      </c>
      <c r="J694" s="6" t="str" cm="1">
        <f t="array" ref="J694">IFERROR(TRIM(MID(E694,MIN(FIND({" ";"g";"k";"m";"o"},E694&amp;" gkmo")),10)),"unknown")</f>
        <v>g.</v>
      </c>
      <c r="K694" s="6" t="str">
        <f t="shared" si="40"/>
        <v>g</v>
      </c>
      <c r="L694" s="6" t="str">
        <f t="shared" si="41"/>
        <v>Unknown</v>
      </c>
      <c r="M694" s="6" t="str">
        <f t="shared" si="42"/>
        <v>Digestive Fibra 23%</v>
      </c>
      <c r="N694" s="6" t="str">
        <f t="shared" si="43"/>
        <v>Espaà±A</v>
      </c>
    </row>
    <row r="695" spans="1:14" x14ac:dyDescent="0.25">
      <c r="A695" s="6" t="s">
        <v>1844</v>
      </c>
      <c r="B695" s="6">
        <v>8248</v>
      </c>
      <c r="C695" s="6" t="s">
        <v>7642</v>
      </c>
      <c r="D695" s="7" t="s">
        <v>452</v>
      </c>
      <c r="E695" s="6" t="s">
        <v>1845</v>
      </c>
      <c r="F695" s="6" t="s">
        <v>7595</v>
      </c>
      <c r="G695" s="8">
        <v>45912</v>
      </c>
      <c r="H695" s="6">
        <v>16.329999999999998</v>
      </c>
      <c r="I695" s="6" cm="1">
        <f t="array" ref="I695">IFERROR(VALUE(TRIM(LEFT(E695,MIN(FIND({" ";"g";"k";"m";"o"},E695&amp;" gkmo"))-1))),0)</f>
        <v>800</v>
      </c>
      <c r="J695" s="6" t="str" cm="1">
        <f t="array" ref="J695">IFERROR(TRIM(MID(E695,MIN(FIND({" ";"g";"k";"m";"o"},E695&amp;" gkmo")),10)),"unknown")</f>
        <v>g</v>
      </c>
      <c r="K695" s="6" t="str">
        <f t="shared" si="40"/>
        <v>g</v>
      </c>
      <c r="L695" s="6" t="str">
        <f t="shared" si="41"/>
        <v>Hacendado</v>
      </c>
      <c r="M695" s="6" t="str">
        <f t="shared" si="42"/>
        <v>Galletas Marà­A Dorada</v>
      </c>
      <c r="N695" s="6" t="str">
        <f t="shared" si="43"/>
        <v>Espaà±A</v>
      </c>
    </row>
    <row r="696" spans="1:14" x14ac:dyDescent="0.25">
      <c r="A696" s="6" t="s">
        <v>1846</v>
      </c>
      <c r="B696" s="6">
        <v>6736</v>
      </c>
      <c r="C696" s="6" t="s">
        <v>1847</v>
      </c>
      <c r="D696" s="7" t="s">
        <v>1098</v>
      </c>
      <c r="E696" s="6" t="s">
        <v>151</v>
      </c>
      <c r="F696" s="6" t="s">
        <v>7573</v>
      </c>
      <c r="G696" s="8">
        <v>45875</v>
      </c>
      <c r="H696" s="6">
        <v>12.52</v>
      </c>
      <c r="I696" s="6" cm="1">
        <f t="array" ref="I696">IFERROR(VALUE(TRIM(LEFT(E696,MIN(FIND({" ";"g";"k";"m";"o"},E696&amp;" gkmo"))-1))),0)</f>
        <v>200</v>
      </c>
      <c r="J696" s="6" t="str" cm="1">
        <f t="array" ref="J696">IFERROR(TRIM(MID(E696,MIN(FIND({" ";"g";"k";"m";"o"},E696&amp;" gkmo")),10)),"unknown")</f>
        <v>g</v>
      </c>
      <c r="K696" s="6" t="str">
        <f t="shared" si="40"/>
        <v>g</v>
      </c>
      <c r="L696" s="6" t="str">
        <f t="shared" si="41"/>
        <v>Hacendado</v>
      </c>
      <c r="M696" s="6" t="str">
        <f t="shared" si="42"/>
        <v>Chocolate Negro 85%</v>
      </c>
      <c r="N696" s="6" t="str">
        <f t="shared" si="43"/>
        <v>Portugal,Espaà±A</v>
      </c>
    </row>
    <row r="697" spans="1:14" x14ac:dyDescent="0.25">
      <c r="A697" s="6" t="s">
        <v>1848</v>
      </c>
      <c r="B697" s="6">
        <v>12858</v>
      </c>
      <c r="C697" s="6" t="s">
        <v>1849</v>
      </c>
      <c r="D697" s="7" t="s">
        <v>1850</v>
      </c>
      <c r="E697" s="6"/>
      <c r="F697" s="6" t="s">
        <v>7557</v>
      </c>
      <c r="G697" s="8">
        <v>45670</v>
      </c>
      <c r="H697" s="6">
        <v>18.11</v>
      </c>
      <c r="I697" s="6" cm="1">
        <f t="array" ref="I697">IFERROR(VALUE(TRIM(LEFT(E697,MIN(FIND({" ";"g";"k";"m";"o"},E697&amp;" gkmo"))-1))),0)</f>
        <v>0</v>
      </c>
      <c r="J697" s="6" t="str" cm="1">
        <f t="array" ref="J697">IFERROR(TRIM(MID(E697,MIN(FIND({" ";"g";"k";"m";"o"},E697&amp;" gkmo")),10)),"unknown")</f>
        <v/>
      </c>
      <c r="K697" s="6" t="str">
        <f t="shared" si="40"/>
        <v>unknown</v>
      </c>
      <c r="L697" s="6" t="str">
        <f t="shared" si="41"/>
        <v>Confiserie Firenze, Kuchenzauber Lidl, Kuchenzauber</v>
      </c>
      <c r="M697" s="6" t="str">
        <f t="shared" si="42"/>
        <v>Frischei-Waffeln</v>
      </c>
      <c r="N697" s="6" t="str">
        <f t="shared" si="43"/>
        <v>Bulgarije,Duitsland,Italië,Roemenië,Verenigd Koninkrijk</v>
      </c>
    </row>
    <row r="698" spans="1:14" x14ac:dyDescent="0.25">
      <c r="A698" s="6" t="s">
        <v>1851</v>
      </c>
      <c r="B698" s="6">
        <v>8652</v>
      </c>
      <c r="C698" s="6" t="s">
        <v>1852</v>
      </c>
      <c r="D698" s="7" t="s">
        <v>1853</v>
      </c>
      <c r="E698" s="6" t="s">
        <v>1220</v>
      </c>
      <c r="F698" s="6" t="s">
        <v>8400</v>
      </c>
      <c r="G698" s="8">
        <v>45940</v>
      </c>
      <c r="H698" s="6">
        <v>13.16</v>
      </c>
      <c r="I698" s="6" cm="1">
        <f t="array" ref="I698">IFERROR(VALUE(TRIM(LEFT(E698,MIN(FIND({" ";"g";"k";"m";"o"},E698&amp;" gkmo"))-1))),0)</f>
        <v>550</v>
      </c>
      <c r="J698" s="6" t="str" cm="1">
        <f t="array" ref="J698">IFERROR(TRIM(MID(E698,MIN(FIND({" ";"g";"k";"m";"o"},E698&amp;" gkmo")),10)),"unknown")</f>
        <v>g</v>
      </c>
      <c r="K698" s="6" t="str">
        <f t="shared" si="40"/>
        <v>g</v>
      </c>
      <c r="L698" s="6" t="str">
        <f t="shared" si="41"/>
        <v>Suchard</v>
      </c>
      <c r="M698" s="6" t="str">
        <f t="shared" si="42"/>
        <v>Cadbury Dairy Milk Cadbury Dairy Milk The Classic</v>
      </c>
      <c r="N698" s="6" t="str">
        <f t="shared" si="43"/>
        <v>France,Espaà±A,United Kingdom</v>
      </c>
    </row>
    <row r="699" spans="1:14" x14ac:dyDescent="0.25">
      <c r="A699" s="6" t="s">
        <v>1854</v>
      </c>
      <c r="B699" s="6">
        <v>10336</v>
      </c>
      <c r="C699" s="6" t="s">
        <v>1855</v>
      </c>
      <c r="D699" s="7" t="s">
        <v>1304</v>
      </c>
      <c r="E699" s="6" t="s">
        <v>1256</v>
      </c>
      <c r="F699" s="6" t="s">
        <v>7959</v>
      </c>
      <c r="G699" s="8">
        <v>45697</v>
      </c>
      <c r="H699" s="6">
        <v>8.75</v>
      </c>
      <c r="I699" s="6" cm="1">
        <f t="array" ref="I699">IFERROR(VALUE(TRIM(LEFT(E699,MIN(FIND({" ";"g";"k";"m";"o"},E699&amp;" gkmo"))-1))),0)</f>
        <v>13</v>
      </c>
      <c r="J699" s="6" t="str" cm="1">
        <f t="array" ref="J699">IFERROR(TRIM(MID(E699,MIN(FIND({" ";"g";"k";"m";"o"},E699&amp;" gkmo")),10)),"unknown")</f>
        <v>g</v>
      </c>
      <c r="K699" s="6" t="str">
        <f t="shared" si="40"/>
        <v>g</v>
      </c>
      <c r="L699" s="6" t="str">
        <f t="shared" si="41"/>
        <v>Tiffany</v>
      </c>
      <c r="M699" s="6" t="str">
        <f t="shared" si="42"/>
        <v>Breaktime</v>
      </c>
      <c r="N699" s="6" t="str">
        <f t="shared" si="43"/>
        <v>Qatar, Saudi Arabia, Morocco</v>
      </c>
    </row>
    <row r="700" spans="1:14" x14ac:dyDescent="0.25">
      <c r="A700" s="6" t="s">
        <v>1856</v>
      </c>
      <c r="B700" s="6">
        <v>11117</v>
      </c>
      <c r="C700" s="6" t="s">
        <v>1857</v>
      </c>
      <c r="D700" s="7" t="s">
        <v>112</v>
      </c>
      <c r="E700" s="6">
        <v>12</v>
      </c>
      <c r="F700" s="6" t="s">
        <v>7919</v>
      </c>
      <c r="G700" s="8">
        <v>45613</v>
      </c>
      <c r="H700" s="6">
        <v>24.2</v>
      </c>
      <c r="I700" s="6" cm="1">
        <f t="array" ref="I700">IFERROR(VALUE(TRIM(LEFT(E700,MIN(FIND({" ";"g";"k";"m";"o"},E700&amp;" gkmo"))-1))),0)</f>
        <v>12</v>
      </c>
      <c r="J700" s="6" t="str" cm="1">
        <f t="array" ref="J700">IFERROR(TRIM(MID(E700,MIN(FIND({" ";"g";"k";"m";"o"},E700&amp;" gkmo")),10)),"unknown")</f>
        <v/>
      </c>
      <c r="K700" s="6" t="str">
        <f t="shared" si="40"/>
        <v>unknown</v>
      </c>
      <c r="L700" s="6" t="str">
        <f t="shared" si="41"/>
        <v>Pringles</v>
      </c>
      <c r="M700" s="6" t="str">
        <f t="shared" si="42"/>
        <v>Barbeque</v>
      </c>
      <c r="N700" s="6" t="str">
        <f t="shared" si="43"/>
        <v>France, Morocco</v>
      </c>
    </row>
    <row r="701" spans="1:14" x14ac:dyDescent="0.25">
      <c r="A701" s="6" t="s">
        <v>1858</v>
      </c>
      <c r="B701" s="6">
        <v>5927</v>
      </c>
      <c r="C701" s="6" t="s">
        <v>1859</v>
      </c>
      <c r="D701" s="7" t="s">
        <v>1859</v>
      </c>
      <c r="E701" s="6"/>
      <c r="F701" s="6" t="s">
        <v>7916</v>
      </c>
      <c r="G701" s="8">
        <v>45902</v>
      </c>
      <c r="H701" s="6">
        <v>12.06</v>
      </c>
      <c r="I701" s="6" cm="1">
        <f t="array" ref="I701">IFERROR(VALUE(TRIM(LEFT(E701,MIN(FIND({" ";"g";"k";"m";"o"},E701&amp;" gkmo"))-1))),0)</f>
        <v>0</v>
      </c>
      <c r="J701" s="6" t="str" cm="1">
        <f t="array" ref="J701">IFERROR(TRIM(MID(E701,MIN(FIND({" ";"g";"k";"m";"o"},E701&amp;" gkmo")),10)),"unknown")</f>
        <v/>
      </c>
      <c r="K701" s="6" t="str">
        <f t="shared" si="40"/>
        <v>unknown</v>
      </c>
      <c r="L701" s="6" t="str">
        <f t="shared" si="41"/>
        <v>Bahlsen</v>
      </c>
      <c r="M701" s="6" t="str">
        <f t="shared" si="42"/>
        <v>Bahlsen</v>
      </c>
      <c r="N701" s="6" t="str">
        <f t="shared" si="43"/>
        <v>United-Kingdom</v>
      </c>
    </row>
    <row r="702" spans="1:14" x14ac:dyDescent="0.25">
      <c r="A702" s="6" t="s">
        <v>1860</v>
      </c>
      <c r="B702" s="6">
        <v>10961</v>
      </c>
      <c r="C702" s="6" t="s">
        <v>7469</v>
      </c>
      <c r="D702" s="7" t="s">
        <v>72</v>
      </c>
      <c r="E702" s="6"/>
      <c r="F702" s="6" t="s">
        <v>139</v>
      </c>
      <c r="G702" s="8">
        <v>46025</v>
      </c>
      <c r="H702" s="6">
        <v>23.93</v>
      </c>
      <c r="I702" s="6" cm="1">
        <f t="array" ref="I702">IFERROR(VALUE(TRIM(LEFT(E702,MIN(FIND({" ";"g";"k";"m";"o"},E702&amp;" gkmo"))-1))),0)</f>
        <v>0</v>
      </c>
      <c r="J702" s="6" t="str" cm="1">
        <f t="array" ref="J702">IFERROR(TRIM(MID(E702,MIN(FIND({" ";"g";"k";"m";"o"},E702&amp;" gkmo")),10)),"unknown")</f>
        <v/>
      </c>
      <c r="K702" s="6" t="str">
        <f t="shared" si="40"/>
        <v>unknown</v>
      </c>
      <c r="L702" s="6" t="str">
        <f t="shared" si="41"/>
        <v>Bjorg</v>
      </c>
      <c r="M702" s="6" t="str">
        <f t="shared" si="42"/>
        <v>Nappés Intenses Eclats De Fèves De Cacao</v>
      </c>
      <c r="N702" s="6" t="str">
        <f t="shared" si="43"/>
        <v>France</v>
      </c>
    </row>
    <row r="703" spans="1:14" x14ac:dyDescent="0.25">
      <c r="A703" s="6" t="s">
        <v>1861</v>
      </c>
      <c r="B703" s="6">
        <v>12237</v>
      </c>
      <c r="C703" s="6" t="s">
        <v>1862</v>
      </c>
      <c r="D703" s="7" t="s">
        <v>7017</v>
      </c>
      <c r="E703" s="6" t="s">
        <v>1863</v>
      </c>
      <c r="F703" s="6" t="s">
        <v>1864</v>
      </c>
      <c r="G703" s="8">
        <v>45887</v>
      </c>
      <c r="H703" s="6">
        <v>1.35</v>
      </c>
      <c r="I703" s="6" cm="1">
        <f t="array" ref="I703">IFERROR(VALUE(TRIM(LEFT(E703,MIN(FIND({" ";"g";"k";"m";"o"},E703&amp;" gkmo"))-1))),0)</f>
        <v>1.49</v>
      </c>
      <c r="J703" s="6" t="str" cm="1">
        <f t="array" ref="J703">IFERROR(TRIM(MID(E703,MIN(FIND({" ";"g";"k";"m";"o"},E703&amp;" gkmo")),10)),"unknown")</f>
        <v>oz (42 g)</v>
      </c>
      <c r="K703" s="6" t="str">
        <f t="shared" si="40"/>
        <v>g</v>
      </c>
      <c r="L703" s="6" t="str">
        <f t="shared" si="41"/>
        <v>Unknown</v>
      </c>
      <c r="M703" s="6" t="str">
        <f t="shared" si="42"/>
        <v>Oats 'N Honey Granola Bars</v>
      </c>
      <c r="N703" s="6" t="str">
        <f t="shared" si="43"/>
        <v>France,United States</v>
      </c>
    </row>
    <row r="704" spans="1:14" x14ac:dyDescent="0.25">
      <c r="A704" s="6" t="s">
        <v>1865</v>
      </c>
      <c r="B704" s="6">
        <v>5258</v>
      </c>
      <c r="C704" s="6" t="s">
        <v>1866</v>
      </c>
      <c r="D704" s="7" t="s">
        <v>7133</v>
      </c>
      <c r="E704" s="6" t="s">
        <v>1867</v>
      </c>
      <c r="F704" s="6" t="s">
        <v>7986</v>
      </c>
      <c r="G704" s="8">
        <v>45963</v>
      </c>
      <c r="H704" s="6">
        <v>4.63</v>
      </c>
      <c r="I704" s="6" cm="1">
        <f t="array" ref="I704">IFERROR(VALUE(TRIM(LEFT(E704,MIN(FIND({" ";"g";"k";"m";"o"},E704&amp;" gkmo"))-1))),0)</f>
        <v>156</v>
      </c>
      <c r="J704" s="6" t="str" cm="1">
        <f t="array" ref="J704">IFERROR(TRIM(MID(E704,MIN(FIND({" ";"g";"k";"m";"o"},E704&amp;" gkmo")),10)),"unknown")</f>
        <v>g</v>
      </c>
      <c r="K704" s="6" t="str">
        <f t="shared" si="40"/>
        <v>g</v>
      </c>
      <c r="L704" s="6" t="str">
        <f t="shared" si="41"/>
        <v>Gerlinéa, Ma Pause Gerlinéa</v>
      </c>
      <c r="M704" s="6" t="str">
        <f t="shared" si="42"/>
        <v>Biscuit Saveur Vanille Citron</v>
      </c>
      <c r="N704" s="6" t="str">
        <f t="shared" si="43"/>
        <v>France, Switzerland</v>
      </c>
    </row>
    <row r="705" spans="1:14" x14ac:dyDescent="0.25">
      <c r="A705" s="6" t="s">
        <v>1868</v>
      </c>
      <c r="B705" s="6">
        <v>9377</v>
      </c>
      <c r="C705" s="6" t="s">
        <v>7134</v>
      </c>
      <c r="D705" s="7" t="s">
        <v>1869</v>
      </c>
      <c r="E705" s="6" t="s">
        <v>10</v>
      </c>
      <c r="F705" s="6" t="s">
        <v>7987</v>
      </c>
      <c r="G705" s="8">
        <v>45923</v>
      </c>
      <c r="H705" s="6">
        <v>23.83</v>
      </c>
      <c r="I705" s="6" cm="1">
        <f t="array" ref="I705">IFERROR(VALUE(TRIM(LEFT(E705,MIN(FIND({" ";"g";"k";"m";"o"},E705&amp;" gkmo"))-1))),0)</f>
        <v>100</v>
      </c>
      <c r="J705" s="6" t="str" cm="1">
        <f t="array" ref="J705">IFERROR(TRIM(MID(E705,MIN(FIND({" ";"g";"k";"m";"o"},E705&amp;" gkmo")),10)),"unknown")</f>
        <v>g</v>
      </c>
      <c r="K705" s="6" t="str">
        <f t="shared" si="40"/>
        <v>g</v>
      </c>
      <c r="L705" s="6" t="str">
        <f t="shared" si="41"/>
        <v>Ivoria</v>
      </c>
      <c r="M705" s="6" t="str">
        <f t="shared" si="42"/>
        <v>Tablette Bio Dégustation Chocolat Noir - 100G</v>
      </c>
      <c r="N705" s="6" t="str">
        <f t="shared" si="43"/>
        <v>France, Switzerland, Belgium</v>
      </c>
    </row>
    <row r="706" spans="1:14" x14ac:dyDescent="0.25">
      <c r="A706" s="6" t="s">
        <v>1870</v>
      </c>
      <c r="B706" s="6">
        <v>13762</v>
      </c>
      <c r="C706" s="6" t="s">
        <v>1871</v>
      </c>
      <c r="D706" s="7" t="s">
        <v>1872</v>
      </c>
      <c r="E706" s="6" t="s">
        <v>39</v>
      </c>
      <c r="F706" s="6" t="s">
        <v>7558</v>
      </c>
      <c r="G706" s="8">
        <v>45866</v>
      </c>
      <c r="H706" s="6">
        <v>23.99</v>
      </c>
      <c r="I706" s="6" cm="1">
        <f t="array" ref="I706">IFERROR(VALUE(TRIM(LEFT(E706,MIN(FIND({" ";"g";"k";"m";"o"},E706&amp;" gkmo"))-1))),0)</f>
        <v>150</v>
      </c>
      <c r="J706" s="6" t="str" cm="1">
        <f t="array" ref="J706">IFERROR(TRIM(MID(E706,MIN(FIND({" ";"g";"k";"m";"o"},E706&amp;" gkmo")),10)),"unknown")</f>
        <v>g</v>
      </c>
      <c r="K706" s="6" t="str">
        <f t="shared" si="40"/>
        <v>g</v>
      </c>
      <c r="L706" s="6" t="str">
        <f t="shared" si="41"/>
        <v>Le Pain Des Fleurs</v>
      </c>
      <c r="M706" s="6" t="str">
        <f t="shared" si="42"/>
        <v>Pain Des Fleurs Sarrasin</v>
      </c>
      <c r="N706" s="6" t="str">
        <f t="shared" si="43"/>
        <v>België,Frankrijk</v>
      </c>
    </row>
    <row r="707" spans="1:14" x14ac:dyDescent="0.25">
      <c r="A707" s="6" t="s">
        <v>1873</v>
      </c>
      <c r="B707" s="6">
        <v>14701</v>
      </c>
      <c r="C707" s="6" t="s">
        <v>1874</v>
      </c>
      <c r="D707" s="7" t="s">
        <v>7470</v>
      </c>
      <c r="E707" s="6" t="s">
        <v>10</v>
      </c>
      <c r="F707" s="6" t="s">
        <v>8449</v>
      </c>
      <c r="G707" s="8">
        <v>45712</v>
      </c>
      <c r="H707" s="6">
        <v>21.8</v>
      </c>
      <c r="I707" s="6" cm="1">
        <f t="array" ref="I707">IFERROR(VALUE(TRIM(LEFT(E707,MIN(FIND({" ";"g";"k";"m";"o"},E707&amp;" gkmo"))-1))),0)</f>
        <v>100</v>
      </c>
      <c r="J707" s="6" t="str" cm="1">
        <f t="array" ref="J707">IFERROR(TRIM(MID(E707,MIN(FIND({" ";"g";"k";"m";"o"},E707&amp;" gkmo")),10)),"unknown")</f>
        <v>g</v>
      </c>
      <c r="K707" s="6" t="str">
        <f t="shared" ref="K707:K770" si="44">IF(E707="","unknown",IF(OR(J707="g",LEFT(J707,1)="g"),"g",IF(OR(LEFT(J707,2)="kg",LEFT(J707,2)="ki"),"kg",IF(OR(LEFT(J707,2)="ml",LEFT(J707,1)="m"),"ml",IF(LEFT(J707,1)="l","l",IF(ISNUMBER(SEARCH("g",E707)),"g",IF(ISNUMBER(SEARCH("kg",E707)),"kg",IF(ISNUMBER(SEARCH("ml",E707)),"ml","unknown"))))))))</f>
        <v>g</v>
      </c>
      <c r="L707" s="6" t="str">
        <f t="shared" ref="L707:L770" si="45">IF(D707="","Unknown",PROPER(TRIM(D707)))</f>
        <v>Marque Repère, Equador</v>
      </c>
      <c r="M707" s="6" t="str">
        <f t="shared" ref="M707:M770" si="46">IF(C707="Unknown","Unknown",PROPER(TRIM(C707)))</f>
        <v>Chocolat Noir 85% Cacao</v>
      </c>
      <c r="N707" s="6" t="str">
        <f t="shared" ref="N707:N770" si="47">IF(F707="","Unknown",PROPER(TRIM(F707)))</f>
        <v>France,La Reunion</v>
      </c>
    </row>
    <row r="708" spans="1:14" x14ac:dyDescent="0.25">
      <c r="A708" s="6" t="s">
        <v>1875</v>
      </c>
      <c r="B708" s="6">
        <v>9688</v>
      </c>
      <c r="C708" s="6" t="s">
        <v>1267</v>
      </c>
      <c r="D708" s="7" t="s">
        <v>287</v>
      </c>
      <c r="E708" s="6" t="s">
        <v>1876</v>
      </c>
      <c r="F708" s="6" t="s">
        <v>7643</v>
      </c>
      <c r="G708" s="8">
        <v>45437</v>
      </c>
      <c r="H708" s="6">
        <v>15.11</v>
      </c>
      <c r="I708" s="6" cm="1">
        <f t="array" ref="I708">IFERROR(VALUE(TRIM(LEFT(E708,MIN(FIND({" ";"g";"k";"m";"o"},E708&amp;" gkmo"))-1))),0)</f>
        <v>10</v>
      </c>
      <c r="J708" s="6" t="str" cm="1">
        <f t="array" ref="J708">IFERROR(TRIM(MID(E708,MIN(FIND({" ";"g";"k";"m";"o"},E708&amp;" gkmo")),10)),"unknown")</f>
        <v>x 21g</v>
      </c>
      <c r="K708" s="6" t="str">
        <f t="shared" si="44"/>
        <v>g</v>
      </c>
      <c r="L708" s="6" t="str">
        <f t="shared" si="45"/>
        <v>Ferrero</v>
      </c>
      <c r="M708" s="6" t="str">
        <f t="shared" si="46"/>
        <v>Kinder Maxi</v>
      </c>
      <c r="N708" s="6" t="str">
        <f t="shared" si="47"/>
        <v>À–Sterreich,Finnland,Frankreich,Deutschland,Italien,Spanien,Schweiz</v>
      </c>
    </row>
    <row r="709" spans="1:14" x14ac:dyDescent="0.25">
      <c r="A709" s="6" t="s">
        <v>1877</v>
      </c>
      <c r="B709" s="6">
        <v>6785</v>
      </c>
      <c r="C709" s="6" t="s">
        <v>7135</v>
      </c>
      <c r="D709" s="7" t="s">
        <v>1878</v>
      </c>
      <c r="E709" s="6" t="s">
        <v>1487</v>
      </c>
      <c r="F709" s="6" t="s">
        <v>139</v>
      </c>
      <c r="G709" s="8">
        <v>45762</v>
      </c>
      <c r="H709" s="6">
        <v>24.24</v>
      </c>
      <c r="I709" s="6" cm="1">
        <f t="array" ref="I709">IFERROR(VALUE(TRIM(LEFT(E709,MIN(FIND({" ";"g";"k";"m";"o"},E709&amp;" gkmo"))-1))),0)</f>
        <v>320</v>
      </c>
      <c r="J709" s="6" t="str" cm="1">
        <f t="array" ref="J709">IFERROR(TRIM(MID(E709,MIN(FIND({" ";"g";"k";"m";"o"},E709&amp;" gkmo")),10)),"unknown")</f>
        <v>g</v>
      </c>
      <c r="K709" s="6" t="str">
        <f t="shared" si="44"/>
        <v>g</v>
      </c>
      <c r="L709" s="6" t="str">
        <f t="shared" si="45"/>
        <v>Lightbody</v>
      </c>
      <c r="M709" s="6" t="str">
        <f t="shared" si="46"/>
        <v>Délices Au Caramel</v>
      </c>
      <c r="N709" s="6" t="str">
        <f t="shared" si="47"/>
        <v>France</v>
      </c>
    </row>
    <row r="710" spans="1:14" x14ac:dyDescent="0.25">
      <c r="A710" s="6" t="s">
        <v>1879</v>
      </c>
      <c r="B710" s="6">
        <v>10459</v>
      </c>
      <c r="C710" s="6" t="s">
        <v>1880</v>
      </c>
      <c r="D710" s="7" t="s">
        <v>7017</v>
      </c>
      <c r="E710" s="6" t="s">
        <v>18</v>
      </c>
      <c r="F710" s="6" t="s">
        <v>2973</v>
      </c>
      <c r="G710" s="8">
        <v>45524</v>
      </c>
      <c r="H710" s="6">
        <v>2.29</v>
      </c>
      <c r="I710" s="6" cm="1">
        <f t="array" ref="I710">IFERROR(VALUE(TRIM(LEFT(E710,MIN(FIND({" ";"g";"k";"m";"o"},E710&amp;" gkmo"))-1))),0)</f>
        <v>100</v>
      </c>
      <c r="J710" s="6" t="str" cm="1">
        <f t="array" ref="J710">IFERROR(TRIM(MID(E710,MIN(FIND({" ";"g";"k";"m";"o"},E710&amp;" gkmo")),10)),"unknown")</f>
        <v>g</v>
      </c>
      <c r="K710" s="6" t="str">
        <f t="shared" si="44"/>
        <v>g</v>
      </c>
      <c r="L710" s="6" t="str">
        <f t="shared" si="45"/>
        <v>Unknown</v>
      </c>
      <c r="M710" s="6" t="str">
        <f t="shared" si="46"/>
        <v>Lindt</v>
      </c>
      <c r="N710" s="6" t="str">
        <f t="shared" si="47"/>
        <v>Gb</v>
      </c>
    </row>
    <row r="711" spans="1:14" x14ac:dyDescent="0.25">
      <c r="A711" s="6" t="s">
        <v>1881</v>
      </c>
      <c r="B711" s="6">
        <v>6521</v>
      </c>
      <c r="C711" s="6" t="s">
        <v>1882</v>
      </c>
      <c r="D711" s="7" t="s">
        <v>1883</v>
      </c>
      <c r="E711" s="6"/>
      <c r="F711" s="6" t="s">
        <v>177</v>
      </c>
      <c r="G711" s="8">
        <v>45560</v>
      </c>
      <c r="H711" s="6">
        <v>13.16</v>
      </c>
      <c r="I711" s="6" cm="1">
        <f t="array" ref="I711">IFERROR(VALUE(TRIM(LEFT(E711,MIN(FIND({" ";"g";"k";"m";"o"},E711&amp;" gkmo"))-1))),0)</f>
        <v>0</v>
      </c>
      <c r="J711" s="6" t="str" cm="1">
        <f t="array" ref="J711">IFERROR(TRIM(MID(E711,MIN(FIND({" ";"g";"k";"m";"o"},E711&amp;" gkmo")),10)),"unknown")</f>
        <v/>
      </c>
      <c r="K711" s="6" t="str">
        <f t="shared" si="44"/>
        <v>unknown</v>
      </c>
      <c r="L711" s="6" t="str">
        <f t="shared" si="45"/>
        <v>Green &amp; Blacks</v>
      </c>
      <c r="M711" s="6" t="str">
        <f t="shared" si="46"/>
        <v>Green &amp; Blacks Smooth Mint</v>
      </c>
      <c r="N711" s="6" t="str">
        <f t="shared" si="47"/>
        <v>United Kingdom</v>
      </c>
    </row>
    <row r="712" spans="1:14" x14ac:dyDescent="0.25">
      <c r="A712" s="6" t="s">
        <v>1884</v>
      </c>
      <c r="B712" s="6">
        <v>14376</v>
      </c>
      <c r="C712" s="6" t="s">
        <v>1885</v>
      </c>
      <c r="D712" s="7" t="s">
        <v>1010</v>
      </c>
      <c r="E712" s="6" t="s">
        <v>1886</v>
      </c>
      <c r="F712" s="6" t="s">
        <v>2973</v>
      </c>
      <c r="G712" s="8">
        <v>46057</v>
      </c>
      <c r="H712" s="6">
        <v>1.66</v>
      </c>
      <c r="I712" s="6" cm="1">
        <f t="array" ref="I712">IFERROR(VALUE(TRIM(LEFT(E712,MIN(FIND({" ";"g";"k";"m";"o"},E712&amp;" gkmo"))-1))),0)</f>
        <v>140</v>
      </c>
      <c r="J712" s="6" t="str" cm="1">
        <f t="array" ref="J712">IFERROR(TRIM(MID(E712,MIN(FIND({" ";"g";"k";"m";"o"},E712&amp;" gkmo")),10)),"unknown")</f>
        <v>g</v>
      </c>
      <c r="K712" s="6" t="str">
        <f t="shared" si="44"/>
        <v>g</v>
      </c>
      <c r="L712" s="6" t="str">
        <f t="shared" si="45"/>
        <v>Manomasa</v>
      </c>
      <c r="M712" s="6" t="str">
        <f t="shared" si="46"/>
        <v>Manchego &amp; Green Olive</v>
      </c>
      <c r="N712" s="6" t="str">
        <f t="shared" si="47"/>
        <v>Gb</v>
      </c>
    </row>
    <row r="713" spans="1:14" x14ac:dyDescent="0.25">
      <c r="A713" s="6" t="s">
        <v>1887</v>
      </c>
      <c r="B713" s="6">
        <v>9355</v>
      </c>
      <c r="C713" s="6" t="s">
        <v>1888</v>
      </c>
      <c r="D713" s="7" t="s">
        <v>1773</v>
      </c>
      <c r="E713" s="6" t="s">
        <v>151</v>
      </c>
      <c r="F713" s="6" t="s">
        <v>177</v>
      </c>
      <c r="G713" s="8">
        <v>45464</v>
      </c>
      <c r="H713" s="6">
        <v>15.28</v>
      </c>
      <c r="I713" s="6" cm="1">
        <f t="array" ref="I713">IFERROR(VALUE(TRIM(LEFT(E713,MIN(FIND({" ";"g";"k";"m";"o"},E713&amp;" gkmo"))-1))),0)</f>
        <v>200</v>
      </c>
      <c r="J713" s="6" t="str" cm="1">
        <f t="array" ref="J713">IFERROR(TRIM(MID(E713,MIN(FIND({" ";"g";"k";"m";"o"},E713&amp;" gkmo")),10)),"unknown")</f>
        <v>g</v>
      </c>
      <c r="K713" s="6" t="str">
        <f t="shared" si="44"/>
        <v>g</v>
      </c>
      <c r="L713" s="6" t="str">
        <f t="shared" si="45"/>
        <v>Aldi</v>
      </c>
      <c r="M713" s="6" t="str">
        <f t="shared" si="46"/>
        <v>Butternut Squash, Tomato &amp; Basil Falafel</v>
      </c>
      <c r="N713" s="6" t="str">
        <f t="shared" si="47"/>
        <v>United Kingdom</v>
      </c>
    </row>
    <row r="714" spans="1:14" x14ac:dyDescent="0.25">
      <c r="A714" s="6" t="s">
        <v>1889</v>
      </c>
      <c r="B714" s="6">
        <v>8027</v>
      </c>
      <c r="C714" s="6" t="s">
        <v>7017</v>
      </c>
      <c r="D714" s="7" t="s">
        <v>7017</v>
      </c>
      <c r="E714" s="6"/>
      <c r="F714" s="6" t="s">
        <v>48</v>
      </c>
      <c r="G714" s="8">
        <v>45588</v>
      </c>
      <c r="H714" s="6">
        <v>13.16</v>
      </c>
      <c r="I714" s="6" cm="1">
        <f t="array" ref="I714">IFERROR(VALUE(TRIM(LEFT(E714,MIN(FIND({" ";"g";"k";"m";"o"},E714&amp;" gkmo"))-1))),0)</f>
        <v>0</v>
      </c>
      <c r="J714" s="6" t="str" cm="1">
        <f t="array" ref="J714">IFERROR(TRIM(MID(E714,MIN(FIND({" ";"g";"k";"m";"o"},E714&amp;" gkmo")),10)),"unknown")</f>
        <v/>
      </c>
      <c r="K714" s="6" t="str">
        <f t="shared" si="44"/>
        <v>unknown</v>
      </c>
      <c r="L714" s="6" t="str">
        <f t="shared" si="45"/>
        <v>Unknown</v>
      </c>
      <c r="M714" s="6" t="str">
        <f t="shared" si="46"/>
        <v>Unknown</v>
      </c>
      <c r="N714" s="6" t="str">
        <f t="shared" si="47"/>
        <v>Morocco</v>
      </c>
    </row>
    <row r="715" spans="1:14" x14ac:dyDescent="0.25">
      <c r="A715" s="6" t="s">
        <v>1890</v>
      </c>
      <c r="B715" s="6">
        <v>6873</v>
      </c>
      <c r="C715" s="6" t="s">
        <v>1891</v>
      </c>
      <c r="D715" s="7" t="s">
        <v>13</v>
      </c>
      <c r="E715" s="6"/>
      <c r="F715" s="6" t="s">
        <v>8337</v>
      </c>
      <c r="G715" s="8">
        <v>45687</v>
      </c>
      <c r="H715" s="6">
        <v>13.16</v>
      </c>
      <c r="I715" s="6" cm="1">
        <f t="array" ref="I715">IFERROR(VALUE(TRIM(LEFT(E715,MIN(FIND({" ";"g";"k";"m";"o"},E715&amp;" gkmo"))-1))),0)</f>
        <v>0</v>
      </c>
      <c r="J715" s="6" t="str" cm="1">
        <f t="array" ref="J715">IFERROR(TRIM(MID(E715,MIN(FIND({" ";"g";"k";"m";"o"},E715&amp;" gkmo")),10)),"unknown")</f>
        <v/>
      </c>
      <c r="K715" s="6" t="str">
        <f t="shared" si="44"/>
        <v>unknown</v>
      </c>
      <c r="L715" s="6" t="str">
        <f t="shared" si="45"/>
        <v>Lu</v>
      </c>
      <c r="M715" s="6" t="str">
        <f t="shared" si="46"/>
        <v>Lulu La Barquette Fraise</v>
      </c>
      <c r="N715" s="6" t="str">
        <f t="shared" si="47"/>
        <v>Belgium,Canada,France,Switzerland</v>
      </c>
    </row>
    <row r="716" spans="1:14" x14ac:dyDescent="0.25">
      <c r="A716" s="6" t="s">
        <v>1892</v>
      </c>
      <c r="B716" s="6">
        <v>6549</v>
      </c>
      <c r="C716" s="6" t="s">
        <v>7136</v>
      </c>
      <c r="D716" s="7" t="s">
        <v>354</v>
      </c>
      <c r="E716" s="6" t="s">
        <v>39</v>
      </c>
      <c r="F716" s="6" t="s">
        <v>8449</v>
      </c>
      <c r="G716" s="8">
        <v>45905</v>
      </c>
      <c r="H716" s="6">
        <v>19.89</v>
      </c>
      <c r="I716" s="6" cm="1">
        <f t="array" ref="I716">IFERROR(VALUE(TRIM(LEFT(E716,MIN(FIND({" ";"g";"k";"m";"o"},E716&amp;" gkmo"))-1))),0)</f>
        <v>150</v>
      </c>
      <c r="J716" s="6" t="str" cm="1">
        <f t="array" ref="J716">IFERROR(TRIM(MID(E716,MIN(FIND({" ";"g";"k";"m";"o"},E716&amp;" gkmo")),10)),"unknown")</f>
        <v>g</v>
      </c>
      <c r="K716" s="6" t="str">
        <f t="shared" si="44"/>
        <v>g</v>
      </c>
      <c r="L716" s="6" t="str">
        <f t="shared" si="45"/>
        <v>Lu,Mondelez</v>
      </c>
      <c r="M716" s="6" t="str">
        <f t="shared" si="46"/>
        <v>Pepito Lu Pépite Choco</v>
      </c>
      <c r="N716" s="6" t="str">
        <f t="shared" si="47"/>
        <v>France,La Reunion</v>
      </c>
    </row>
    <row r="717" spans="1:14" x14ac:dyDescent="0.25">
      <c r="A717" s="6" t="s">
        <v>1893</v>
      </c>
      <c r="B717" s="6">
        <v>11467</v>
      </c>
      <c r="C717" s="6" t="s">
        <v>1894</v>
      </c>
      <c r="D717" s="7" t="s">
        <v>1345</v>
      </c>
      <c r="E717" s="6"/>
      <c r="F717" s="6" t="s">
        <v>1181</v>
      </c>
      <c r="G717" s="8">
        <v>45634</v>
      </c>
      <c r="H717" s="6">
        <v>12.76</v>
      </c>
      <c r="I717" s="6" cm="1">
        <f t="array" ref="I717">IFERROR(VALUE(TRIM(LEFT(E717,MIN(FIND({" ";"g";"k";"m";"o"},E717&amp;" gkmo"))-1))),0)</f>
        <v>0</v>
      </c>
      <c r="J717" s="6" t="str" cm="1">
        <f t="array" ref="J717">IFERROR(TRIM(MID(E717,MIN(FIND({" ";"g";"k";"m";"o"},E717&amp;" gkmo")),10)),"unknown")</f>
        <v/>
      </c>
      <c r="K717" s="6" t="str">
        <f t="shared" si="44"/>
        <v>unknown</v>
      </c>
      <c r="L717" s="6" t="str">
        <f t="shared" si="45"/>
        <v>Haribo</v>
      </c>
      <c r="M717" s="6" t="str">
        <f t="shared" si="46"/>
        <v>280G Haribo Croco</v>
      </c>
      <c r="N717" s="6" t="str">
        <f t="shared" si="47"/>
        <v>France,Switzerland</v>
      </c>
    </row>
    <row r="718" spans="1:14" x14ac:dyDescent="0.25">
      <c r="A718" s="6" t="s">
        <v>1895</v>
      </c>
      <c r="B718" s="6">
        <v>8817</v>
      </c>
      <c r="C718" s="6" t="s">
        <v>1896</v>
      </c>
      <c r="D718" s="7" t="s">
        <v>7137</v>
      </c>
      <c r="E718" s="6" t="s">
        <v>1897</v>
      </c>
      <c r="F718" s="6" t="s">
        <v>139</v>
      </c>
      <c r="G718" s="8">
        <v>45750</v>
      </c>
      <c r="H718" s="6">
        <v>13.16</v>
      </c>
      <c r="I718" s="6" cm="1">
        <f t="array" ref="I718">IFERROR(VALUE(TRIM(LEFT(E718,MIN(FIND({" ";"g";"k";"m";"o"},E718&amp;" gkmo"))-1))),0)</f>
        <v>430</v>
      </c>
      <c r="J718" s="6" t="str" cm="1">
        <f t="array" ref="J718">IFERROR(TRIM(MID(E718,MIN(FIND({" ";"g";"k";"m";"o"},E718&amp;" gkmo")),10)),"unknown")</f>
        <v>g</v>
      </c>
      <c r="K718" s="6" t="str">
        <f t="shared" si="44"/>
        <v>g</v>
      </c>
      <c r="L718" s="6" t="str">
        <f t="shared" si="45"/>
        <v>Armor Délices</v>
      </c>
      <c r="M718" s="6" t="str">
        <f t="shared" si="46"/>
        <v>Madeleine</v>
      </c>
      <c r="N718" s="6" t="str">
        <f t="shared" si="47"/>
        <v>France</v>
      </c>
    </row>
    <row r="719" spans="1:14" x14ac:dyDescent="0.25">
      <c r="A719" s="6" t="s">
        <v>1898</v>
      </c>
      <c r="B719" s="6">
        <v>9733</v>
      </c>
      <c r="C719" s="6" t="s">
        <v>1899</v>
      </c>
      <c r="D719" s="7" t="s">
        <v>7017</v>
      </c>
      <c r="E719" s="6" t="s">
        <v>304</v>
      </c>
      <c r="F719" s="6" t="s">
        <v>7919</v>
      </c>
      <c r="G719" s="8">
        <v>45327</v>
      </c>
      <c r="H719" s="6">
        <v>7.35</v>
      </c>
      <c r="I719" s="6" cm="1">
        <f t="array" ref="I719">IFERROR(VALUE(TRIM(LEFT(E719,MIN(FIND({" ";"g";"k";"m";"o"},E719&amp;" gkmo"))-1))),0)</f>
        <v>135</v>
      </c>
      <c r="J719" s="6" t="str" cm="1">
        <f t="array" ref="J719">IFERROR(TRIM(MID(E719,MIN(FIND({" ";"g";"k";"m";"o"},E719&amp;" gkmo")),10)),"unknown")</f>
        <v>g</v>
      </c>
      <c r="K719" s="6" t="str">
        <f t="shared" si="44"/>
        <v>g</v>
      </c>
      <c r="L719" s="6" t="str">
        <f t="shared" si="45"/>
        <v>Unknown</v>
      </c>
      <c r="M719" s="6" t="str">
        <f t="shared" si="46"/>
        <v>La Grande Galette Pur Beurre</v>
      </c>
      <c r="N719" s="6" t="str">
        <f t="shared" si="47"/>
        <v>France, Morocco</v>
      </c>
    </row>
    <row r="720" spans="1:14" x14ac:dyDescent="0.25">
      <c r="A720" s="6" t="s">
        <v>1900</v>
      </c>
      <c r="B720" s="6">
        <v>11162</v>
      </c>
      <c r="C720" s="6" t="s">
        <v>7644</v>
      </c>
      <c r="D720" s="7" t="s">
        <v>7138</v>
      </c>
      <c r="E720" s="6" t="s">
        <v>138</v>
      </c>
      <c r="F720" s="6" t="s">
        <v>139</v>
      </c>
      <c r="G720" s="8">
        <v>45806</v>
      </c>
      <c r="H720" s="6">
        <v>11.87</v>
      </c>
      <c r="I720" s="6" cm="1">
        <f t="array" ref="I720">IFERROR(VALUE(TRIM(LEFT(E720,MIN(FIND({" ";"g";"k";"m";"o"},E720&amp;" gkmo"))-1))),0)</f>
        <v>400</v>
      </c>
      <c r="J720" s="6" t="str" cm="1">
        <f t="array" ref="J720">IFERROR(TRIM(MID(E720,MIN(FIND({" ";"g";"k";"m";"o"},E720&amp;" gkmo")),10)),"unknown")</f>
        <v>g</v>
      </c>
      <c r="K720" s="6" t="str">
        <f t="shared" si="44"/>
        <v>g</v>
      </c>
      <c r="L720" s="6" t="str">
        <f t="shared" si="45"/>
        <v>La Fournée Dorée</v>
      </c>
      <c r="M720" s="6" t="str">
        <f t="shared" si="46"/>
        <v>8 Navettes Au Beurre Frais Et À  La Crème Fraà®Che</v>
      </c>
      <c r="N720" s="6" t="str">
        <f t="shared" si="47"/>
        <v>France</v>
      </c>
    </row>
    <row r="721" spans="1:14" x14ac:dyDescent="0.25">
      <c r="A721" s="6" t="s">
        <v>1901</v>
      </c>
      <c r="B721" s="6">
        <v>7515</v>
      </c>
      <c r="C721" s="6" t="s">
        <v>1902</v>
      </c>
      <c r="D721" s="7" t="s">
        <v>817</v>
      </c>
      <c r="E721" s="6"/>
      <c r="F721" s="6" t="s">
        <v>7926</v>
      </c>
      <c r="G721" s="8">
        <v>45408</v>
      </c>
      <c r="H721" s="6">
        <v>7.68</v>
      </c>
      <c r="I721" s="6" cm="1">
        <f t="array" ref="I721">IFERROR(VALUE(TRIM(LEFT(E721,MIN(FIND({" ";"g";"k";"m";"o"},E721&amp;" gkmo"))-1))),0)</f>
        <v>0</v>
      </c>
      <c r="J721" s="6" t="str" cm="1">
        <f t="array" ref="J721">IFERROR(TRIM(MID(E721,MIN(FIND({" ";"g";"k";"m";"o"},E721&amp;" gkmo")),10)),"unknown")</f>
        <v/>
      </c>
      <c r="K721" s="6" t="str">
        <f t="shared" si="44"/>
        <v>unknown</v>
      </c>
      <c r="L721" s="6" t="str">
        <f t="shared" si="45"/>
        <v>Soreen</v>
      </c>
      <c r="M721" s="6" t="str">
        <f t="shared" si="46"/>
        <v>5 Banana Lunchbox Loaves</v>
      </c>
      <c r="N721" s="6" t="str">
        <f t="shared" si="47"/>
        <v>France, United-Kingdom</v>
      </c>
    </row>
    <row r="722" spans="1:14" x14ac:dyDescent="0.25">
      <c r="A722" s="6" t="s">
        <v>1903</v>
      </c>
      <c r="B722" s="6">
        <v>11767</v>
      </c>
      <c r="C722" s="6" t="s">
        <v>1904</v>
      </c>
      <c r="D722" s="7" t="s">
        <v>1905</v>
      </c>
      <c r="E722" s="6" t="s">
        <v>1312</v>
      </c>
      <c r="F722" s="6" t="s">
        <v>400</v>
      </c>
      <c r="G722" s="8">
        <v>45551</v>
      </c>
      <c r="H722" s="6">
        <v>16.7</v>
      </c>
      <c r="I722" s="6" cm="1">
        <f t="array" ref="I722">IFERROR(VALUE(TRIM(LEFT(E722,MIN(FIND({" ";"g";"k";"m";"o"},E722&amp;" gkmo"))-1))),0)</f>
        <v>50</v>
      </c>
      <c r="J722" s="6" t="str" cm="1">
        <f t="array" ref="J722">IFERROR(TRIM(MID(E722,MIN(FIND({" ";"g";"k";"m";"o"},E722&amp;" gkmo")),10)),"unknown")</f>
        <v>g</v>
      </c>
      <c r="K722" s="6" t="str">
        <f t="shared" si="44"/>
        <v>g</v>
      </c>
      <c r="L722" s="6" t="str">
        <f t="shared" si="45"/>
        <v>Trek</v>
      </c>
      <c r="M722" s="6" t="str">
        <f t="shared" si="46"/>
        <v>Protein Flapjack Cocoa Oat</v>
      </c>
      <c r="N722" s="6" t="str">
        <f t="shared" si="47"/>
        <v>France,United Kingdom</v>
      </c>
    </row>
    <row r="723" spans="1:14" x14ac:dyDescent="0.25">
      <c r="A723" s="6" t="s">
        <v>1906</v>
      </c>
      <c r="B723" s="6">
        <v>11796</v>
      </c>
      <c r="C723" s="6" t="s">
        <v>1907</v>
      </c>
      <c r="D723" s="7" t="s">
        <v>173</v>
      </c>
      <c r="E723" s="6"/>
      <c r="F723" s="6" t="s">
        <v>7645</v>
      </c>
      <c r="G723" s="8">
        <v>45837</v>
      </c>
      <c r="H723" s="6">
        <v>3.29</v>
      </c>
      <c r="I723" s="6" cm="1">
        <f t="array" ref="I723">IFERROR(VALUE(TRIM(LEFT(E723,MIN(FIND({" ";"g";"k";"m";"o"},E723&amp;" gkmo"))-1))),0)</f>
        <v>0</v>
      </c>
      <c r="J723" s="6" t="str" cm="1">
        <f t="array" ref="J723">IFERROR(TRIM(MID(E723,MIN(FIND({" ";"g";"k";"m";"o"},E723&amp;" gkmo")),10)),"unknown")</f>
        <v/>
      </c>
      <c r="K723" s="6" t="str">
        <f t="shared" si="44"/>
        <v>unknown</v>
      </c>
      <c r="L723" s="6" t="str">
        <f t="shared" si="45"/>
        <v>Kinder</v>
      </c>
      <c r="M723" s="6" t="str">
        <f t="shared" si="46"/>
        <v>Kinder Chocolate</v>
      </c>
      <c r="N723" s="6" t="str">
        <f t="shared" si="47"/>
        <v>Argélia,Franà§A,Alemanha,Portugal,Sérvia,Estados Unidos</v>
      </c>
    </row>
    <row r="724" spans="1:14" x14ac:dyDescent="0.25">
      <c r="A724" s="6" t="s">
        <v>1908</v>
      </c>
      <c r="B724" s="6">
        <v>12831</v>
      </c>
      <c r="C724" s="6" t="s">
        <v>1909</v>
      </c>
      <c r="D724" s="7" t="s">
        <v>1644</v>
      </c>
      <c r="E724" s="6" t="s">
        <v>132</v>
      </c>
      <c r="F724" s="6" t="s">
        <v>8403</v>
      </c>
      <c r="G724" s="8">
        <v>45948</v>
      </c>
      <c r="H724" s="6">
        <v>22.97</v>
      </c>
      <c r="I724" s="6" cm="1">
        <f t="array" ref="I724">IFERROR(VALUE(TRIM(LEFT(E724,MIN(FIND({" ";"g";"k";"m";"o"},E724&amp;" gkmo"))-1))),0)</f>
        <v>350</v>
      </c>
      <c r="J724" s="6" t="str" cm="1">
        <f t="array" ref="J724">IFERROR(TRIM(MID(E724,MIN(FIND({" ";"g";"k";"m";"o"},E724&amp;" gkmo")),10)),"unknown")</f>
        <v>g</v>
      </c>
      <c r="K724" s="6" t="str">
        <f t="shared" si="44"/>
        <v>g</v>
      </c>
      <c r="L724" s="6" t="str">
        <f t="shared" si="45"/>
        <v>Barilla,Mulino Bianco</v>
      </c>
      <c r="M724" s="6" t="str">
        <f t="shared" si="46"/>
        <v>Macine Mb 350G Int. Eu</v>
      </c>
      <c r="N724" s="6" t="str">
        <f t="shared" si="47"/>
        <v>France,Italia,Espaà±A,Switzerland,United Kingdom</v>
      </c>
    </row>
    <row r="725" spans="1:14" x14ac:dyDescent="0.25">
      <c r="A725" s="6" t="s">
        <v>1910</v>
      </c>
      <c r="B725" s="6">
        <v>5940</v>
      </c>
      <c r="C725" s="6" t="s">
        <v>1911</v>
      </c>
      <c r="D725" s="7" t="s">
        <v>116</v>
      </c>
      <c r="E725" s="6" t="s">
        <v>1721</v>
      </c>
      <c r="F725" s="6" t="s">
        <v>139</v>
      </c>
      <c r="G725" s="8">
        <v>45470</v>
      </c>
      <c r="H725" s="6">
        <v>15.3</v>
      </c>
      <c r="I725" s="6" cm="1">
        <f t="array" ref="I725">IFERROR(VALUE(TRIM(LEFT(E725,MIN(FIND({" ";"g";"k";"m";"o"},E725&amp;" gkmo"))-1))),0)</f>
        <v>30</v>
      </c>
      <c r="J725" s="6" t="str" cm="1">
        <f t="array" ref="J725">IFERROR(TRIM(MID(E725,MIN(FIND({" ";"g";"k";"m";"o"},E725&amp;" gkmo")),10)),"unknown")</f>
        <v>g</v>
      </c>
      <c r="K725" s="6" t="str">
        <f t="shared" si="44"/>
        <v>g</v>
      </c>
      <c r="L725" s="6" t="str">
        <f t="shared" si="45"/>
        <v>Nature Valley</v>
      </c>
      <c r="M725" s="6" t="str">
        <f t="shared" si="46"/>
        <v>Sweet &amp; Saltynut</v>
      </c>
      <c r="N725" s="6" t="str">
        <f t="shared" si="47"/>
        <v>France</v>
      </c>
    </row>
    <row r="726" spans="1:14" x14ac:dyDescent="0.25">
      <c r="A726" s="6" t="s">
        <v>1912</v>
      </c>
      <c r="B726" s="6">
        <v>12469</v>
      </c>
      <c r="C726" s="6" t="s">
        <v>7646</v>
      </c>
      <c r="D726" s="7" t="s">
        <v>7533</v>
      </c>
      <c r="E726" s="6" t="s">
        <v>592</v>
      </c>
      <c r="F726" s="6" t="s">
        <v>139</v>
      </c>
      <c r="G726" s="8">
        <v>45436</v>
      </c>
      <c r="H726" s="6">
        <v>19.3</v>
      </c>
      <c r="I726" s="6" cm="1">
        <f t="array" ref="I726">IFERROR(VALUE(TRIM(LEFT(E726,MIN(FIND({" ";"g";"k";"m";"o"},E726&amp;" gkmo"))-1))),0)</f>
        <v>500</v>
      </c>
      <c r="J726" s="6" t="str" cm="1">
        <f t="array" ref="J726">IFERROR(TRIM(MID(E726,MIN(FIND({" ";"g";"k";"m";"o"},E726&amp;" gkmo")),10)),"unknown")</f>
        <v>g</v>
      </c>
      <c r="K726" s="6" t="str">
        <f t="shared" si="44"/>
        <v>g</v>
      </c>
      <c r="L726" s="6" t="str">
        <f t="shared" si="45"/>
        <v>Saveurs De Nos Régions</v>
      </c>
      <c r="M726" s="6" t="str">
        <f t="shared" si="46"/>
        <v>Gà¢Che Tranchée</v>
      </c>
      <c r="N726" s="6" t="str">
        <f t="shared" si="47"/>
        <v>France</v>
      </c>
    </row>
    <row r="727" spans="1:14" x14ac:dyDescent="0.25">
      <c r="A727" s="6" t="s">
        <v>1913</v>
      </c>
      <c r="B727" s="6">
        <v>6274</v>
      </c>
      <c r="C727" s="6" t="s">
        <v>1914</v>
      </c>
      <c r="D727" s="7" t="s">
        <v>1915</v>
      </c>
      <c r="E727" s="6"/>
      <c r="F727" s="6" t="s">
        <v>511</v>
      </c>
      <c r="G727" s="8">
        <v>45374</v>
      </c>
      <c r="H727" s="6">
        <v>20.57</v>
      </c>
      <c r="I727" s="6" cm="1">
        <f t="array" ref="I727">IFERROR(VALUE(TRIM(LEFT(E727,MIN(FIND({" ";"g";"k";"m";"o"},E727&amp;" gkmo"))-1))),0)</f>
        <v>0</v>
      </c>
      <c r="J727" s="6" t="str" cm="1">
        <f t="array" ref="J727">IFERROR(TRIM(MID(E727,MIN(FIND({" ";"g";"k";"m";"o"},E727&amp;" gkmo")),10)),"unknown")</f>
        <v/>
      </c>
      <c r="K727" s="6" t="str">
        <f t="shared" si="44"/>
        <v>unknown</v>
      </c>
      <c r="L727" s="6" t="str">
        <f t="shared" si="45"/>
        <v>Tosfrit</v>
      </c>
      <c r="M727" s="6" t="str">
        <f t="shared" si="46"/>
        <v>Totas</v>
      </c>
      <c r="N727" s="6" t="str">
        <f t="shared" si="47"/>
        <v>France,Morocco</v>
      </c>
    </row>
    <row r="728" spans="1:14" x14ac:dyDescent="0.25">
      <c r="A728" s="6" t="s">
        <v>1916</v>
      </c>
      <c r="B728" s="6">
        <v>10295</v>
      </c>
      <c r="C728" s="6" t="s">
        <v>1917</v>
      </c>
      <c r="D728" s="7" t="s">
        <v>1918</v>
      </c>
      <c r="E728" s="6" t="s">
        <v>855</v>
      </c>
      <c r="F728" s="6" t="s">
        <v>7960</v>
      </c>
      <c r="G728" s="8">
        <v>45639</v>
      </c>
      <c r="H728" s="6">
        <v>21.39</v>
      </c>
      <c r="I728" s="6" cm="1">
        <f t="array" ref="I728">IFERROR(VALUE(TRIM(LEFT(E728,MIN(FIND({" ";"g";"k";"m";"o"},E728&amp;" gkmo"))-1))),0)</f>
        <v>80</v>
      </c>
      <c r="J728" s="6" t="str" cm="1">
        <f t="array" ref="J728">IFERROR(TRIM(MID(E728,MIN(FIND({" ";"g";"k";"m";"o"},E728&amp;" gkmo")),10)),"unknown")</f>
        <v>g</v>
      </c>
      <c r="K728" s="6" t="str">
        <f t="shared" si="44"/>
        <v>g</v>
      </c>
      <c r="L728" s="6" t="str">
        <f t="shared" si="45"/>
        <v>Trapa</v>
      </c>
      <c r="M728" s="6" t="str">
        <f t="shared" si="46"/>
        <v>Chocolate 95%</v>
      </c>
      <c r="N728" s="6" t="str">
        <f t="shared" si="47"/>
        <v>Spain, Morocco</v>
      </c>
    </row>
    <row r="729" spans="1:14" x14ac:dyDescent="0.25">
      <c r="A729" s="6" t="s">
        <v>1919</v>
      </c>
      <c r="B729" s="6">
        <v>11811</v>
      </c>
      <c r="C729" s="6" t="s">
        <v>1920</v>
      </c>
      <c r="D729" s="7" t="s">
        <v>1921</v>
      </c>
      <c r="E729" s="6"/>
      <c r="F729" s="6" t="s">
        <v>7988</v>
      </c>
      <c r="G729" s="8">
        <v>45537</v>
      </c>
      <c r="H729" s="6">
        <v>6.29</v>
      </c>
      <c r="I729" s="6" cm="1">
        <f t="array" ref="I729">IFERROR(VALUE(TRIM(LEFT(E729,MIN(FIND({" ";"g";"k";"m";"o"},E729&amp;" gkmo"))-1))),0)</f>
        <v>0</v>
      </c>
      <c r="J729" s="6" t="str" cm="1">
        <f t="array" ref="J729">IFERROR(TRIM(MID(E729,MIN(FIND({" ";"g";"k";"m";"o"},E729&amp;" gkmo")),10)),"unknown")</f>
        <v/>
      </c>
      <c r="K729" s="6" t="str">
        <f t="shared" si="44"/>
        <v>unknown</v>
      </c>
      <c r="L729" s="6" t="str">
        <f t="shared" si="45"/>
        <v>Go Ahead</v>
      </c>
      <c r="M729" s="6" t="str">
        <f t="shared" si="46"/>
        <v>Fruit Slices Apple</v>
      </c>
      <c r="N729" s="6" t="str">
        <f t="shared" si="47"/>
        <v>United Kingdom, Cyprus</v>
      </c>
    </row>
    <row r="730" spans="1:14" x14ac:dyDescent="0.25">
      <c r="A730" s="6" t="s">
        <v>1922</v>
      </c>
      <c r="B730" s="6">
        <v>8534</v>
      </c>
      <c r="C730" s="6" t="s">
        <v>1923</v>
      </c>
      <c r="D730" s="7" t="s">
        <v>814</v>
      </c>
      <c r="E730" s="6"/>
      <c r="F730" s="6" t="s">
        <v>48</v>
      </c>
      <c r="G730" s="8">
        <v>46008</v>
      </c>
      <c r="H730" s="6">
        <v>17.29</v>
      </c>
      <c r="I730" s="6" cm="1">
        <f t="array" ref="I730">IFERROR(VALUE(TRIM(LEFT(E730,MIN(FIND({" ";"g";"k";"m";"o"},E730&amp;" gkmo"))-1))),0)</f>
        <v>0</v>
      </c>
      <c r="J730" s="6" t="str" cm="1">
        <f t="array" ref="J730">IFERROR(TRIM(MID(E730,MIN(FIND({" ";"g";"k";"m";"o"},E730&amp;" gkmo")),10)),"unknown")</f>
        <v/>
      </c>
      <c r="K730" s="6" t="str">
        <f t="shared" si="44"/>
        <v>unknown</v>
      </c>
      <c r="L730" s="6" t="str">
        <f t="shared" si="45"/>
        <v>Mondelez</v>
      </c>
      <c r="M730" s="6" t="str">
        <f t="shared" si="46"/>
        <v>Miredina</v>
      </c>
      <c r="N730" s="6" t="str">
        <f t="shared" si="47"/>
        <v>Morocco</v>
      </c>
    </row>
    <row r="731" spans="1:14" x14ac:dyDescent="0.25">
      <c r="A731" s="6" t="s">
        <v>1924</v>
      </c>
      <c r="B731" s="6">
        <v>11515</v>
      </c>
      <c r="C731" s="6" t="s">
        <v>1925</v>
      </c>
      <c r="D731" s="7" t="s">
        <v>1926</v>
      </c>
      <c r="E731" s="6" t="s">
        <v>39</v>
      </c>
      <c r="F731" s="6" t="s">
        <v>1181</v>
      </c>
      <c r="G731" s="8">
        <v>45908</v>
      </c>
      <c r="H731" s="6">
        <v>1.97</v>
      </c>
      <c r="I731" s="6" cm="1">
        <f t="array" ref="I731">IFERROR(VALUE(TRIM(LEFT(E731,MIN(FIND({" ";"g";"k";"m";"o"},E731&amp;" gkmo"))-1))),0)</f>
        <v>150</v>
      </c>
      <c r="J731" s="6" t="str" cm="1">
        <f t="array" ref="J731">IFERROR(TRIM(MID(E731,MIN(FIND({" ";"g";"k";"m";"o"},E731&amp;" gkmo")),10)),"unknown")</f>
        <v>g</v>
      </c>
      <c r="K731" s="6" t="str">
        <f t="shared" si="44"/>
        <v>g</v>
      </c>
      <c r="L731" s="6" t="str">
        <f t="shared" si="45"/>
        <v>Lu,Mondelez International</v>
      </c>
      <c r="M731" s="6" t="str">
        <f t="shared" si="46"/>
        <v>Lulu L'Ourson Chocolat</v>
      </c>
      <c r="N731" s="6" t="str">
        <f t="shared" si="47"/>
        <v>France,Switzerland</v>
      </c>
    </row>
    <row r="732" spans="1:14" x14ac:dyDescent="0.25">
      <c r="A732" s="6" t="s">
        <v>1927</v>
      </c>
      <c r="B732" s="6">
        <v>6579</v>
      </c>
      <c r="C732" s="6" t="s">
        <v>7139</v>
      </c>
      <c r="D732" s="7" t="s">
        <v>7140</v>
      </c>
      <c r="E732" s="6" t="s">
        <v>470</v>
      </c>
      <c r="F732" s="6" t="s">
        <v>1181</v>
      </c>
      <c r="G732" s="8">
        <v>45558</v>
      </c>
      <c r="H732" s="6">
        <v>11.55</v>
      </c>
      <c r="I732" s="6" cm="1">
        <f t="array" ref="I732">IFERROR(VALUE(TRIM(LEFT(E732,MIN(FIND({" ";"g";"k";"m";"o"},E732&amp;" gkmo"))-1))),0)</f>
        <v>132</v>
      </c>
      <c r="J732" s="6" t="str" cm="1">
        <f t="array" ref="J732">IFERROR(TRIM(MID(E732,MIN(FIND({" ";"g";"k";"m";"o"},E732&amp;" gkmo")),10)),"unknown")</f>
        <v>g</v>
      </c>
      <c r="K732" s="6" t="str">
        <f t="shared" si="44"/>
        <v>g</v>
      </c>
      <c r="L732" s="6" t="str">
        <f t="shared" si="45"/>
        <v>Céréal Bio</v>
      </c>
      <c r="M732" s="6" t="str">
        <f t="shared" si="46"/>
        <v>Sablés Sarrasin Miel Saveur Citron</v>
      </c>
      <c r="N732" s="6" t="str">
        <f t="shared" si="47"/>
        <v>France,Switzerland</v>
      </c>
    </row>
    <row r="733" spans="1:14" x14ac:dyDescent="0.25">
      <c r="A733" s="6" t="s">
        <v>1928</v>
      </c>
      <c r="B733" s="6">
        <v>9455</v>
      </c>
      <c r="C733" s="6" t="s">
        <v>1929</v>
      </c>
      <c r="D733" s="7" t="s">
        <v>248</v>
      </c>
      <c r="E733" s="6" t="s">
        <v>1930</v>
      </c>
      <c r="F733" s="6" t="s">
        <v>7647</v>
      </c>
      <c r="G733" s="8">
        <v>45577</v>
      </c>
      <c r="H733" s="6">
        <v>18.579999999999998</v>
      </c>
      <c r="I733" s="6" cm="1">
        <f t="array" ref="I733">IFERROR(VALUE(TRIM(LEFT(E733,MIN(FIND({" ";"g";"k";"m";"o"},E733&amp;" gkmo"))-1))),0)</f>
        <v>110</v>
      </c>
      <c r="J733" s="6" t="str" cm="1">
        <f t="array" ref="J733">IFERROR(TRIM(MID(E733,MIN(FIND({" ";"g";"k";"m";"o"},E733&amp;" gkmo")),10)),"unknown")</f>
        <v>g</v>
      </c>
      <c r="K733" s="6" t="str">
        <f t="shared" si="44"/>
        <v>g</v>
      </c>
      <c r="L733" s="6" t="str">
        <f t="shared" si="45"/>
        <v>Tesco</v>
      </c>
      <c r="M733" s="6" t="str">
        <f t="shared" si="46"/>
        <v>Sweet And Salted Popcorn</v>
      </c>
      <c r="N733" s="6" t="str">
        <f t="shared" si="47"/>
        <v>Frankreich,Vereinigtes Kà¶Nigreich</v>
      </c>
    </row>
    <row r="734" spans="1:14" x14ac:dyDescent="0.25">
      <c r="A734" s="6" t="s">
        <v>1931</v>
      </c>
      <c r="B734" s="6">
        <v>10760</v>
      </c>
      <c r="C734" s="6" t="s">
        <v>1932</v>
      </c>
      <c r="D734" s="7" t="s">
        <v>1084</v>
      </c>
      <c r="E734" s="6" t="s">
        <v>1933</v>
      </c>
      <c r="F734" s="6" t="s">
        <v>7926</v>
      </c>
      <c r="G734" s="8">
        <v>45423</v>
      </c>
      <c r="H734" s="6">
        <v>14.99</v>
      </c>
      <c r="I734" s="6" cm="1">
        <f t="array" ref="I734">IFERROR(VALUE(TRIM(LEFT(E734,MIN(FIND({" ";"g";"k";"m";"o"},E734&amp;" gkmo"))-1))),0)</f>
        <v>248</v>
      </c>
      <c r="J734" s="6" t="str" cm="1">
        <f t="array" ref="J734">IFERROR(TRIM(MID(E734,MIN(FIND({" ";"g";"k";"m";"o"},E734&amp;" gkmo")),10)),"unknown")</f>
        <v>g</v>
      </c>
      <c r="K734" s="6" t="str">
        <f t="shared" si="44"/>
        <v>g</v>
      </c>
      <c r="L734" s="6" t="str">
        <f t="shared" si="45"/>
        <v>Lotus</v>
      </c>
      <c r="M734" s="6" t="str">
        <f t="shared" si="46"/>
        <v>Lotus Biscoff Speculoos Original Pocket Format Familial - 248G (16X2P)</v>
      </c>
      <c r="N734" s="6" t="str">
        <f t="shared" si="47"/>
        <v>France, United-Kingdom</v>
      </c>
    </row>
    <row r="735" spans="1:14" x14ac:dyDescent="0.25">
      <c r="A735" s="6" t="s">
        <v>1934</v>
      </c>
      <c r="B735" s="6">
        <v>9921</v>
      </c>
      <c r="C735" s="6" t="s">
        <v>1935</v>
      </c>
      <c r="D735" s="7" t="s">
        <v>1936</v>
      </c>
      <c r="E735" s="6" t="s">
        <v>962</v>
      </c>
      <c r="F735" s="6" t="s">
        <v>7989</v>
      </c>
      <c r="G735" s="8">
        <v>45908</v>
      </c>
      <c r="H735" s="6">
        <v>12.53</v>
      </c>
      <c r="I735" s="6" cm="1">
        <f t="array" ref="I735">IFERROR(VALUE(TRIM(LEFT(E735,MIN(FIND({" ";"g";"k";"m";"o"},E735&amp;" gkmo"))-1))),0)</f>
        <v>225</v>
      </c>
      <c r="J735" s="6" t="str" cm="1">
        <f t="array" ref="J735">IFERROR(TRIM(MID(E735,MIN(FIND({" ";"g";"k";"m";"o"},E735&amp;" gkmo")),10)),"unknown")</f>
        <v>g</v>
      </c>
      <c r="K735" s="6" t="str">
        <f t="shared" si="44"/>
        <v>g</v>
      </c>
      <c r="L735" s="6" t="str">
        <f t="shared" si="45"/>
        <v>Belvita</v>
      </c>
      <c r="M735" s="6" t="str">
        <f t="shared" si="46"/>
        <v>Breakfast Cocoa With Choc Chips</v>
      </c>
      <c r="N735" s="6" t="str">
        <f t="shared" si="47"/>
        <v>France, United Kingdom, Portugal</v>
      </c>
    </row>
    <row r="736" spans="1:14" x14ac:dyDescent="0.25">
      <c r="A736" s="6" t="s">
        <v>1937</v>
      </c>
      <c r="B736" s="6">
        <v>13169</v>
      </c>
      <c r="C736" s="6" t="s">
        <v>1938</v>
      </c>
      <c r="D736" s="7" t="s">
        <v>681</v>
      </c>
      <c r="E736" s="6" t="s">
        <v>727</v>
      </c>
      <c r="F736" s="6" t="s">
        <v>7648</v>
      </c>
      <c r="G736" s="8">
        <v>45688</v>
      </c>
      <c r="H736" s="6">
        <v>24.3</v>
      </c>
      <c r="I736" s="6" cm="1">
        <f t="array" ref="I736">IFERROR(VALUE(TRIM(LEFT(E736,MIN(FIND({" ";"g";"k";"m";"o"},E736&amp;" gkmo"))-1))),0)</f>
        <v>25</v>
      </c>
      <c r="J736" s="6" t="str" cm="1">
        <f t="array" ref="J736">IFERROR(TRIM(MID(E736,MIN(FIND({" ";"g";"k";"m";"o"},E736&amp;" gkmo")),10)),"unknown")</f>
        <v>g</v>
      </c>
      <c r="K736" s="6" t="str">
        <f t="shared" si="44"/>
        <v>g</v>
      </c>
      <c r="L736" s="6" t="str">
        <f t="shared" si="45"/>
        <v>Storck</v>
      </c>
      <c r="M736" s="6" t="str">
        <f t="shared" si="46"/>
        <v>Knoppers Einzelpack</v>
      </c>
      <c r="N736" s="6" t="str">
        <f t="shared" si="47"/>
        <v>Dà¤Nemark,Frankreich,Deutschland,Marokko,Polen,Schweiz,Vereinigtes Kà¶Nigreich</v>
      </c>
    </row>
    <row r="737" spans="1:14" x14ac:dyDescent="0.25">
      <c r="A737" s="6" t="s">
        <v>1939</v>
      </c>
      <c r="B737" s="6">
        <v>7786</v>
      </c>
      <c r="C737" s="6" t="s">
        <v>1940</v>
      </c>
      <c r="D737" s="7" t="s">
        <v>733</v>
      </c>
      <c r="E737" s="6" t="s">
        <v>276</v>
      </c>
      <c r="F737" s="6" t="s">
        <v>1941</v>
      </c>
      <c r="G737" s="8">
        <v>45927</v>
      </c>
      <c r="H737" s="6">
        <v>24.5</v>
      </c>
      <c r="I737" s="6" cm="1">
        <f t="array" ref="I737">IFERROR(VALUE(TRIM(LEFT(E737,MIN(FIND({" ";"g";"k";"m";"o"},E737&amp;" gkmo"))-1))),0)</f>
        <v>40</v>
      </c>
      <c r="J737" s="6" t="str" cm="1">
        <f t="array" ref="J737">IFERROR(TRIM(MID(E737,MIN(FIND({" ";"g";"k";"m";"o"},E737&amp;" gkmo")),10)),"unknown")</f>
        <v>g</v>
      </c>
      <c r="K737" s="6" t="str">
        <f t="shared" si="44"/>
        <v>g</v>
      </c>
      <c r="L737" s="6" t="str">
        <f t="shared" si="45"/>
        <v>Kind</v>
      </c>
      <c r="M737" s="6" t="str">
        <f t="shared" si="46"/>
        <v>Dark Chocolate Nuts &amp; Sea Salt</v>
      </c>
      <c r="N737" s="6" t="str">
        <f t="shared" si="47"/>
        <v>France,Ireland,United Kingdom</v>
      </c>
    </row>
    <row r="738" spans="1:14" x14ac:dyDescent="0.25">
      <c r="A738" s="6" t="s">
        <v>1942</v>
      </c>
      <c r="B738" s="6">
        <v>5718</v>
      </c>
      <c r="C738" s="6" t="s">
        <v>1943</v>
      </c>
      <c r="D738" s="7" t="s">
        <v>1944</v>
      </c>
      <c r="E738" s="6" t="s">
        <v>10</v>
      </c>
      <c r="F738" s="6" t="s">
        <v>3952</v>
      </c>
      <c r="G738" s="8">
        <v>45608</v>
      </c>
      <c r="H738" s="6">
        <v>2.66</v>
      </c>
      <c r="I738" s="6" cm="1">
        <f t="array" ref="I738">IFERROR(VALUE(TRIM(LEFT(E738,MIN(FIND({" ";"g";"k";"m";"o"},E738&amp;" gkmo"))-1))),0)</f>
        <v>100</v>
      </c>
      <c r="J738" s="6" t="str" cm="1">
        <f t="array" ref="J738">IFERROR(TRIM(MID(E738,MIN(FIND({" ";"g";"k";"m";"o"},E738&amp;" gkmo")),10)),"unknown")</f>
        <v>g</v>
      </c>
      <c r="K738" s="6" t="str">
        <f t="shared" si="44"/>
        <v>g</v>
      </c>
      <c r="L738" s="6" t="str">
        <f t="shared" si="45"/>
        <v>Carrefour Bio</v>
      </c>
      <c r="M738" s="6" t="str">
        <f t="shared" si="46"/>
        <v>Tableta Chocolate Negro 85%</v>
      </c>
      <c r="N738" s="6" t="str">
        <f t="shared" si="47"/>
        <v>Belgium,France,Spain</v>
      </c>
    </row>
    <row r="739" spans="1:14" x14ac:dyDescent="0.25">
      <c r="A739" s="6" t="s">
        <v>1945</v>
      </c>
      <c r="B739" s="6">
        <v>5365</v>
      </c>
      <c r="C739" s="6" t="s">
        <v>1946</v>
      </c>
      <c r="D739" s="7" t="s">
        <v>1947</v>
      </c>
      <c r="E739" s="6" t="s">
        <v>1948</v>
      </c>
      <c r="F739" s="6" t="s">
        <v>177</v>
      </c>
      <c r="G739" s="8">
        <v>45733</v>
      </c>
      <c r="H739" s="6">
        <v>19.13</v>
      </c>
      <c r="I739" s="6" cm="1">
        <f t="array" ref="I739">IFERROR(VALUE(TRIM(LEFT(E739,MIN(FIND({" ";"g";"k";"m";"o"},E739&amp;" gkmo"))-1))),0)</f>
        <v>6</v>
      </c>
      <c r="J739" s="6" t="str" cm="1">
        <f t="array" ref="J739">IFERROR(TRIM(MID(E739,MIN(FIND({" ";"g";"k";"m";"o"},E739&amp;" gkmo")),10)),"unknown")</f>
        <v>x 15 g</v>
      </c>
      <c r="K739" s="6" t="str">
        <f t="shared" si="44"/>
        <v>g</v>
      </c>
      <c r="L739" s="6" t="str">
        <f t="shared" si="45"/>
        <v>Snackrite</v>
      </c>
      <c r="M739" s="6" t="str">
        <f t="shared" si="46"/>
        <v>Lentil Chips</v>
      </c>
      <c r="N739" s="6" t="str">
        <f t="shared" si="47"/>
        <v>United Kingdom</v>
      </c>
    </row>
    <row r="740" spans="1:14" x14ac:dyDescent="0.25">
      <c r="A740" s="6" t="s">
        <v>1949</v>
      </c>
      <c r="B740" s="6">
        <v>11025</v>
      </c>
      <c r="C740" s="6" t="s">
        <v>1950</v>
      </c>
      <c r="D740" s="7" t="s">
        <v>60</v>
      </c>
      <c r="E740" s="6"/>
      <c r="F740" s="6" t="s">
        <v>5759</v>
      </c>
      <c r="G740" s="8">
        <v>45562</v>
      </c>
      <c r="H740" s="6">
        <v>16.04</v>
      </c>
      <c r="I740" s="6" cm="1">
        <f t="array" ref="I740">IFERROR(VALUE(TRIM(LEFT(E740,MIN(FIND({" ";"g";"k";"m";"o"},E740&amp;" gkmo"))-1))),0)</f>
        <v>0</v>
      </c>
      <c r="J740" s="6" t="str" cm="1">
        <f t="array" ref="J740">IFERROR(TRIM(MID(E740,MIN(FIND({" ";"g";"k";"m";"o"},E740&amp;" gkmo")),10)),"unknown")</f>
        <v/>
      </c>
      <c r="K740" s="6" t="str">
        <f t="shared" si="44"/>
        <v>unknown</v>
      </c>
      <c r="L740" s="6" t="str">
        <f t="shared" si="45"/>
        <v>Lindt</v>
      </c>
      <c r="M740" s="6" t="str">
        <f t="shared" si="46"/>
        <v>Lindt Lait Extra Fin</v>
      </c>
      <c r="N740" s="6" t="str">
        <f t="shared" si="47"/>
        <v>Fr</v>
      </c>
    </row>
    <row r="741" spans="1:14" x14ac:dyDescent="0.25">
      <c r="A741" s="6" t="s">
        <v>1951</v>
      </c>
      <c r="B741" s="6">
        <v>11146</v>
      </c>
      <c r="C741" s="6" t="s">
        <v>1952</v>
      </c>
      <c r="D741" s="7" t="s">
        <v>7017</v>
      </c>
      <c r="E741" s="6" t="s">
        <v>1953</v>
      </c>
      <c r="F741" s="6" t="s">
        <v>7954</v>
      </c>
      <c r="G741" s="8">
        <v>45551</v>
      </c>
      <c r="H741" s="6">
        <v>20.76</v>
      </c>
      <c r="I741" s="6" cm="1">
        <f t="array" ref="I741">IFERROR(VALUE(TRIM(LEFT(E741,MIN(FIND({" ";"g";"k";"m";"o"},E741&amp;" gkmo"))-1))),0)</f>
        <v>168</v>
      </c>
      <c r="J741" s="6" t="str" cm="1">
        <f t="array" ref="J741">IFERROR(TRIM(MID(E741,MIN(FIND({" ";"g";"k";"m";"o"},E741&amp;" gkmo")),10)),"unknown")</f>
        <v>g</v>
      </c>
      <c r="K741" s="6" t="str">
        <f t="shared" si="44"/>
        <v>g</v>
      </c>
      <c r="L741" s="6" t="str">
        <f t="shared" si="45"/>
        <v>Unknown</v>
      </c>
      <c r="M741" s="6" t="str">
        <f t="shared" si="46"/>
        <v>Pick Up ! Choco X6</v>
      </c>
      <c r="N741" s="6" t="str">
        <f t="shared" si="47"/>
        <v>France, Belgium</v>
      </c>
    </row>
    <row r="742" spans="1:14" x14ac:dyDescent="0.25">
      <c r="A742" s="6" t="s">
        <v>1954</v>
      </c>
      <c r="B742" s="6">
        <v>6171</v>
      </c>
      <c r="C742" s="6" t="s">
        <v>7141</v>
      </c>
      <c r="D742" s="7" t="s">
        <v>7030</v>
      </c>
      <c r="E742" s="6" t="s">
        <v>1955</v>
      </c>
      <c r="F742" s="6" t="s">
        <v>5759</v>
      </c>
      <c r="G742" s="8">
        <v>45544</v>
      </c>
      <c r="H742" s="6">
        <v>21.42</v>
      </c>
      <c r="I742" s="6" cm="1">
        <f t="array" ref="I742">IFERROR(VALUE(TRIM(LEFT(E742,MIN(FIND({" ";"g";"k";"m";"o"},E742&amp;" gkmo"))-1))),0)</f>
        <v>180</v>
      </c>
      <c r="J742" s="6" t="str" cm="1">
        <f t="array" ref="J742">IFERROR(TRIM(MID(E742,MIN(FIND({" ";"g";"k";"m";"o"},E742&amp;" gkmo")),10)),"unknown")</f>
        <v>gr</v>
      </c>
      <c r="K742" s="6" t="str">
        <f t="shared" si="44"/>
        <v>g</v>
      </c>
      <c r="L742" s="6" t="str">
        <f t="shared" si="45"/>
        <v>Gerblé</v>
      </c>
      <c r="M742" s="6" t="str">
        <f t="shared" si="46"/>
        <v>Fourré Figues</v>
      </c>
      <c r="N742" s="6" t="str">
        <f t="shared" si="47"/>
        <v>Fr</v>
      </c>
    </row>
    <row r="743" spans="1:14" x14ac:dyDescent="0.25">
      <c r="A743" s="6" t="s">
        <v>1956</v>
      </c>
      <c r="B743" s="6">
        <v>14598</v>
      </c>
      <c r="C743" s="6" t="s">
        <v>1957</v>
      </c>
      <c r="D743" s="7" t="s">
        <v>1958</v>
      </c>
      <c r="E743" s="6" t="s">
        <v>1959</v>
      </c>
      <c r="F743" s="6" t="s">
        <v>177</v>
      </c>
      <c r="G743" s="8">
        <v>45462</v>
      </c>
      <c r="H743" s="6">
        <v>10.02</v>
      </c>
      <c r="I743" s="6" cm="1">
        <f t="array" ref="I743">IFERROR(VALUE(TRIM(LEFT(E743,MIN(FIND({" ";"g";"k";"m";"o"},E743&amp;" gkmo"))-1))),0)</f>
        <v>171</v>
      </c>
      <c r="J743" s="6" t="str" cm="1">
        <f t="array" ref="J743">IFERROR(TRIM(MID(E743,MIN(FIND({" ";"g";"k";"m";"o"},E743&amp;" gkmo")),10)),"unknown")</f>
        <v>g</v>
      </c>
      <c r="K743" s="6" t="str">
        <f t="shared" si="44"/>
        <v>g</v>
      </c>
      <c r="L743" s="6" t="str">
        <f t="shared" si="45"/>
        <v>Holland &amp; Barrett</v>
      </c>
      <c r="M743" s="6" t="str">
        <f t="shared" si="46"/>
        <v>Curry Cauliflower Bites</v>
      </c>
      <c r="N743" s="6" t="str">
        <f t="shared" si="47"/>
        <v>United Kingdom</v>
      </c>
    </row>
    <row r="744" spans="1:14" x14ac:dyDescent="0.25">
      <c r="A744" s="6" t="s">
        <v>1960</v>
      </c>
      <c r="B744" s="6">
        <v>9776</v>
      </c>
      <c r="C744" s="6" t="s">
        <v>1961</v>
      </c>
      <c r="D744" s="7" t="s">
        <v>488</v>
      </c>
      <c r="E744" s="6" t="s">
        <v>1962</v>
      </c>
      <c r="F744" s="6" t="s">
        <v>1963</v>
      </c>
      <c r="G744" s="8">
        <v>45515</v>
      </c>
      <c r="H744" s="6">
        <v>5.0199999999999996</v>
      </c>
      <c r="I744" s="6" cm="1">
        <f t="array" ref="I744">IFERROR(VALUE(TRIM(LEFT(E744,MIN(FIND({" ";"g";"k";"m";"o"},E744&amp;" gkmo"))-1))),0)</f>
        <v>135</v>
      </c>
      <c r="J744" s="6" t="str" cm="1">
        <f t="array" ref="J744">IFERROR(TRIM(MID(E744,MIN(FIND({" ";"g";"k";"m";"o"},E744&amp;" gkmo")),10)),"unknown")</f>
        <v>g</v>
      </c>
      <c r="K744" s="6" t="str">
        <f t="shared" si="44"/>
        <v>g</v>
      </c>
      <c r="L744" s="6" t="str">
        <f t="shared" si="45"/>
        <v>Bonne Maman</v>
      </c>
      <c r="M744" s="6" t="str">
        <f t="shared" si="46"/>
        <v>Tartelettes Chocolat Caramel</v>
      </c>
      <c r="N744" s="6" t="str">
        <f t="shared" si="47"/>
        <v>Belgium,Bulgaria,France,Germany,Luxembourg</v>
      </c>
    </row>
    <row r="745" spans="1:14" x14ac:dyDescent="0.25">
      <c r="A745" s="6" t="s">
        <v>1964</v>
      </c>
      <c r="B745" s="6">
        <v>6283</v>
      </c>
      <c r="C745" s="6" t="s">
        <v>7142</v>
      </c>
      <c r="D745" s="7" t="s">
        <v>1965</v>
      </c>
      <c r="E745" s="6" t="s">
        <v>10</v>
      </c>
      <c r="F745" s="6" t="s">
        <v>1966</v>
      </c>
      <c r="G745" s="8">
        <v>45766</v>
      </c>
      <c r="H745" s="6">
        <v>13.16</v>
      </c>
      <c r="I745" s="6" cm="1">
        <f t="array" ref="I745">IFERROR(VALUE(TRIM(LEFT(E745,MIN(FIND({" ";"g";"k";"m";"o"},E745&amp;" gkmo"))-1))),0)</f>
        <v>100</v>
      </c>
      <c r="J745" s="6" t="str" cm="1">
        <f t="array" ref="J745">IFERROR(TRIM(MID(E745,MIN(FIND({" ";"g";"k";"m";"o"},E745&amp;" gkmo")),10)),"unknown")</f>
        <v>g</v>
      </c>
      <c r="K745" s="6" t="str">
        <f t="shared" si="44"/>
        <v>g</v>
      </c>
      <c r="L745" s="6" t="str">
        <f t="shared" si="45"/>
        <v>Ivoria, Les Creations</v>
      </c>
      <c r="M745" s="6" t="str">
        <f t="shared" si="46"/>
        <v>Tablette Dégustation Chocolat Noir 85% - 100G</v>
      </c>
      <c r="N745" s="6" t="str">
        <f t="shared" si="47"/>
        <v>France,Portugal</v>
      </c>
    </row>
    <row r="746" spans="1:14" x14ac:dyDescent="0.25">
      <c r="A746" s="6" t="s">
        <v>1967</v>
      </c>
      <c r="B746" s="6">
        <v>14044</v>
      </c>
      <c r="C746" s="6" t="s">
        <v>1968</v>
      </c>
      <c r="D746" s="7" t="s">
        <v>1147</v>
      </c>
      <c r="E746" s="6" t="s">
        <v>1969</v>
      </c>
      <c r="F746" s="6" t="s">
        <v>139</v>
      </c>
      <c r="G746" s="8">
        <v>45500</v>
      </c>
      <c r="H746" s="6">
        <v>23.05</v>
      </c>
      <c r="I746" s="6" cm="1">
        <f t="array" ref="I746">IFERROR(VALUE(TRIM(LEFT(E746,MIN(FIND({" ";"g";"k";"m";"o"},E746&amp;" gkmo"))-1))),0)</f>
        <v>125</v>
      </c>
      <c r="J746" s="6" t="str" cm="1">
        <f t="array" ref="J746">IFERROR(TRIM(MID(E746,MIN(FIND({" ";"g";"k";"m";"o"},E746&amp;" gkmo")),10)),"unknown")</f>
        <v>g â„®</v>
      </c>
      <c r="K746" s="6" t="str">
        <f t="shared" si="44"/>
        <v>g</v>
      </c>
      <c r="L746" s="6" t="str">
        <f t="shared" si="45"/>
        <v>Bret'S</v>
      </c>
      <c r="M746" s="6" t="str">
        <f t="shared" si="46"/>
        <v>Chips Craquante Sel Brets</v>
      </c>
      <c r="N746" s="6" t="str">
        <f t="shared" si="47"/>
        <v>France</v>
      </c>
    </row>
    <row r="747" spans="1:14" x14ac:dyDescent="0.25">
      <c r="A747" s="6" t="s">
        <v>1970</v>
      </c>
      <c r="B747" s="6">
        <v>9830</v>
      </c>
      <c r="C747" s="6" t="s">
        <v>1971</v>
      </c>
      <c r="D747" s="7" t="s">
        <v>287</v>
      </c>
      <c r="E747" s="6" t="s">
        <v>1972</v>
      </c>
      <c r="F747" s="6" t="s">
        <v>7990</v>
      </c>
      <c r="G747" s="8">
        <v>45700</v>
      </c>
      <c r="H747" s="6">
        <v>15.14</v>
      </c>
      <c r="I747" s="6" cm="1">
        <f t="array" ref="I747">IFERROR(VALUE(TRIM(LEFT(E747,MIN(FIND({" ";"g";"k";"m";"o"},E747&amp;" gkmo"))-1))),0)</f>
        <v>220</v>
      </c>
      <c r="J747" s="6" t="str" cm="1">
        <f t="array" ref="J747">IFERROR(TRIM(MID(E747,MIN(FIND({" ";"g";"k";"m";"o"},E747&amp;" gkmo")),10)),"unknown")</f>
        <v>g (10 x 2</v>
      </c>
      <c r="K747" s="6" t="str">
        <f t="shared" si="44"/>
        <v>g</v>
      </c>
      <c r="L747" s="6" t="str">
        <f t="shared" si="45"/>
        <v>Ferrero</v>
      </c>
      <c r="M747" s="6" t="str">
        <f t="shared" si="46"/>
        <v>Hanuta 10Er-Pack</v>
      </c>
      <c r="N747" s="6" t="str">
        <f t="shared" si="47"/>
        <v>France, Germany, Morocco, Switzerland, Ukraine</v>
      </c>
    </row>
    <row r="748" spans="1:14" x14ac:dyDescent="0.25">
      <c r="A748" s="6" t="s">
        <v>1973</v>
      </c>
      <c r="B748" s="6">
        <v>9108</v>
      </c>
      <c r="C748" s="6" t="s">
        <v>1974</v>
      </c>
      <c r="D748" s="7" t="s">
        <v>867</v>
      </c>
      <c r="E748" s="6"/>
      <c r="F748" s="6" t="s">
        <v>8279</v>
      </c>
      <c r="G748" s="8">
        <v>45839</v>
      </c>
      <c r="H748" s="6">
        <v>20.420000000000002</v>
      </c>
      <c r="I748" s="6" cm="1">
        <f t="array" ref="I748">IFERROR(VALUE(TRIM(LEFT(E748,MIN(FIND({" ";"g";"k";"m";"o"},E748&amp;" gkmo"))-1))),0)</f>
        <v>0</v>
      </c>
      <c r="J748" s="6" t="str" cm="1">
        <f t="array" ref="J748">IFERROR(TRIM(MID(E748,MIN(FIND({" ";"g";"k";"m";"o"},E748&amp;" gkmo")),10)),"unknown")</f>
        <v/>
      </c>
      <c r="K748" s="6" t="str">
        <f t="shared" si="44"/>
        <v>unknown</v>
      </c>
      <c r="L748" s="6" t="str">
        <f t="shared" si="45"/>
        <v>Risi</v>
      </c>
      <c r="M748" s="6" t="str">
        <f t="shared" si="46"/>
        <v>Onduladas Campesinas</v>
      </c>
      <c r="N748" s="6" t="str">
        <f t="shared" si="47"/>
        <v>Morocco,Spain,France</v>
      </c>
    </row>
    <row r="749" spans="1:14" x14ac:dyDescent="0.25">
      <c r="A749" s="6" t="s">
        <v>1975</v>
      </c>
      <c r="B749" s="6">
        <v>13322</v>
      </c>
      <c r="C749" s="6" t="s">
        <v>1976</v>
      </c>
      <c r="D749" s="7" t="s">
        <v>940</v>
      </c>
      <c r="E749" s="6" t="s">
        <v>1977</v>
      </c>
      <c r="F749" s="6" t="s">
        <v>177</v>
      </c>
      <c r="G749" s="8">
        <v>45764</v>
      </c>
      <c r="H749" s="6">
        <v>13.16</v>
      </c>
      <c r="I749" s="6" cm="1">
        <f t="array" ref="I749">IFERROR(VALUE(TRIM(LEFT(E749,MIN(FIND({" ";"g";"k";"m";"o"},E749&amp;" gkmo"))-1))),0)</f>
        <v>170</v>
      </c>
      <c r="J749" s="6" t="str" cm="1">
        <f t="array" ref="J749">IFERROR(TRIM(MID(E749,MIN(FIND({" ";"g";"k";"m";"o"},E749&amp;" gkmo")),10)),"unknown")</f>
        <v>g</v>
      </c>
      <c r="K749" s="6" t="str">
        <f t="shared" si="44"/>
        <v>g</v>
      </c>
      <c r="L749" s="6" t="str">
        <f t="shared" si="45"/>
        <v>Crosta &amp; Mollica</v>
      </c>
      <c r="M749" s="6" t="str">
        <f t="shared" si="46"/>
        <v>Fennel Seed Tarallini</v>
      </c>
      <c r="N749" s="6" t="str">
        <f t="shared" si="47"/>
        <v>United Kingdom</v>
      </c>
    </row>
    <row r="750" spans="1:14" x14ac:dyDescent="0.25">
      <c r="A750" s="6" t="s">
        <v>1978</v>
      </c>
      <c r="B750" s="6">
        <v>12790</v>
      </c>
      <c r="C750" s="6" t="s">
        <v>1979</v>
      </c>
      <c r="D750" s="7" t="s">
        <v>60</v>
      </c>
      <c r="E750" s="6" t="s">
        <v>18</v>
      </c>
      <c r="F750" s="6" t="s">
        <v>2973</v>
      </c>
      <c r="G750" s="8">
        <v>45612</v>
      </c>
      <c r="H750" s="6">
        <v>13.16</v>
      </c>
      <c r="I750" s="6" cm="1">
        <f t="array" ref="I750">IFERROR(VALUE(TRIM(LEFT(E750,MIN(FIND({" ";"g";"k";"m";"o"},E750&amp;" gkmo"))-1))),0)</f>
        <v>100</v>
      </c>
      <c r="J750" s="6" t="str" cm="1">
        <f t="array" ref="J750">IFERROR(TRIM(MID(E750,MIN(FIND({" ";"g";"k";"m";"o"},E750&amp;" gkmo")),10)),"unknown")</f>
        <v>g</v>
      </c>
      <c r="K750" s="6" t="str">
        <f t="shared" si="44"/>
        <v>g</v>
      </c>
      <c r="L750" s="6" t="str">
        <f t="shared" si="45"/>
        <v>Lindt</v>
      </c>
      <c r="M750" s="6" t="str">
        <f t="shared" si="46"/>
        <v>Caramel</v>
      </c>
      <c r="N750" s="6" t="str">
        <f t="shared" si="47"/>
        <v>Gb</v>
      </c>
    </row>
    <row r="751" spans="1:14" x14ac:dyDescent="0.25">
      <c r="A751" s="6" t="s">
        <v>1980</v>
      </c>
      <c r="B751" s="6">
        <v>10244</v>
      </c>
      <c r="C751" s="6" t="s">
        <v>1981</v>
      </c>
      <c r="D751" s="7" t="s">
        <v>1982</v>
      </c>
      <c r="E751" s="6" t="s">
        <v>1687</v>
      </c>
      <c r="F751" s="6" t="s">
        <v>1774</v>
      </c>
      <c r="G751" s="8">
        <v>45974</v>
      </c>
      <c r="H751" s="6">
        <v>19.41</v>
      </c>
      <c r="I751" s="6" cm="1">
        <f t="array" ref="I751">IFERROR(VALUE(TRIM(LEFT(E751,MIN(FIND({" ";"g";"k";"m";"o"},E751&amp;" gkmo"))-1))),0)</f>
        <v>85</v>
      </c>
      <c r="J751" s="6" t="str" cm="1">
        <f t="array" ref="J751">IFERROR(TRIM(MID(E751,MIN(FIND({" ";"g";"k";"m";"o"},E751&amp;" gkmo")),10)),"unknown")</f>
        <v>g</v>
      </c>
      <c r="K751" s="6" t="str">
        <f t="shared" si="44"/>
        <v>g</v>
      </c>
      <c r="L751" s="6" t="str">
        <f t="shared" si="45"/>
        <v>Popworks</v>
      </c>
      <c r="M751" s="6" t="str">
        <f t="shared" si="46"/>
        <v>Sweet &amp; Salty Popped Crisps</v>
      </c>
      <c r="N751" s="6" t="str">
        <f t="shared" si="47"/>
        <v>Ireland,United Kingdom</v>
      </c>
    </row>
    <row r="752" spans="1:14" x14ac:dyDescent="0.25">
      <c r="A752" s="6" t="s">
        <v>1983</v>
      </c>
      <c r="B752" s="6">
        <v>10746</v>
      </c>
      <c r="C752" s="6" t="s">
        <v>1984</v>
      </c>
      <c r="D752" s="7" t="s">
        <v>1985</v>
      </c>
      <c r="E752" s="6" t="s">
        <v>64</v>
      </c>
      <c r="F752" s="6" t="s">
        <v>1986</v>
      </c>
      <c r="G752" s="8">
        <v>45839</v>
      </c>
      <c r="H752" s="6">
        <v>6.39</v>
      </c>
      <c r="I752" s="6" cm="1">
        <f t="array" ref="I752">IFERROR(VALUE(TRIM(LEFT(E752,MIN(FIND({" ";"g";"k";"m";"o"},E752&amp;" gkmo"))-1))),0)</f>
        <v>150</v>
      </c>
      <c r="J752" s="6" t="str" cm="1">
        <f t="array" ref="J752">IFERROR(TRIM(MID(E752,MIN(FIND({" ";"g";"k";"m";"o"},E752&amp;" gkmo")),10)),"unknown")</f>
        <v>g</v>
      </c>
      <c r="K752" s="6" t="str">
        <f t="shared" si="44"/>
        <v>g</v>
      </c>
      <c r="L752" s="6" t="str">
        <f t="shared" si="45"/>
        <v>Funny-Frisch</v>
      </c>
      <c r="M752" s="6" t="str">
        <f t="shared" si="46"/>
        <v>Chipsfrisch Ungarisch</v>
      </c>
      <c r="N752" s="6" t="str">
        <f t="shared" si="47"/>
        <v>Deutschland</v>
      </c>
    </row>
    <row r="753" spans="1:14" x14ac:dyDescent="0.25">
      <c r="A753" s="6" t="s">
        <v>1987</v>
      </c>
      <c r="B753" s="6">
        <v>11246</v>
      </c>
      <c r="C753" s="6" t="s">
        <v>7017</v>
      </c>
      <c r="D753" s="7" t="s">
        <v>7017</v>
      </c>
      <c r="E753" s="6"/>
      <c r="F753" s="6" t="s">
        <v>48</v>
      </c>
      <c r="G753" s="8">
        <v>45428</v>
      </c>
      <c r="H753" s="6">
        <v>13.16</v>
      </c>
      <c r="I753" s="6" cm="1">
        <f t="array" ref="I753">IFERROR(VALUE(TRIM(LEFT(E753,MIN(FIND({" ";"g";"k";"m";"o"},E753&amp;" gkmo"))-1))),0)</f>
        <v>0</v>
      </c>
      <c r="J753" s="6" t="str" cm="1">
        <f t="array" ref="J753">IFERROR(TRIM(MID(E753,MIN(FIND({" ";"g";"k";"m";"o"},E753&amp;" gkmo")),10)),"unknown")</f>
        <v/>
      </c>
      <c r="K753" s="6" t="str">
        <f t="shared" si="44"/>
        <v>unknown</v>
      </c>
      <c r="L753" s="6" t="str">
        <f t="shared" si="45"/>
        <v>Unknown</v>
      </c>
      <c r="M753" s="6" t="str">
        <f t="shared" si="46"/>
        <v>Unknown</v>
      </c>
      <c r="N753" s="6" t="str">
        <f t="shared" si="47"/>
        <v>Morocco</v>
      </c>
    </row>
    <row r="754" spans="1:14" x14ac:dyDescent="0.25">
      <c r="A754" s="6" t="s">
        <v>1988</v>
      </c>
      <c r="B754" s="6">
        <v>8057</v>
      </c>
      <c r="C754" s="6" t="s">
        <v>1989</v>
      </c>
      <c r="D754" s="7" t="s">
        <v>1551</v>
      </c>
      <c r="E754" s="6" t="s">
        <v>10</v>
      </c>
      <c r="F754" s="6" t="s">
        <v>139</v>
      </c>
      <c r="G754" s="8">
        <v>45346</v>
      </c>
      <c r="H754" s="6">
        <v>16.04</v>
      </c>
      <c r="I754" s="6" cm="1">
        <f t="array" ref="I754">IFERROR(VALUE(TRIM(LEFT(E754,MIN(FIND({" ";"g";"k";"m";"o"},E754&amp;" gkmo"))-1))),0)</f>
        <v>100</v>
      </c>
      <c r="J754" s="6" t="str" cm="1">
        <f t="array" ref="J754">IFERROR(TRIM(MID(E754,MIN(FIND({" ";"g";"k";"m";"o"},E754&amp;" gkmo")),10)),"unknown")</f>
        <v>g</v>
      </c>
      <c r="K754" s="6" t="str">
        <f t="shared" si="44"/>
        <v>g</v>
      </c>
      <c r="L754" s="6" t="str">
        <f t="shared" si="45"/>
        <v>Biocoop</v>
      </c>
      <c r="M754" s="6" t="str">
        <f t="shared" si="46"/>
        <v>Noir 85%</v>
      </c>
      <c r="N754" s="6" t="str">
        <f t="shared" si="47"/>
        <v>France</v>
      </c>
    </row>
    <row r="755" spans="1:14" x14ac:dyDescent="0.25">
      <c r="A755" s="6" t="s">
        <v>1990</v>
      </c>
      <c r="B755" s="6">
        <v>6370</v>
      </c>
      <c r="C755" s="6" t="s">
        <v>1991</v>
      </c>
      <c r="D755" s="7" t="s">
        <v>7017</v>
      </c>
      <c r="E755" s="6" t="s">
        <v>151</v>
      </c>
      <c r="F755" s="6" t="s">
        <v>139</v>
      </c>
      <c r="G755" s="8">
        <v>45343</v>
      </c>
      <c r="H755" s="6">
        <v>22.75</v>
      </c>
      <c r="I755" s="6" cm="1">
        <f t="array" ref="I755">IFERROR(VALUE(TRIM(LEFT(E755,MIN(FIND({" ";"g";"k";"m";"o"},E755&amp;" gkmo"))-1))),0)</f>
        <v>200</v>
      </c>
      <c r="J755" s="6" t="str" cm="1">
        <f t="array" ref="J755">IFERROR(TRIM(MID(E755,MIN(FIND({" ";"g";"k";"m";"o"},E755&amp;" gkmo")),10)),"unknown")</f>
        <v>g</v>
      </c>
      <c r="K755" s="6" t="str">
        <f t="shared" si="44"/>
        <v>g</v>
      </c>
      <c r="L755" s="6" t="str">
        <f t="shared" si="45"/>
        <v>Unknown</v>
      </c>
      <c r="M755" s="6" t="str">
        <f t="shared" si="46"/>
        <v>Matin Chocolat</v>
      </c>
      <c r="N755" s="6" t="str">
        <f t="shared" si="47"/>
        <v>France</v>
      </c>
    </row>
    <row r="756" spans="1:14" x14ac:dyDescent="0.25">
      <c r="A756" s="6" t="s">
        <v>1992</v>
      </c>
      <c r="B756" s="6">
        <v>6367</v>
      </c>
      <c r="C756" s="6" t="s">
        <v>1993</v>
      </c>
      <c r="D756" s="7" t="s">
        <v>1994</v>
      </c>
      <c r="E756" s="6" t="s">
        <v>1995</v>
      </c>
      <c r="F756" s="6" t="s">
        <v>1128</v>
      </c>
      <c r="G756" s="8">
        <v>45757</v>
      </c>
      <c r="H756" s="6">
        <v>18.36</v>
      </c>
      <c r="I756" s="6" cm="1">
        <f t="array" ref="I756">IFERROR(VALUE(TRIM(LEFT(E756,MIN(FIND({" ";"g";"k";"m";"o"},E756&amp;" gkmo"))-1))),0)</f>
        <v>200</v>
      </c>
      <c r="J756" s="6" t="str" cm="1">
        <f t="array" ref="J756">IFERROR(TRIM(MID(E756,MIN(FIND({" ";"g";"k";"m";"o"},E756&amp;" gkmo")),10)),"unknown")</f>
        <v>g (8 x 25</v>
      </c>
      <c r="K756" s="6" t="str">
        <f t="shared" si="44"/>
        <v>g</v>
      </c>
      <c r="L756" s="6" t="str">
        <f t="shared" si="45"/>
        <v>Woolworths Food</v>
      </c>
      <c r="M756" s="6" t="str">
        <f t="shared" si="46"/>
        <v>Macaroni Cheese With Bacon</v>
      </c>
      <c r="N756" s="6" t="str">
        <f t="shared" si="47"/>
        <v>Bulgaria,France,Germany</v>
      </c>
    </row>
    <row r="757" spans="1:14" x14ac:dyDescent="0.25">
      <c r="A757" s="6" t="s">
        <v>1996</v>
      </c>
      <c r="B757" s="6">
        <v>14372</v>
      </c>
      <c r="C757" s="6" t="s">
        <v>7143</v>
      </c>
      <c r="D757" s="7" t="s">
        <v>7017</v>
      </c>
      <c r="E757" s="6" t="s">
        <v>727</v>
      </c>
      <c r="F757" s="6" t="s">
        <v>557</v>
      </c>
      <c r="G757" s="8">
        <v>45400</v>
      </c>
      <c r="H757" s="6">
        <v>20.399999999999999</v>
      </c>
      <c r="I757" s="6" cm="1">
        <f t="array" ref="I757">IFERROR(VALUE(TRIM(LEFT(E757,MIN(FIND({" ";"g";"k";"m";"o"},E757&amp;" gkmo"))-1))),0)</f>
        <v>25</v>
      </c>
      <c r="J757" s="6" t="str" cm="1">
        <f t="array" ref="J757">IFERROR(TRIM(MID(E757,MIN(FIND({" ";"g";"k";"m";"o"},E757&amp;" gkmo")),10)),"unknown")</f>
        <v>g</v>
      </c>
      <c r="K757" s="6" t="str">
        <f t="shared" si="44"/>
        <v>g</v>
      </c>
      <c r="L757" s="6" t="str">
        <f t="shared" si="45"/>
        <v>Unknown</v>
      </c>
      <c r="M757" s="6" t="str">
        <f t="shared" si="46"/>
        <v>Véritable Petit Beurreðÿ§ˆ</v>
      </c>
      <c r="N757" s="6" t="str">
        <f t="shared" si="47"/>
        <v>Belgium,France,Switzerland</v>
      </c>
    </row>
    <row r="758" spans="1:14" x14ac:dyDescent="0.25">
      <c r="A758" s="6" t="s">
        <v>1997</v>
      </c>
      <c r="B758" s="6">
        <v>7478</v>
      </c>
      <c r="C758" s="6" t="s">
        <v>1998</v>
      </c>
      <c r="D758" s="7" t="s">
        <v>72</v>
      </c>
      <c r="E758" s="6" t="s">
        <v>10</v>
      </c>
      <c r="F758" s="6" t="s">
        <v>1181</v>
      </c>
      <c r="G758" s="8">
        <v>45829</v>
      </c>
      <c r="H758" s="6">
        <v>9.7200000000000006</v>
      </c>
      <c r="I758" s="6" cm="1">
        <f t="array" ref="I758">IFERROR(VALUE(TRIM(LEFT(E758,MIN(FIND({" ";"g";"k";"m";"o"},E758&amp;" gkmo"))-1))),0)</f>
        <v>100</v>
      </c>
      <c r="J758" s="6" t="str" cm="1">
        <f t="array" ref="J758">IFERROR(TRIM(MID(E758,MIN(FIND({" ";"g";"k";"m";"o"},E758&amp;" gkmo")),10)),"unknown")</f>
        <v>g</v>
      </c>
      <c r="K758" s="6" t="str">
        <f t="shared" si="44"/>
        <v>g</v>
      </c>
      <c r="L758" s="6" t="str">
        <f t="shared" si="45"/>
        <v>Bjorg</v>
      </c>
      <c r="M758" s="6" t="str">
        <f t="shared" si="46"/>
        <v>Le Palmier</v>
      </c>
      <c r="N758" s="6" t="str">
        <f t="shared" si="47"/>
        <v>France,Switzerland</v>
      </c>
    </row>
    <row r="759" spans="1:14" x14ac:dyDescent="0.25">
      <c r="A759" s="6" t="s">
        <v>1999</v>
      </c>
      <c r="B759" s="6">
        <v>13831</v>
      </c>
      <c r="C759" s="6" t="s">
        <v>7649</v>
      </c>
      <c r="D759" s="7" t="s">
        <v>72</v>
      </c>
      <c r="E759" s="6" t="s">
        <v>73</v>
      </c>
      <c r="F759" s="6" t="s">
        <v>139</v>
      </c>
      <c r="G759" s="8">
        <v>45447</v>
      </c>
      <c r="H759" s="6">
        <v>23.43</v>
      </c>
      <c r="I759" s="6" cm="1">
        <f t="array" ref="I759">IFERROR(VALUE(TRIM(LEFT(E759,MIN(FIND({" ";"g";"k";"m";"o"},E759&amp;" gkmo"))-1))),0)</f>
        <v>225</v>
      </c>
      <c r="J759" s="6" t="str" cm="1">
        <f t="array" ref="J759">IFERROR(TRIM(MID(E759,MIN(FIND({" ";"g";"k";"m";"o"},E759&amp;" gkmo")),10)),"unknown")</f>
        <v>g</v>
      </c>
      <c r="K759" s="6" t="str">
        <f t="shared" si="44"/>
        <v>g</v>
      </c>
      <c r="L759" s="6" t="str">
        <f t="shared" si="45"/>
        <v>Bjorg</v>
      </c>
      <c r="M759" s="6" t="str">
        <f t="shared" si="46"/>
        <v>Fourrés Goà»T Citron</v>
      </c>
      <c r="N759" s="6" t="str">
        <f t="shared" si="47"/>
        <v>France</v>
      </c>
    </row>
    <row r="760" spans="1:14" x14ac:dyDescent="0.25">
      <c r="A760" s="6" t="s">
        <v>2000</v>
      </c>
      <c r="B760" s="6">
        <v>11640</v>
      </c>
      <c r="C760" s="6" t="s">
        <v>2001</v>
      </c>
      <c r="D760" s="7" t="s">
        <v>7017</v>
      </c>
      <c r="E760" s="6" t="s">
        <v>10</v>
      </c>
      <c r="F760" s="6" t="s">
        <v>139</v>
      </c>
      <c r="G760" s="8">
        <v>45718</v>
      </c>
      <c r="H760" s="6">
        <v>1.33</v>
      </c>
      <c r="I760" s="6" cm="1">
        <f t="array" ref="I760">IFERROR(VALUE(TRIM(LEFT(E760,MIN(FIND({" ";"g";"k";"m";"o"},E760&amp;" gkmo"))-1))),0)</f>
        <v>100</v>
      </c>
      <c r="J760" s="6" t="str" cm="1">
        <f t="array" ref="J760">IFERROR(TRIM(MID(E760,MIN(FIND({" ";"g";"k";"m";"o"},E760&amp;" gkmo")),10)),"unknown")</f>
        <v>g</v>
      </c>
      <c r="K760" s="6" t="str">
        <f t="shared" si="44"/>
        <v>g</v>
      </c>
      <c r="L760" s="6" t="str">
        <f t="shared" si="45"/>
        <v>Unknown</v>
      </c>
      <c r="M760" s="6" t="str">
        <f t="shared" si="46"/>
        <v>Nicaragua Grand Cru Waslala 75%</v>
      </c>
      <c r="N760" s="6" t="str">
        <f t="shared" si="47"/>
        <v>France</v>
      </c>
    </row>
    <row r="761" spans="1:14" x14ac:dyDescent="0.25">
      <c r="A761" s="6" t="s">
        <v>2002</v>
      </c>
      <c r="B761" s="6">
        <v>9642</v>
      </c>
      <c r="C761" s="6" t="s">
        <v>2003</v>
      </c>
      <c r="D761" s="7" t="s">
        <v>525</v>
      </c>
      <c r="E761" s="6"/>
      <c r="F761" s="6" t="s">
        <v>511</v>
      </c>
      <c r="G761" s="8">
        <v>45747</v>
      </c>
      <c r="H761" s="6">
        <v>10.89</v>
      </c>
      <c r="I761" s="6" cm="1">
        <f t="array" ref="I761">IFERROR(VALUE(TRIM(LEFT(E761,MIN(FIND({" ";"g";"k";"m";"o"},E761&amp;" gkmo"))-1))),0)</f>
        <v>0</v>
      </c>
      <c r="J761" s="6" t="str" cm="1">
        <f t="array" ref="J761">IFERROR(TRIM(MID(E761,MIN(FIND({" ";"g";"k";"m";"o"},E761&amp;" gkmo")),10)),"unknown")</f>
        <v/>
      </c>
      <c r="K761" s="6" t="str">
        <f t="shared" si="44"/>
        <v>unknown</v>
      </c>
      <c r="L761" s="6" t="str">
        <f t="shared" si="45"/>
        <v>Aiguebelle</v>
      </c>
      <c r="M761" s="6" t="str">
        <f t="shared" si="46"/>
        <v>Dessert 72%</v>
      </c>
      <c r="N761" s="6" t="str">
        <f t="shared" si="47"/>
        <v>France,Morocco</v>
      </c>
    </row>
    <row r="762" spans="1:14" x14ac:dyDescent="0.25">
      <c r="A762" s="6" t="s">
        <v>2004</v>
      </c>
      <c r="B762" s="6">
        <v>6005</v>
      </c>
      <c r="C762" s="6" t="s">
        <v>7650</v>
      </c>
      <c r="D762" s="7" t="s">
        <v>525</v>
      </c>
      <c r="E762" s="6"/>
      <c r="F762" s="6" t="s">
        <v>7919</v>
      </c>
      <c r="G762" s="8">
        <v>45480</v>
      </c>
      <c r="H762" s="6">
        <v>12.5</v>
      </c>
      <c r="I762" s="6" cm="1">
        <f t="array" ref="I762">IFERROR(VALUE(TRIM(LEFT(E762,MIN(FIND({" ";"g";"k";"m";"o"},E762&amp;" gkmo"))-1))),0)</f>
        <v>0</v>
      </c>
      <c r="J762" s="6" t="str" cm="1">
        <f t="array" ref="J762">IFERROR(TRIM(MID(E762,MIN(FIND({" ";"g";"k";"m";"o"},E762&amp;" gkmo")),10)),"unknown")</f>
        <v/>
      </c>
      <c r="K762" s="6" t="str">
        <f t="shared" si="44"/>
        <v>unknown</v>
      </c>
      <c r="L762" s="6" t="str">
        <f t="shared" si="45"/>
        <v>Aiguebelle</v>
      </c>
      <c r="M762" s="6" t="str">
        <f t="shared" si="46"/>
        <v>Tentation Croque Lait Aux Noisettes Supràªmes</v>
      </c>
      <c r="N762" s="6" t="str">
        <f t="shared" si="47"/>
        <v>France, Morocco</v>
      </c>
    </row>
    <row r="763" spans="1:14" x14ac:dyDescent="0.25">
      <c r="A763" s="6" t="s">
        <v>2005</v>
      </c>
      <c r="B763" s="6">
        <v>7701</v>
      </c>
      <c r="C763" s="6" t="s">
        <v>7651</v>
      </c>
      <c r="D763" s="7" t="s">
        <v>452</v>
      </c>
      <c r="E763" s="6" t="s">
        <v>2006</v>
      </c>
      <c r="F763" s="6" t="s">
        <v>7652</v>
      </c>
      <c r="G763" s="8">
        <v>45775</v>
      </c>
      <c r="H763" s="6">
        <v>19.89</v>
      </c>
      <c r="I763" s="6" cm="1">
        <f t="array" ref="I763">IFERROR(VALUE(TRIM(LEFT(E763,MIN(FIND({" ";"g";"k";"m";"o"},E763&amp;" gkmo"))-1))),0)</f>
        <v>250</v>
      </c>
      <c r="J763" s="6" t="str" cm="1">
        <f t="array" ref="J763">IFERROR(TRIM(MID(E763,MIN(FIND({" ";"g";"k";"m";"o"},E763&amp;" gkmo")),10)),"unknown")</f>
        <v>gramos</v>
      </c>
      <c r="K763" s="6" t="str">
        <f t="shared" si="44"/>
        <v>g</v>
      </c>
      <c r="L763" s="6" t="str">
        <f t="shared" si="45"/>
        <v>Hacendado</v>
      </c>
      <c r="M763" s="6" t="str">
        <f t="shared" si="46"/>
        <v>Regaà‘A</v>
      </c>
      <c r="N763" s="6" t="str">
        <f t="shared" si="47"/>
        <v>Rumania,Espaà±A</v>
      </c>
    </row>
    <row r="764" spans="1:14" x14ac:dyDescent="0.25">
      <c r="A764" s="6" t="s">
        <v>2007</v>
      </c>
      <c r="B764" s="6">
        <v>9185</v>
      </c>
      <c r="C764" s="6" t="s">
        <v>2008</v>
      </c>
      <c r="D764" s="7" t="s">
        <v>7578</v>
      </c>
      <c r="E764" s="6"/>
      <c r="F764" s="6" t="s">
        <v>511</v>
      </c>
      <c r="G764" s="8">
        <v>45502</v>
      </c>
      <c r="H764" s="6">
        <v>11.36</v>
      </c>
      <c r="I764" s="6" cm="1">
        <f t="array" ref="I764">IFERROR(VALUE(TRIM(LEFT(E764,MIN(FIND({" ";"g";"k";"m";"o"},E764&amp;" gkmo"))-1))),0)</f>
        <v>0</v>
      </c>
      <c r="J764" s="6" t="str" cm="1">
        <f t="array" ref="J764">IFERROR(TRIM(MID(E764,MIN(FIND({" ";"g";"k";"m";"o"},E764&amp;" gkmo")),10)),"unknown")</f>
        <v/>
      </c>
      <c r="K764" s="6" t="str">
        <f t="shared" si="44"/>
        <v>unknown</v>
      </c>
      <c r="L764" s="6" t="str">
        <f t="shared" si="45"/>
        <v>Gullà³N</v>
      </c>
      <c r="M764" s="6" t="str">
        <f t="shared" si="46"/>
        <v>Galleta Dorada</v>
      </c>
      <c r="N764" s="6" t="str">
        <f t="shared" si="47"/>
        <v>France,Morocco</v>
      </c>
    </row>
    <row r="765" spans="1:14" x14ac:dyDescent="0.25">
      <c r="A765" s="6" t="s">
        <v>2009</v>
      </c>
      <c r="B765" s="6">
        <v>7594</v>
      </c>
      <c r="C765" s="6" t="s">
        <v>2010</v>
      </c>
      <c r="D765" s="7" t="s">
        <v>2011</v>
      </c>
      <c r="E765" s="6"/>
      <c r="F765" s="6" t="s">
        <v>177</v>
      </c>
      <c r="G765" s="8">
        <v>45555</v>
      </c>
      <c r="H765" s="6">
        <v>19.559999999999999</v>
      </c>
      <c r="I765" s="6" cm="1">
        <f t="array" ref="I765">IFERROR(VALUE(TRIM(LEFT(E765,MIN(FIND({" ";"g";"k";"m";"o"},E765&amp;" gkmo"))-1))),0)</f>
        <v>0</v>
      </c>
      <c r="J765" s="6" t="str" cm="1">
        <f t="array" ref="J765">IFERROR(TRIM(MID(E765,MIN(FIND({" ";"g";"k";"m";"o"},E765&amp;" gkmo")),10)),"unknown")</f>
        <v/>
      </c>
      <c r="K765" s="6" t="str">
        <f t="shared" si="44"/>
        <v>unknown</v>
      </c>
      <c r="L765" s="6" t="str">
        <f t="shared" si="45"/>
        <v>Stockwell &amp; Co.</v>
      </c>
      <c r="M765" s="6" t="str">
        <f t="shared" si="46"/>
        <v>Tortilla Chips</v>
      </c>
      <c r="N765" s="6" t="str">
        <f t="shared" si="47"/>
        <v>United Kingdom</v>
      </c>
    </row>
    <row r="766" spans="1:14" x14ac:dyDescent="0.25">
      <c r="A766" s="6" t="s">
        <v>2012</v>
      </c>
      <c r="B766" s="6">
        <v>11836</v>
      </c>
      <c r="C766" s="6" t="s">
        <v>2013</v>
      </c>
      <c r="D766" s="7" t="s">
        <v>334</v>
      </c>
      <c r="E766" s="6" t="s">
        <v>423</v>
      </c>
      <c r="F766" s="6" t="s">
        <v>177</v>
      </c>
      <c r="G766" s="8">
        <v>45713</v>
      </c>
      <c r="H766" s="6">
        <v>20.12</v>
      </c>
      <c r="I766" s="6" cm="1">
        <f t="array" ref="I766">IFERROR(VALUE(TRIM(LEFT(E766,MIN(FIND({" ";"g";"k";"m";"o"},E766&amp;" gkmo"))-1))),0)</f>
        <v>125</v>
      </c>
      <c r="J766" s="6" t="str" cm="1">
        <f t="array" ref="J766">IFERROR(TRIM(MID(E766,MIN(FIND({" ";"g";"k";"m";"o"},E766&amp;" gkmo")),10)),"unknown")</f>
        <v>g</v>
      </c>
      <c r="K766" s="6" t="str">
        <f t="shared" si="44"/>
        <v>g</v>
      </c>
      <c r="L766" s="6" t="str">
        <f t="shared" si="45"/>
        <v>Ryvita</v>
      </c>
      <c r="M766" s="6" t="str">
        <f t="shared" si="46"/>
        <v>Wholegrain Ryvita Crackerbread</v>
      </c>
      <c r="N766" s="6" t="str">
        <f t="shared" si="47"/>
        <v>United Kingdom</v>
      </c>
    </row>
    <row r="767" spans="1:14" x14ac:dyDescent="0.25">
      <c r="A767" s="6" t="s">
        <v>2014</v>
      </c>
      <c r="B767" s="6">
        <v>14075</v>
      </c>
      <c r="C767" s="6" t="s">
        <v>7144</v>
      </c>
      <c r="D767" s="7" t="s">
        <v>7017</v>
      </c>
      <c r="E767" s="6" t="s">
        <v>470</v>
      </c>
      <c r="F767" s="6" t="s">
        <v>139</v>
      </c>
      <c r="G767" s="8">
        <v>45702</v>
      </c>
      <c r="H767" s="6">
        <v>17.98</v>
      </c>
      <c r="I767" s="6" cm="1">
        <f t="array" ref="I767">IFERROR(VALUE(TRIM(LEFT(E767,MIN(FIND({" ";"g";"k";"m";"o"},E767&amp;" gkmo"))-1))),0)</f>
        <v>132</v>
      </c>
      <c r="J767" s="6" t="str" cm="1">
        <f t="array" ref="J767">IFERROR(TRIM(MID(E767,MIN(FIND({" ";"g";"k";"m";"o"},E767&amp;" gkmo")),10)),"unknown")</f>
        <v>g</v>
      </c>
      <c r="K767" s="6" t="str">
        <f t="shared" si="44"/>
        <v>g</v>
      </c>
      <c r="L767" s="6" t="str">
        <f t="shared" si="45"/>
        <v>Unknown</v>
      </c>
      <c r="M767" s="6" t="str">
        <f t="shared" si="46"/>
        <v>Sablés Pavot Coco</v>
      </c>
      <c r="N767" s="6" t="str">
        <f t="shared" si="47"/>
        <v>France</v>
      </c>
    </row>
    <row r="768" spans="1:14" x14ac:dyDescent="0.25">
      <c r="A768" s="6" t="s">
        <v>2015</v>
      </c>
      <c r="B768" s="6">
        <v>11096</v>
      </c>
      <c r="C768" s="6" t="s">
        <v>7653</v>
      </c>
      <c r="D768" s="7" t="s">
        <v>2016</v>
      </c>
      <c r="E768" s="6" t="s">
        <v>64</v>
      </c>
      <c r="F768" s="6" t="s">
        <v>7599</v>
      </c>
      <c r="G768" s="8">
        <v>45886</v>
      </c>
      <c r="H768" s="6">
        <v>17.7</v>
      </c>
      <c r="I768" s="6" cm="1">
        <f t="array" ref="I768">IFERROR(VALUE(TRIM(LEFT(E768,MIN(FIND({" ";"g";"k";"m";"o"},E768&amp;" gkmo"))-1))),0)</f>
        <v>150</v>
      </c>
      <c r="J768" s="6" t="str" cm="1">
        <f t="array" ref="J768">IFERROR(TRIM(MID(E768,MIN(FIND({" ";"g";"k";"m";"o"},E768&amp;" gkmo")),10)),"unknown")</f>
        <v>g</v>
      </c>
      <c r="K768" s="6" t="str">
        <f t="shared" si="44"/>
        <v>g</v>
      </c>
      <c r="L768" s="6" t="str">
        <f t="shared" si="45"/>
        <v>Anturios</v>
      </c>
      <c r="M768" s="6" t="str">
        <f t="shared" si="46"/>
        <v>Choco Tablet Zero Sin Azàºcares</v>
      </c>
      <c r="N768" s="6" t="str">
        <f t="shared" si="47"/>
        <v>Marruecos,Espaà±A</v>
      </c>
    </row>
    <row r="769" spans="1:14" x14ac:dyDescent="0.25">
      <c r="A769" s="6" t="s">
        <v>2017</v>
      </c>
      <c r="B769" s="6">
        <v>5450</v>
      </c>
      <c r="C769" s="6" t="s">
        <v>2018</v>
      </c>
      <c r="D769" s="7" t="s">
        <v>7145</v>
      </c>
      <c r="E769" s="6" t="s">
        <v>10</v>
      </c>
      <c r="F769" s="6" t="s">
        <v>8319</v>
      </c>
      <c r="G769" s="8">
        <v>45945</v>
      </c>
      <c r="H769" s="6">
        <v>21.94</v>
      </c>
      <c r="I769" s="6" cm="1">
        <f t="array" ref="I769">IFERROR(VALUE(TRIM(LEFT(E769,MIN(FIND({" ";"g";"k";"m";"o"},E769&amp;" gkmo"))-1))),0)</f>
        <v>100</v>
      </c>
      <c r="J769" s="6" t="str" cm="1">
        <f t="array" ref="J769">IFERROR(TRIM(MID(E769,MIN(FIND({" ";"g";"k";"m";"o"},E769&amp;" gkmo")),10)),"unknown")</f>
        <v>g</v>
      </c>
      <c r="K769" s="6" t="str">
        <f t="shared" si="44"/>
        <v>g</v>
      </c>
      <c r="L769" s="6" t="str">
        <f t="shared" si="45"/>
        <v>Fin Carré,Lidl</v>
      </c>
      <c r="M769" s="6" t="str">
        <f t="shared" si="46"/>
        <v>Extra Dark 85% Cocoa</v>
      </c>
      <c r="N769" s="6" t="str">
        <f t="shared" si="47"/>
        <v>Belgium,Espaà±A</v>
      </c>
    </row>
    <row r="770" spans="1:14" x14ac:dyDescent="0.25">
      <c r="A770" s="6" t="s">
        <v>2019</v>
      </c>
      <c r="B770" s="6">
        <v>6676</v>
      </c>
      <c r="C770" s="6" t="s">
        <v>2020</v>
      </c>
      <c r="D770" s="7" t="s">
        <v>630</v>
      </c>
      <c r="E770" s="6" t="s">
        <v>123</v>
      </c>
      <c r="F770" s="6" t="s">
        <v>860</v>
      </c>
      <c r="G770" s="8">
        <v>45358</v>
      </c>
      <c r="H770" s="6">
        <v>1.21</v>
      </c>
      <c r="I770" s="6" cm="1">
        <f t="array" ref="I770">IFERROR(VALUE(TRIM(LEFT(E770,MIN(FIND({" ";"g";"k";"m";"o"},E770&amp;" gkmo"))-1))),0)</f>
        <v>50</v>
      </c>
      <c r="J770" s="6" t="str" cm="1">
        <f t="array" ref="J770">IFERROR(TRIM(MID(E770,MIN(FIND({" ";"g";"k";"m";"o"},E770&amp;" gkmo")),10)),"unknown")</f>
        <v>g</v>
      </c>
      <c r="K770" s="6" t="str">
        <f t="shared" si="44"/>
        <v>g</v>
      </c>
      <c r="L770" s="6" t="str">
        <f t="shared" si="45"/>
        <v>Be</v>
      </c>
      <c r="M770" s="6" t="str">
        <f t="shared" si="46"/>
        <v>Donut</v>
      </c>
      <c r="N770" s="6" t="str">
        <f t="shared" si="47"/>
        <v>Ma</v>
      </c>
    </row>
    <row r="771" spans="1:14" x14ac:dyDescent="0.25">
      <c r="A771" s="6" t="s">
        <v>2021</v>
      </c>
      <c r="B771" s="6">
        <v>5746</v>
      </c>
      <c r="C771" s="6" t="s">
        <v>1166</v>
      </c>
      <c r="D771" s="7" t="s">
        <v>7654</v>
      </c>
      <c r="E771" s="6" t="s">
        <v>151</v>
      </c>
      <c r="F771" s="6" t="s">
        <v>139</v>
      </c>
      <c r="G771" s="8">
        <v>45677</v>
      </c>
      <c r="H771" s="6">
        <v>13.16</v>
      </c>
      <c r="I771" s="6" cm="1">
        <f t="array" ref="I771">IFERROR(VALUE(TRIM(LEFT(E771,MIN(FIND({" ";"g";"k";"m";"o"},E771&amp;" gkmo"))-1))),0)</f>
        <v>200</v>
      </c>
      <c r="J771" s="6" t="str" cm="1">
        <f t="array" ref="J771">IFERROR(TRIM(MID(E771,MIN(FIND({" ";"g";"k";"m";"o"},E771&amp;" gkmo")),10)),"unknown")</f>
        <v>g</v>
      </c>
      <c r="K771" s="6" t="str">
        <f t="shared" ref="K771:K834" si="48">IF(E771="","unknown",IF(OR(J771="g",LEFT(J771,1)="g"),"g",IF(OR(LEFT(J771,2)="kg",LEFT(J771,2)="ki"),"kg",IF(OR(LEFT(J771,2)="ml",LEFT(J771,1)="m"),"ml",IF(LEFT(J771,1)="l","l",IF(ISNUMBER(SEARCH("g",E771)),"g",IF(ISNUMBER(SEARCH("kg",E771)),"kg",IF(ISNUMBER(SEARCH("ml",E771)),"ml","unknown"))))))))</f>
        <v>g</v>
      </c>
      <c r="L771" s="6" t="str">
        <f t="shared" ref="L771:L834" si="49">IF(D771="","Unknown",PROPER(TRIM(D771)))</f>
        <v>Maà®Tre Jean Pierre</v>
      </c>
      <c r="M771" s="6" t="str">
        <f t="shared" ref="M771:M834" si="50">IF(C771="Unknown","Unknown",PROPER(TRIM(C771)))</f>
        <v>Bio Crackers</v>
      </c>
      <c r="N771" s="6" t="str">
        <f t="shared" ref="N771:N834" si="51">IF(F771="","Unknown",PROPER(TRIM(F771)))</f>
        <v>France</v>
      </c>
    </row>
    <row r="772" spans="1:14" x14ac:dyDescent="0.25">
      <c r="A772" s="6" t="s">
        <v>2022</v>
      </c>
      <c r="B772" s="6">
        <v>6956</v>
      </c>
      <c r="C772" s="6" t="s">
        <v>2023</v>
      </c>
      <c r="D772" s="7" t="s">
        <v>630</v>
      </c>
      <c r="E772" s="6" t="s">
        <v>276</v>
      </c>
      <c r="F772" s="6" t="s">
        <v>48</v>
      </c>
      <c r="G772" s="8">
        <v>45390</v>
      </c>
      <c r="H772" s="6">
        <v>20.37</v>
      </c>
      <c r="I772" s="6" cm="1">
        <f t="array" ref="I772">IFERROR(VALUE(TRIM(LEFT(E772,MIN(FIND({" ";"g";"k";"m";"o"},E772&amp;" gkmo"))-1))),0)</f>
        <v>40</v>
      </c>
      <c r="J772" s="6" t="str" cm="1">
        <f t="array" ref="J772">IFERROR(TRIM(MID(E772,MIN(FIND({" ";"g";"k";"m";"o"},E772&amp;" gkmo")),10)),"unknown")</f>
        <v>g</v>
      </c>
      <c r="K772" s="6" t="str">
        <f t="shared" si="48"/>
        <v>g</v>
      </c>
      <c r="L772" s="6" t="str">
        <f t="shared" si="49"/>
        <v>Be</v>
      </c>
      <c r="M772" s="6" t="str">
        <f t="shared" si="50"/>
        <v>Melty - Be</v>
      </c>
      <c r="N772" s="6" t="str">
        <f t="shared" si="51"/>
        <v>Morocco</v>
      </c>
    </row>
    <row r="773" spans="1:14" x14ac:dyDescent="0.25">
      <c r="A773" s="6" t="s">
        <v>2024</v>
      </c>
      <c r="B773" s="6">
        <v>11980</v>
      </c>
      <c r="C773" s="6">
        <v>6111259345782</v>
      </c>
      <c r="D773" s="7" t="s">
        <v>7017</v>
      </c>
      <c r="E773" s="6"/>
      <c r="F773" s="6" t="s">
        <v>48</v>
      </c>
      <c r="G773" s="8">
        <v>45345</v>
      </c>
      <c r="H773" s="6">
        <v>21.29</v>
      </c>
      <c r="I773" s="6" cm="1">
        <f t="array" ref="I773">IFERROR(VALUE(TRIM(LEFT(E773,MIN(FIND({" ";"g";"k";"m";"o"},E773&amp;" gkmo"))-1))),0)</f>
        <v>0</v>
      </c>
      <c r="J773" s="6" t="str" cm="1">
        <f t="array" ref="J773">IFERROR(TRIM(MID(E773,MIN(FIND({" ";"g";"k";"m";"o"},E773&amp;" gkmo")),10)),"unknown")</f>
        <v/>
      </c>
      <c r="K773" s="6" t="str">
        <f t="shared" si="48"/>
        <v>unknown</v>
      </c>
      <c r="L773" s="6" t="str">
        <f t="shared" si="49"/>
        <v>Unknown</v>
      </c>
      <c r="M773" s="6" t="str">
        <f t="shared" si="50"/>
        <v>6111259345782</v>
      </c>
      <c r="N773" s="6" t="str">
        <f t="shared" si="51"/>
        <v>Morocco</v>
      </c>
    </row>
    <row r="774" spans="1:14" x14ac:dyDescent="0.25">
      <c r="A774" s="6" t="s">
        <v>2025</v>
      </c>
      <c r="B774" s="6">
        <v>9555</v>
      </c>
      <c r="C774" s="6" t="s">
        <v>7655</v>
      </c>
      <c r="D774" s="7" t="s">
        <v>7578</v>
      </c>
      <c r="E774" s="6" t="s">
        <v>138</v>
      </c>
      <c r="F774" s="6" t="s">
        <v>7595</v>
      </c>
      <c r="G774" s="8">
        <v>45477</v>
      </c>
      <c r="H774" s="6">
        <v>1</v>
      </c>
      <c r="I774" s="6" cm="1">
        <f t="array" ref="I774">IFERROR(VALUE(TRIM(LEFT(E774,MIN(FIND({" ";"g";"k";"m";"o"},E774&amp;" gkmo"))-1))),0)</f>
        <v>400</v>
      </c>
      <c r="J774" s="6" t="str" cm="1">
        <f t="array" ref="J774">IFERROR(TRIM(MID(E774,MIN(FIND({" ";"g";"k";"m";"o"},E774&amp;" gkmo")),10)),"unknown")</f>
        <v>g</v>
      </c>
      <c r="K774" s="6" t="str">
        <f t="shared" si="48"/>
        <v>g</v>
      </c>
      <c r="L774" s="6" t="str">
        <f t="shared" si="49"/>
        <v>Gullà³N</v>
      </c>
      <c r="M774" s="6" t="str">
        <f t="shared" si="50"/>
        <v>Digestive Sin Azàºcares</v>
      </c>
      <c r="N774" s="6" t="str">
        <f t="shared" si="51"/>
        <v>Espaà±A</v>
      </c>
    </row>
    <row r="775" spans="1:14" x14ac:dyDescent="0.25">
      <c r="A775" s="6" t="s">
        <v>2026</v>
      </c>
      <c r="B775" s="6">
        <v>8993</v>
      </c>
      <c r="C775" s="6" t="s">
        <v>7534</v>
      </c>
      <c r="D775" s="7" t="s">
        <v>2027</v>
      </c>
      <c r="E775" s="6" t="s">
        <v>28</v>
      </c>
      <c r="F775" s="6" t="s">
        <v>2028</v>
      </c>
      <c r="G775" s="8">
        <v>45524</v>
      </c>
      <c r="H775" s="6">
        <v>4.58</v>
      </c>
      <c r="I775" s="6" cm="1">
        <f t="array" ref="I775">IFERROR(VALUE(TRIM(LEFT(E775,MIN(FIND({" ";"g";"k";"m";"o"},E775&amp;" gkmo"))-1))),0)</f>
        <v>125</v>
      </c>
      <c r="J775" s="6" t="str" cm="1">
        <f t="array" ref="J775">IFERROR(TRIM(MID(E775,MIN(FIND({" ";"g";"k";"m";"o"},E775&amp;" gkmo")),10)),"unknown")</f>
        <v>g</v>
      </c>
      <c r="K775" s="6" t="str">
        <f t="shared" si="48"/>
        <v>g</v>
      </c>
      <c r="L775" s="6" t="str">
        <f t="shared" si="49"/>
        <v>Lidl Jd Gross</v>
      </c>
      <c r="M775" s="6" t="str">
        <f t="shared" si="50"/>
        <v>Chocolat Noir Amande Et Écorces D'Orange</v>
      </c>
      <c r="N775" s="6" t="str">
        <f t="shared" si="51"/>
        <v>France,Netherlands,United Kingdom</v>
      </c>
    </row>
    <row r="776" spans="1:14" x14ac:dyDescent="0.25">
      <c r="A776" s="6" t="s">
        <v>2029</v>
      </c>
      <c r="B776" s="6">
        <v>14765</v>
      </c>
      <c r="C776" s="6" t="s">
        <v>2030</v>
      </c>
      <c r="D776" s="7" t="s">
        <v>2031</v>
      </c>
      <c r="E776" s="6" t="s">
        <v>2032</v>
      </c>
      <c r="F776" s="6" t="s">
        <v>139</v>
      </c>
      <c r="G776" s="8">
        <v>45442</v>
      </c>
      <c r="H776" s="6">
        <v>21.72</v>
      </c>
      <c r="I776" s="6" cm="1">
        <f t="array" ref="I776">IFERROR(VALUE(TRIM(LEFT(E776,MIN(FIND({" ";"g";"k";"m";"o"},E776&amp;" gkmo"))-1))),0)</f>
        <v>146</v>
      </c>
      <c r="J776" s="6" t="str" cm="1">
        <f t="array" ref="J776">IFERROR(TRIM(MID(E776,MIN(FIND({" ";"g";"k";"m";"o"},E776&amp;" gkmo")),10)),"unknown")</f>
        <v>g â„®</v>
      </c>
      <c r="K776" s="6" t="str">
        <f t="shared" si="48"/>
        <v>g</v>
      </c>
      <c r="L776" s="6" t="str">
        <f t="shared" si="49"/>
        <v>Brun, Mondelez</v>
      </c>
      <c r="M776" s="6" t="str">
        <f t="shared" si="50"/>
        <v>14 Gaufrettes Saveur Cacao</v>
      </c>
      <c r="N776" s="6" t="str">
        <f t="shared" si="51"/>
        <v>France</v>
      </c>
    </row>
    <row r="777" spans="1:14" x14ac:dyDescent="0.25">
      <c r="A777" s="6" t="s">
        <v>2033</v>
      </c>
      <c r="B777" s="6">
        <v>8230</v>
      </c>
      <c r="C777" s="6" t="s">
        <v>7146</v>
      </c>
      <c r="D777" s="7" t="s">
        <v>131</v>
      </c>
      <c r="E777" s="6" t="s">
        <v>2034</v>
      </c>
      <c r="F777" s="6" t="s">
        <v>139</v>
      </c>
      <c r="G777" s="8">
        <v>45438</v>
      </c>
      <c r="H777" s="6">
        <v>9.52</v>
      </c>
      <c r="I777" s="6" cm="1">
        <f t="array" ref="I777">IFERROR(VALUE(TRIM(LEFT(E777,MIN(FIND({" ";"g";"k";"m";"o"},E777&amp;" gkmo"))-1))),0)</f>
        <v>630</v>
      </c>
      <c r="J777" s="6" t="str" cm="1">
        <f t="array" ref="J777">IFERROR(TRIM(MID(E777,MIN(FIND({" ";"g";"k";"m";"o"},E777&amp;" gkmo")),10)),"unknown")</f>
        <v>g</v>
      </c>
      <c r="K777" s="6" t="str">
        <f t="shared" si="48"/>
        <v>g</v>
      </c>
      <c r="L777" s="6" t="str">
        <f t="shared" si="49"/>
        <v>Pasquier</v>
      </c>
      <c r="M777" s="6" t="str">
        <f t="shared" si="50"/>
        <v>Brioche Tressée Pépites De Chocolat</v>
      </c>
      <c r="N777" s="6" t="str">
        <f t="shared" si="51"/>
        <v>France</v>
      </c>
    </row>
    <row r="778" spans="1:14" x14ac:dyDescent="0.25">
      <c r="A778" s="6" t="s">
        <v>2035</v>
      </c>
      <c r="B778" s="6">
        <v>10763</v>
      </c>
      <c r="C778" s="6" t="s">
        <v>7147</v>
      </c>
      <c r="D778" s="7" t="s">
        <v>7147</v>
      </c>
      <c r="E778" s="6" t="s">
        <v>2036</v>
      </c>
      <c r="F778" s="6" t="s">
        <v>2037</v>
      </c>
      <c r="G778" s="8">
        <v>45591</v>
      </c>
      <c r="H778" s="6">
        <v>2</v>
      </c>
      <c r="I778" s="6" cm="1">
        <f t="array" ref="I778">IFERROR(VALUE(TRIM(LEFT(E778,MIN(FIND({" ";"g";"k";"m";"o"},E778&amp;" gkmo"))-1))),0)</f>
        <v>157</v>
      </c>
      <c r="J778" s="6" t="str" cm="1">
        <f t="array" ref="J778">IFERROR(TRIM(MID(E778,MIN(FIND({" ";"g";"k";"m";"o"},E778&amp;" gkmo")),10)),"unknown")</f>
        <v>g</v>
      </c>
      <c r="K778" s="6" t="str">
        <f t="shared" si="48"/>
        <v>g</v>
      </c>
      <c r="L778" s="6" t="str">
        <f t="shared" si="49"/>
        <v>Mon Chéri</v>
      </c>
      <c r="M778" s="6" t="str">
        <f t="shared" si="50"/>
        <v>Mon Chéri</v>
      </c>
      <c r="N778" s="6" t="str">
        <f t="shared" si="51"/>
        <v>Frankreich,Deutschland,Schweiz</v>
      </c>
    </row>
    <row r="779" spans="1:14" x14ac:dyDescent="0.25">
      <c r="A779" s="6" t="s">
        <v>2038</v>
      </c>
      <c r="B779" s="6">
        <v>9927</v>
      </c>
      <c r="C779" s="6" t="s">
        <v>2039</v>
      </c>
      <c r="D779" s="7" t="s">
        <v>2040</v>
      </c>
      <c r="E779" s="6" t="s">
        <v>39</v>
      </c>
      <c r="F779" s="6" t="s">
        <v>7980</v>
      </c>
      <c r="G779" s="8">
        <v>45954</v>
      </c>
      <c r="H779" s="6">
        <v>13.22</v>
      </c>
      <c r="I779" s="6" cm="1">
        <f t="array" ref="I779">IFERROR(VALUE(TRIM(LEFT(E779,MIN(FIND({" ";"g";"k";"m";"o"},E779&amp;" gkmo"))-1))),0)</f>
        <v>150</v>
      </c>
      <c r="J779" s="6" t="str" cm="1">
        <f t="array" ref="J779">IFERROR(TRIM(MID(E779,MIN(FIND({" ";"g";"k";"m";"o"},E779&amp;" gkmo")),10)),"unknown")</f>
        <v>g</v>
      </c>
      <c r="K779" s="6" t="str">
        <f t="shared" si="48"/>
        <v>g</v>
      </c>
      <c r="L779" s="6" t="str">
        <f t="shared" si="49"/>
        <v>Pipers</v>
      </c>
      <c r="M779" s="6" t="str">
        <f t="shared" si="50"/>
        <v>Anglesey Sea Salt Crisps</v>
      </c>
      <c r="N779" s="6" t="str">
        <f t="shared" si="51"/>
        <v>France, Switzerland, United-Kingdom</v>
      </c>
    </row>
    <row r="780" spans="1:14" x14ac:dyDescent="0.25">
      <c r="A780" s="6" t="s">
        <v>2041</v>
      </c>
      <c r="B780" s="6">
        <v>5254</v>
      </c>
      <c r="C780" s="6" t="s">
        <v>7471</v>
      </c>
      <c r="D780" s="7" t="s">
        <v>1084</v>
      </c>
      <c r="E780" s="6" t="s">
        <v>2042</v>
      </c>
      <c r="F780" s="6" t="s">
        <v>7991</v>
      </c>
      <c r="G780" s="8">
        <v>45504</v>
      </c>
      <c r="H780" s="6">
        <v>13.16</v>
      </c>
      <c r="I780" s="6" cm="1">
        <f t="array" ref="I780">IFERROR(VALUE(TRIM(LEFT(E780,MIN(FIND({" ";"g";"k";"m";"o"},E780&amp;" gkmo"))-1))),0)</f>
        <v>363</v>
      </c>
      <c r="J780" s="6" t="str" cm="1">
        <f t="array" ref="J780">IFERROR(TRIM(MID(E780,MIN(FIND({" ";"g";"k";"m";"o"},E780&amp;" gkmo")),10)),"unknown")</f>
        <v>g</v>
      </c>
      <c r="K780" s="6" t="str">
        <f t="shared" si="48"/>
        <v>g</v>
      </c>
      <c r="L780" s="6" t="str">
        <f t="shared" si="49"/>
        <v>Lotus</v>
      </c>
      <c r="M780" s="6" t="str">
        <f t="shared" si="50"/>
        <v>Lotus Gaufre De Liège Chocolat 363G (7X1P)</v>
      </c>
      <c r="N780" s="6" t="str">
        <f t="shared" si="51"/>
        <v>France, Algeria</v>
      </c>
    </row>
    <row r="781" spans="1:14" x14ac:dyDescent="0.25">
      <c r="A781" s="6" t="s">
        <v>2043</v>
      </c>
      <c r="B781" s="6">
        <v>6868</v>
      </c>
      <c r="C781" s="6" t="s">
        <v>2044</v>
      </c>
      <c r="D781" s="7" t="s">
        <v>525</v>
      </c>
      <c r="E781" s="6" t="s">
        <v>2045</v>
      </c>
      <c r="F781" s="6" t="s">
        <v>7919</v>
      </c>
      <c r="G781" s="8">
        <v>45811</v>
      </c>
      <c r="H781" s="6">
        <v>23.2</v>
      </c>
      <c r="I781" s="6" cm="1">
        <f t="array" ref="I781">IFERROR(VALUE(TRIM(LEFT(E781,MIN(FIND({" ";"g";"k";"m";"o"},E781&amp;" gkmo"))-1))),0)</f>
        <v>175</v>
      </c>
      <c r="J781" s="6" t="str" cm="1">
        <f t="array" ref="J781">IFERROR(TRIM(MID(E781,MIN(FIND({" ";"g";"k";"m";"o"},E781&amp;" gkmo")),10)),"unknown")</f>
        <v>g</v>
      </c>
      <c r="K781" s="6" t="str">
        <f t="shared" si="48"/>
        <v>g</v>
      </c>
      <c r="L781" s="6" t="str">
        <f t="shared" si="49"/>
        <v>Aiguebelle</v>
      </c>
      <c r="M781" s="6" t="str">
        <f t="shared" si="50"/>
        <v>Chocolat Dessert Noir 55%</v>
      </c>
      <c r="N781" s="6" t="str">
        <f t="shared" si="51"/>
        <v>France, Morocco</v>
      </c>
    </row>
    <row r="782" spans="1:14" x14ac:dyDescent="0.25">
      <c r="A782" s="6" t="s">
        <v>2046</v>
      </c>
      <c r="B782" s="6">
        <v>8981</v>
      </c>
      <c r="C782" s="6" t="s">
        <v>2047</v>
      </c>
      <c r="D782" s="7" t="s">
        <v>135</v>
      </c>
      <c r="E782" s="6" t="s">
        <v>64</v>
      </c>
      <c r="F782" s="6" t="s">
        <v>8227</v>
      </c>
      <c r="G782" s="8">
        <v>45895</v>
      </c>
      <c r="H782" s="6">
        <v>23.81</v>
      </c>
      <c r="I782" s="6" cm="1">
        <f t="array" ref="I782">IFERROR(VALUE(TRIM(LEFT(E782,MIN(FIND({" ";"g";"k";"m";"o"},E782&amp;" gkmo"))-1))),0)</f>
        <v>150</v>
      </c>
      <c r="J782" s="6" t="str" cm="1">
        <f t="array" ref="J782">IFERROR(TRIM(MID(E782,MIN(FIND({" ";"g";"k";"m";"o"},E782&amp;" gkmo")),10)),"unknown")</f>
        <v>g</v>
      </c>
      <c r="K782" s="6" t="str">
        <f t="shared" si="48"/>
        <v>g</v>
      </c>
      <c r="L782" s="6" t="str">
        <f t="shared" si="49"/>
        <v>Milka</v>
      </c>
      <c r="M782" s="6" t="str">
        <f t="shared" si="50"/>
        <v>Milka Choco Mini Stars</v>
      </c>
      <c r="N782" s="6" t="str">
        <f t="shared" si="51"/>
        <v>Bulgaria,Croacia,Estonia,France,Polonia,Repàºblica Srpska,Rumania,Eslovenia,Espaà±A</v>
      </c>
    </row>
    <row r="783" spans="1:14" x14ac:dyDescent="0.25">
      <c r="A783" s="6" t="s">
        <v>2048</v>
      </c>
      <c r="B783" s="6">
        <v>8808</v>
      </c>
      <c r="C783" s="6" t="s">
        <v>2049</v>
      </c>
      <c r="D783" s="7" t="s">
        <v>2050</v>
      </c>
      <c r="E783" s="6" t="s">
        <v>284</v>
      </c>
      <c r="F783" s="6" t="s">
        <v>8219</v>
      </c>
      <c r="G783" s="8">
        <v>45862</v>
      </c>
      <c r="H783" s="6">
        <v>16.73</v>
      </c>
      <c r="I783" s="6" cm="1">
        <f t="array" ref="I783">IFERROR(VALUE(TRIM(LEFT(E783,MIN(FIND({" ";"g";"k";"m";"o"},E783&amp;" gkmo"))-1))),0)</f>
        <v>180</v>
      </c>
      <c r="J783" s="6" t="str" cm="1">
        <f t="array" ref="J783">IFERROR(TRIM(MID(E783,MIN(FIND({" ";"g";"k";"m";"o"},E783&amp;" gkmo")),10)),"unknown")</f>
        <v>g</v>
      </c>
      <c r="K783" s="6" t="str">
        <f t="shared" si="48"/>
        <v>g</v>
      </c>
      <c r="L783" s="6" t="str">
        <f t="shared" si="49"/>
        <v>Milka,Mondelez</v>
      </c>
      <c r="M783" s="6" t="str">
        <f t="shared" si="50"/>
        <v>Choco Wafer</v>
      </c>
      <c r="N783" s="6" t="str">
        <f t="shared" si="51"/>
        <v>France,Marruecos,Espaà±A</v>
      </c>
    </row>
    <row r="784" spans="1:14" x14ac:dyDescent="0.25">
      <c r="A784" s="6" t="s">
        <v>2051</v>
      </c>
      <c r="B784" s="6">
        <v>11341</v>
      </c>
      <c r="C784" s="6" t="s">
        <v>2052</v>
      </c>
      <c r="D784" s="7" t="s">
        <v>2053</v>
      </c>
      <c r="E784" s="6" t="s">
        <v>197</v>
      </c>
      <c r="F784" s="6" t="s">
        <v>7573</v>
      </c>
      <c r="G784" s="8">
        <v>45687</v>
      </c>
      <c r="H784" s="6">
        <v>17.13</v>
      </c>
      <c r="I784" s="6" cm="1">
        <f t="array" ref="I784">IFERROR(VALUE(TRIM(LEFT(E784,MIN(FIND({" ";"g";"k";"m";"o"},E784&amp;" gkmo"))-1))),0)</f>
        <v>130</v>
      </c>
      <c r="J784" s="6" t="str" cm="1">
        <f t="array" ref="J784">IFERROR(TRIM(MID(E784,MIN(FIND({" ";"g";"k";"m";"o"},E784&amp;" gkmo")),10)),"unknown")</f>
        <v>g</v>
      </c>
      <c r="K784" s="6" t="str">
        <f t="shared" si="48"/>
        <v>g</v>
      </c>
      <c r="L784" s="6" t="str">
        <f t="shared" si="49"/>
        <v>Cheetos,Pepsico</v>
      </c>
      <c r="M784" s="6" t="str">
        <f t="shared" si="50"/>
        <v>Pelotazos</v>
      </c>
      <c r="N784" s="6" t="str">
        <f t="shared" si="51"/>
        <v>Portugal,Espaà±A</v>
      </c>
    </row>
    <row r="785" spans="1:14" x14ac:dyDescent="0.25">
      <c r="A785" s="6" t="s">
        <v>2054</v>
      </c>
      <c r="B785" s="6">
        <v>7970</v>
      </c>
      <c r="C785" s="6" t="s">
        <v>2055</v>
      </c>
      <c r="D785" s="7" t="s">
        <v>2056</v>
      </c>
      <c r="E785" s="6" t="s">
        <v>476</v>
      </c>
      <c r="F785" s="6" t="s">
        <v>7992</v>
      </c>
      <c r="G785" s="8">
        <v>45351</v>
      </c>
      <c r="H785" s="6">
        <v>14.94</v>
      </c>
      <c r="I785" s="6" cm="1">
        <f t="array" ref="I785">IFERROR(VALUE(TRIM(LEFT(E785,MIN(FIND({" ";"g";"k";"m";"o"},E785&amp;" gkmo"))-1))),0)</f>
        <v>45</v>
      </c>
      <c r="J785" s="6" t="str" cm="1">
        <f t="array" ref="J785">IFERROR(TRIM(MID(E785,MIN(FIND({" ";"g";"k";"m";"o"},E785&amp;" gkmo")),10)),"unknown")</f>
        <v>g</v>
      </c>
      <c r="K785" s="6" t="str">
        <f t="shared" si="48"/>
        <v>g</v>
      </c>
      <c r="L785" s="6" t="str">
        <f t="shared" si="49"/>
        <v>Eat Natural, Handl Norway As</v>
      </c>
      <c r="M785" s="6" t="str">
        <f t="shared" si="50"/>
        <v>Eat Natural Bar Peanut&amp;Chocolate 45G</v>
      </c>
      <c r="N785" s="6" t="str">
        <f t="shared" si="51"/>
        <v>France, Germany, Netherlands, Spain, United Kingdom, Belgium</v>
      </c>
    </row>
    <row r="786" spans="1:14" x14ac:dyDescent="0.25">
      <c r="A786" s="6" t="s">
        <v>2057</v>
      </c>
      <c r="B786" s="6">
        <v>5120</v>
      </c>
      <c r="C786" s="6" t="s">
        <v>7148</v>
      </c>
      <c r="D786" s="7" t="s">
        <v>2058</v>
      </c>
      <c r="E786" s="6" t="s">
        <v>2059</v>
      </c>
      <c r="F786" s="6" t="s">
        <v>7926</v>
      </c>
      <c r="G786" s="8">
        <v>45630</v>
      </c>
      <c r="H786" s="6">
        <v>7.79</v>
      </c>
      <c r="I786" s="6" cm="1">
        <f t="array" ref="I786">IFERROR(VALUE(TRIM(LEFT(E786,MIN(FIND({" ";"g";"k";"m";"o"},E786&amp;" gkmo"))-1))),0)</f>
        <v>48</v>
      </c>
      <c r="J786" s="6" t="str" cm="1">
        <f t="array" ref="J786">IFERROR(TRIM(MID(E786,MIN(FIND({" ";"g";"k";"m";"o"},E786&amp;" gkmo")),10)),"unknown")</f>
        <v>g</v>
      </c>
      <c r="K786" s="6" t="str">
        <f t="shared" si="48"/>
        <v>g</v>
      </c>
      <c r="L786" s="6" t="str">
        <f t="shared" si="49"/>
        <v>Kiddylicious</v>
      </c>
      <c r="M786" s="6" t="str">
        <f t="shared" si="50"/>
        <v>Kiddylicious Veggie Straws - Saveur Légumes - 48G (4X12G)</v>
      </c>
      <c r="N786" s="6" t="str">
        <f t="shared" si="51"/>
        <v>France, United-Kingdom</v>
      </c>
    </row>
    <row r="787" spans="1:14" x14ac:dyDescent="0.25">
      <c r="A787" s="6" t="s">
        <v>2060</v>
      </c>
      <c r="B787" s="6">
        <v>10960</v>
      </c>
      <c r="C787" s="6" t="s">
        <v>7656</v>
      </c>
      <c r="D787" s="7" t="s">
        <v>7578</v>
      </c>
      <c r="E787" s="6" t="s">
        <v>1020</v>
      </c>
      <c r="F787" s="6" t="s">
        <v>7993</v>
      </c>
      <c r="G787" s="8">
        <v>45661</v>
      </c>
      <c r="H787" s="6">
        <v>13.46</v>
      </c>
      <c r="I787" s="6" cm="1">
        <f t="array" ref="I787">IFERROR(VALUE(TRIM(LEFT(E787,MIN(FIND({" ";"g";"k";"m";"o"},E787&amp;" gkmo"))-1))),0)</f>
        <v>60</v>
      </c>
      <c r="J787" s="6" t="str" cm="1">
        <f t="array" ref="J787">IFERROR(TRIM(MID(E787,MIN(FIND({" ";"g";"k";"m";"o"},E787&amp;" gkmo")),10)),"unknown")</f>
        <v>g</v>
      </c>
      <c r="K787" s="6" t="str">
        <f t="shared" si="48"/>
        <v>g</v>
      </c>
      <c r="L787" s="6" t="str">
        <f t="shared" si="49"/>
        <v>Gullà³N</v>
      </c>
      <c r="M787" s="6" t="str">
        <f t="shared" si="50"/>
        <v>Barquillos Chocolate Zero Sin Azàºcares</v>
      </c>
      <c r="N787" s="6" t="str">
        <f t="shared" si="51"/>
        <v>Morocco, Romania, Spain, Bulgaria</v>
      </c>
    </row>
    <row r="788" spans="1:14" x14ac:dyDescent="0.25">
      <c r="A788" s="6" t="s">
        <v>2061</v>
      </c>
      <c r="B788" s="6">
        <v>13789</v>
      </c>
      <c r="C788" s="6" t="s">
        <v>7017</v>
      </c>
      <c r="D788" s="7" t="s">
        <v>478</v>
      </c>
      <c r="E788" s="6" t="s">
        <v>436</v>
      </c>
      <c r="F788" s="6" t="s">
        <v>8404</v>
      </c>
      <c r="G788" s="8">
        <v>46002</v>
      </c>
      <c r="H788" s="6">
        <v>13.16</v>
      </c>
      <c r="I788" s="6" cm="1">
        <f t="array" ref="I788">IFERROR(VALUE(TRIM(LEFT(E788,MIN(FIND({" ";"g";"k";"m";"o"},E788&amp;" gkmo"))-1))),0)</f>
        <v>90</v>
      </c>
      <c r="J788" s="6" t="str" cm="1">
        <f t="array" ref="J788">IFERROR(TRIM(MID(E788,MIN(FIND({" ";"g";"k";"m";"o"},E788&amp;" gkmo")),10)),"unknown")</f>
        <v>g</v>
      </c>
      <c r="K788" s="6" t="str">
        <f t="shared" si="48"/>
        <v>g</v>
      </c>
      <c r="L788" s="6" t="str">
        <f t="shared" si="49"/>
        <v>Ferrero Rocher</v>
      </c>
      <c r="M788" s="6" t="str">
        <f t="shared" si="50"/>
        <v>Unknown</v>
      </c>
      <c r="N788" s="6" t="str">
        <f t="shared" si="51"/>
        <v>Belgium,France,Germany,Italia,Japà³N,Moldavia,Paà­Ses Bajos,Portugal,Rumania,Espaà±A,United Kingdom</v>
      </c>
    </row>
    <row r="789" spans="1:14" x14ac:dyDescent="0.25">
      <c r="A789" s="6" t="s">
        <v>2062</v>
      </c>
      <c r="B789" s="6">
        <v>8760</v>
      </c>
      <c r="C789" s="6" t="s">
        <v>2063</v>
      </c>
      <c r="D789" s="7" t="s">
        <v>2064</v>
      </c>
      <c r="E789" s="6" t="s">
        <v>2065</v>
      </c>
      <c r="F789" s="6" t="s">
        <v>400</v>
      </c>
      <c r="G789" s="8">
        <v>45751</v>
      </c>
      <c r="H789" s="6">
        <v>13.16</v>
      </c>
      <c r="I789" s="6" cm="1">
        <f t="array" ref="I789">IFERROR(VALUE(TRIM(LEFT(E789,MIN(FIND({" ";"g";"k";"m";"o"},E789&amp;" gkmo"))-1))),0)</f>
        <v>30</v>
      </c>
      <c r="J789" s="6" t="str" cm="1">
        <f t="array" ref="J789">IFERROR(TRIM(MID(E789,MIN(FIND({" ";"g";"k";"m";"o"},E789&amp;" gkmo")),10)),"unknown")</f>
        <v>g</v>
      </c>
      <c r="K789" s="6" t="str">
        <f t="shared" si="48"/>
        <v>g</v>
      </c>
      <c r="L789" s="6" t="str">
        <f t="shared" si="49"/>
        <v>Nature Vallley</v>
      </c>
      <c r="M789" s="6" t="str">
        <f t="shared" si="50"/>
        <v>Sweet &amp; Salty Nut</v>
      </c>
      <c r="N789" s="6" t="str">
        <f t="shared" si="51"/>
        <v>France,United Kingdom</v>
      </c>
    </row>
    <row r="790" spans="1:14" x14ac:dyDescent="0.25">
      <c r="A790" s="6" t="s">
        <v>2066</v>
      </c>
      <c r="B790" s="6">
        <v>5267</v>
      </c>
      <c r="C790" s="6" t="s">
        <v>2067</v>
      </c>
      <c r="D790" s="7" t="s">
        <v>7017</v>
      </c>
      <c r="E790" s="6"/>
      <c r="F790" s="6" t="s">
        <v>2973</v>
      </c>
      <c r="G790" s="8">
        <v>45617</v>
      </c>
      <c r="H790" s="6">
        <v>21.51</v>
      </c>
      <c r="I790" s="6" cm="1">
        <f t="array" ref="I790">IFERROR(VALUE(TRIM(LEFT(E790,MIN(FIND({" ";"g";"k";"m";"o"},E790&amp;" gkmo"))-1))),0)</f>
        <v>0</v>
      </c>
      <c r="J790" s="6" t="str" cm="1">
        <f t="array" ref="J790">IFERROR(TRIM(MID(E790,MIN(FIND({" ";"g";"k";"m";"o"},E790&amp;" gkmo")),10)),"unknown")</f>
        <v/>
      </c>
      <c r="K790" s="6" t="str">
        <f t="shared" si="48"/>
        <v>unknown</v>
      </c>
      <c r="L790" s="6" t="str">
        <f t="shared" si="49"/>
        <v>Unknown</v>
      </c>
      <c r="M790" s="6" t="str">
        <f t="shared" si="50"/>
        <v>Mini Cheddars</v>
      </c>
      <c r="N790" s="6" t="str">
        <f t="shared" si="51"/>
        <v>Gb</v>
      </c>
    </row>
    <row r="791" spans="1:14" x14ac:dyDescent="0.25">
      <c r="A791" s="6" t="s">
        <v>2068</v>
      </c>
      <c r="B791" s="6">
        <v>5050</v>
      </c>
      <c r="C791" s="6" t="s">
        <v>7149</v>
      </c>
      <c r="D791" s="7" t="s">
        <v>1742</v>
      </c>
      <c r="E791" s="6" t="s">
        <v>2069</v>
      </c>
      <c r="F791" s="6" t="s">
        <v>139</v>
      </c>
      <c r="G791" s="8">
        <v>45832</v>
      </c>
      <c r="H791" s="6">
        <v>1.48</v>
      </c>
      <c r="I791" s="6" cm="1">
        <f t="array" ref="I791">IFERROR(VALUE(TRIM(LEFT(E791,MIN(FIND({" ";"g";"k";"m";"o"},E791&amp;" gkmo"))-1))),0)</f>
        <v>0</v>
      </c>
      <c r="J791" s="6" t="str" cm="1">
        <f t="array" ref="J791">IFERROR(TRIM(MID(E791,MIN(FIND({" ";"g";"k";"m";"o"},E791&amp;" gkmo")),10)),"unknown")</f>
        <v>g</v>
      </c>
      <c r="K791" s="6" t="str">
        <f t="shared" si="48"/>
        <v>g</v>
      </c>
      <c r="L791" s="6" t="str">
        <f t="shared" si="49"/>
        <v>Crownfield</v>
      </c>
      <c r="M791" s="6" t="str">
        <f t="shared" si="50"/>
        <v>Barres De Céréales Fraises Et Framboises X 6</v>
      </c>
      <c r="N791" s="6" t="str">
        <f t="shared" si="51"/>
        <v>France</v>
      </c>
    </row>
    <row r="792" spans="1:14" x14ac:dyDescent="0.25">
      <c r="A792" s="6" t="s">
        <v>2070</v>
      </c>
      <c r="B792" s="6">
        <v>14291</v>
      </c>
      <c r="C792" s="6" t="s">
        <v>7017</v>
      </c>
      <c r="D792" s="7" t="s">
        <v>2071</v>
      </c>
      <c r="E792" s="6" t="s">
        <v>528</v>
      </c>
      <c r="F792" s="6" t="s">
        <v>48</v>
      </c>
      <c r="G792" s="8">
        <v>45898</v>
      </c>
      <c r="H792" s="6">
        <v>13.16</v>
      </c>
      <c r="I792" s="6" cm="1">
        <f t="array" ref="I792">IFERROR(VALUE(TRIM(LEFT(E792,MIN(FIND({" ";"g";"k";"m";"o"},E792&amp;" gkmo"))-1))),0)</f>
        <v>200</v>
      </c>
      <c r="J792" s="6" t="str" cm="1">
        <f t="array" ref="J792">IFERROR(TRIM(MID(E792,MIN(FIND({" ";"g";"k";"m";"o"},E792&amp;" gkmo")),10)),"unknown")</f>
        <v>g</v>
      </c>
      <c r="K792" s="6" t="str">
        <f t="shared" si="48"/>
        <v>g</v>
      </c>
      <c r="L792" s="6" t="str">
        <f t="shared" si="49"/>
        <v>Nestle</v>
      </c>
      <c r="M792" s="6" t="str">
        <f t="shared" si="50"/>
        <v>Unknown</v>
      </c>
      <c r="N792" s="6" t="str">
        <f t="shared" si="51"/>
        <v>Morocco</v>
      </c>
    </row>
    <row r="793" spans="1:14" x14ac:dyDescent="0.25">
      <c r="A793" s="6" t="s">
        <v>2072</v>
      </c>
      <c r="B793" s="6">
        <v>14522</v>
      </c>
      <c r="C793" s="6" t="s">
        <v>2073</v>
      </c>
      <c r="D793" s="7" t="s">
        <v>633</v>
      </c>
      <c r="E793" s="6" t="s">
        <v>335</v>
      </c>
      <c r="F793" s="6" t="s">
        <v>7926</v>
      </c>
      <c r="G793" s="8">
        <v>45953</v>
      </c>
      <c r="H793" s="6">
        <v>21.37</v>
      </c>
      <c r="I793" s="6" cm="1">
        <f t="array" ref="I793">IFERROR(VALUE(TRIM(LEFT(E793,MIN(FIND({" ";"g";"k";"m";"o"},E793&amp;" gkmo"))-1))),0)</f>
        <v>250</v>
      </c>
      <c r="J793" s="6" t="str" cm="1">
        <f t="array" ref="J793">IFERROR(TRIM(MID(E793,MIN(FIND({" ";"g";"k";"m";"o"},E793&amp;" gkmo")),10)),"unknown")</f>
        <v>g</v>
      </c>
      <c r="K793" s="6" t="str">
        <f t="shared" si="48"/>
        <v>g</v>
      </c>
      <c r="L793" s="6" t="str">
        <f t="shared" si="49"/>
        <v>Nairn'S</v>
      </c>
      <c r="M793" s="6" t="str">
        <f t="shared" si="50"/>
        <v>Oatcakes - Organic</v>
      </c>
      <c r="N793" s="6" t="str">
        <f t="shared" si="51"/>
        <v>France, United-Kingdom</v>
      </c>
    </row>
    <row r="794" spans="1:14" x14ac:dyDescent="0.25">
      <c r="A794" s="6" t="s">
        <v>2074</v>
      </c>
      <c r="B794" s="6">
        <v>9717</v>
      </c>
      <c r="C794" s="6" t="s">
        <v>2075</v>
      </c>
      <c r="D794" s="7" t="s">
        <v>2076</v>
      </c>
      <c r="E794" s="6" t="s">
        <v>1977</v>
      </c>
      <c r="F794" s="6" t="s">
        <v>139</v>
      </c>
      <c r="G794" s="8">
        <v>45744</v>
      </c>
      <c r="H794" s="6">
        <v>11.18</v>
      </c>
      <c r="I794" s="6" cm="1">
        <f t="array" ref="I794">IFERROR(VALUE(TRIM(LEFT(E794,MIN(FIND({" ";"g";"k";"m";"o"},E794&amp;" gkmo"))-1))),0)</f>
        <v>170</v>
      </c>
      <c r="J794" s="6" t="str" cm="1">
        <f t="array" ref="J794">IFERROR(TRIM(MID(E794,MIN(FIND({" ";"g";"k";"m";"o"},E794&amp;" gkmo")),10)),"unknown")</f>
        <v>g</v>
      </c>
      <c r="K794" s="6" t="str">
        <f t="shared" si="48"/>
        <v>g</v>
      </c>
      <c r="L794" s="6" t="str">
        <f t="shared" si="49"/>
        <v>Rivercote (Lidl)</v>
      </c>
      <c r="M794" s="6" t="str">
        <f t="shared" si="50"/>
        <v>Multigrain Crackers</v>
      </c>
      <c r="N794" s="6" t="str">
        <f t="shared" si="51"/>
        <v>France</v>
      </c>
    </row>
    <row r="795" spans="1:14" x14ac:dyDescent="0.25">
      <c r="A795" s="6" t="s">
        <v>2077</v>
      </c>
      <c r="B795" s="6">
        <v>7058</v>
      </c>
      <c r="C795" s="6" t="s">
        <v>7150</v>
      </c>
      <c r="D795" s="7" t="s">
        <v>150</v>
      </c>
      <c r="E795" s="6" t="s">
        <v>528</v>
      </c>
      <c r="F795" s="6" t="s">
        <v>2078</v>
      </c>
      <c r="G795" s="8">
        <v>45454</v>
      </c>
      <c r="H795" s="6">
        <v>5.69</v>
      </c>
      <c r="I795" s="6" cm="1">
        <f t="array" ref="I795">IFERROR(VALUE(TRIM(LEFT(E795,MIN(FIND({" ";"g";"k";"m";"o"},E795&amp;" gkmo"))-1))),0)</f>
        <v>200</v>
      </c>
      <c r="J795" s="6" t="str" cm="1">
        <f t="array" ref="J795">IFERROR(TRIM(MID(E795,MIN(FIND({" ";"g";"k";"m";"o"},E795&amp;" gkmo")),10)),"unknown")</f>
        <v>g</v>
      </c>
      <c r="K795" s="6" t="str">
        <f t="shared" si="48"/>
        <v>g</v>
      </c>
      <c r="L795" s="6" t="str">
        <f t="shared" si="49"/>
        <v>Alesto</v>
      </c>
      <c r="M795" s="6" t="str">
        <f t="shared" si="50"/>
        <v>Mélange De Noix Et Pistaches</v>
      </c>
      <c r="N795" s="6" t="str">
        <f t="shared" si="51"/>
        <v>Bulgaria,France,Germany,Switzerland</v>
      </c>
    </row>
    <row r="796" spans="1:14" x14ac:dyDescent="0.25">
      <c r="A796" s="6" t="s">
        <v>2079</v>
      </c>
      <c r="B796" s="6">
        <v>7968</v>
      </c>
      <c r="C796" s="6" t="s">
        <v>7151</v>
      </c>
      <c r="D796" s="7" t="s">
        <v>2080</v>
      </c>
      <c r="E796" s="6" t="s">
        <v>2081</v>
      </c>
      <c r="F796" s="6" t="s">
        <v>139</v>
      </c>
      <c r="G796" s="8">
        <v>45787</v>
      </c>
      <c r="H796" s="6">
        <v>15.77</v>
      </c>
      <c r="I796" s="6" cm="1">
        <f t="array" ref="I796">IFERROR(VALUE(TRIM(LEFT(E796,MIN(FIND({" ";"g";"k";"m";"o"},E796&amp;" gkmo"))-1))),0)</f>
        <v>120</v>
      </c>
      <c r="J796" s="6" t="str" cm="1">
        <f t="array" ref="J796">IFERROR(TRIM(MID(E796,MIN(FIND({" ";"g";"k";"m";"o"},E796&amp;" gkmo")),10)),"unknown")</f>
        <v>g</v>
      </c>
      <c r="K796" s="6" t="str">
        <f t="shared" si="48"/>
        <v>g</v>
      </c>
      <c r="L796" s="6" t="str">
        <f t="shared" si="49"/>
        <v>Lu,Mondelez International</v>
      </c>
      <c r="M796" s="6" t="str">
        <f t="shared" si="50"/>
        <v>Petit Écolier Tendre Coeur Au Lait</v>
      </c>
      <c r="N796" s="6" t="str">
        <f t="shared" si="51"/>
        <v>France</v>
      </c>
    </row>
    <row r="797" spans="1:14" x14ac:dyDescent="0.25">
      <c r="A797" s="6" t="s">
        <v>2082</v>
      </c>
      <c r="B797" s="6">
        <v>9280</v>
      </c>
      <c r="C797" s="6" t="s">
        <v>7152</v>
      </c>
      <c r="D797" s="7" t="s">
        <v>131</v>
      </c>
      <c r="E797" s="6" t="s">
        <v>2083</v>
      </c>
      <c r="F797" s="6" t="s">
        <v>139</v>
      </c>
      <c r="G797" s="8">
        <v>45673</v>
      </c>
      <c r="H797" s="6">
        <v>3.97</v>
      </c>
      <c r="I797" s="6" cm="1">
        <f t="array" ref="I797">IFERROR(VALUE(TRIM(LEFT(E797,MIN(FIND({" ";"g";"k";"m";"o"},E797&amp;" gkmo"))-1))),0)</f>
        <v>240</v>
      </c>
      <c r="J797" s="6" t="str" cm="1">
        <f t="array" ref="J797">IFERROR(TRIM(MID(E797,MIN(FIND({" ";"g";"k";"m";"o"},E797&amp;" gkmo")),10)),"unknown")</f>
        <v>g</v>
      </c>
      <c r="K797" s="6" t="str">
        <f t="shared" si="48"/>
        <v>g</v>
      </c>
      <c r="L797" s="6" t="str">
        <f t="shared" si="49"/>
        <v>Pasquier</v>
      </c>
      <c r="M797" s="6" t="str">
        <f t="shared" si="50"/>
        <v>Tartines De Pain Multi-Céréales</v>
      </c>
      <c r="N797" s="6" t="str">
        <f t="shared" si="51"/>
        <v>France</v>
      </c>
    </row>
    <row r="798" spans="1:14" x14ac:dyDescent="0.25">
      <c r="A798" s="6" t="s">
        <v>2084</v>
      </c>
      <c r="B798" s="6">
        <v>12008</v>
      </c>
      <c r="C798" s="6" t="s">
        <v>2085</v>
      </c>
      <c r="D798" s="7" t="s">
        <v>2086</v>
      </c>
      <c r="E798" s="6" t="s">
        <v>151</v>
      </c>
      <c r="F798" s="6" t="s">
        <v>1181</v>
      </c>
      <c r="G798" s="8">
        <v>45651</v>
      </c>
      <c r="H798" s="6">
        <v>13.16</v>
      </c>
      <c r="I798" s="6" cm="1">
        <f t="array" ref="I798">IFERROR(VALUE(TRIM(LEFT(E798,MIN(FIND({" ";"g";"k";"m";"o"},E798&amp;" gkmo"))-1))),0)</f>
        <v>200</v>
      </c>
      <c r="J798" s="6" t="str" cm="1">
        <f t="array" ref="J798">IFERROR(TRIM(MID(E798,MIN(FIND({" ";"g";"k";"m";"o"},E798&amp;" gkmo")),10)),"unknown")</f>
        <v>g</v>
      </c>
      <c r="K798" s="6" t="str">
        <f t="shared" si="48"/>
        <v>g</v>
      </c>
      <c r="L798" s="6" t="str">
        <f t="shared" si="49"/>
        <v>Blini</v>
      </c>
      <c r="M798" s="6" t="str">
        <f t="shared" si="50"/>
        <v>Tzatziki</v>
      </c>
      <c r="N798" s="6" t="str">
        <f t="shared" si="51"/>
        <v>France,Switzerland</v>
      </c>
    </row>
    <row r="799" spans="1:14" x14ac:dyDescent="0.25">
      <c r="A799" s="6" t="s">
        <v>2087</v>
      </c>
      <c r="B799" s="6">
        <v>9017</v>
      </c>
      <c r="C799" s="6" t="s">
        <v>2088</v>
      </c>
      <c r="D799" s="7" t="s">
        <v>7470</v>
      </c>
      <c r="E799" s="6"/>
      <c r="F799" s="6" t="s">
        <v>8455</v>
      </c>
      <c r="G799" s="8">
        <v>45451</v>
      </c>
      <c r="H799" s="6">
        <v>18.010000000000002</v>
      </c>
      <c r="I799" s="6" cm="1">
        <f t="array" ref="I799">IFERROR(VALUE(TRIM(LEFT(E799,MIN(FIND({" ";"g";"k";"m";"o"},E799&amp;" gkmo"))-1))),0)</f>
        <v>0</v>
      </c>
      <c r="J799" s="6" t="str" cm="1">
        <f t="array" ref="J799">IFERROR(TRIM(MID(E799,MIN(FIND({" ";"g";"k";"m";"o"},E799&amp;" gkmo")),10)),"unknown")</f>
        <v/>
      </c>
      <c r="K799" s="6" t="str">
        <f t="shared" si="48"/>
        <v>unknown</v>
      </c>
      <c r="L799" s="6" t="str">
        <f t="shared" si="49"/>
        <v>Marque Repère, Equador</v>
      </c>
      <c r="M799" s="6" t="str">
        <f t="shared" si="50"/>
        <v>Chocolat Noir 72% Cacao</v>
      </c>
      <c r="N799" s="6" t="str">
        <f t="shared" si="51"/>
        <v>France,Reunion</v>
      </c>
    </row>
    <row r="800" spans="1:14" x14ac:dyDescent="0.25">
      <c r="A800" s="6" t="s">
        <v>2089</v>
      </c>
      <c r="B800" s="6">
        <v>12951</v>
      </c>
      <c r="C800" s="6" t="s">
        <v>2090</v>
      </c>
      <c r="D800" s="7" t="s">
        <v>555</v>
      </c>
      <c r="E800" s="6" t="s">
        <v>2091</v>
      </c>
      <c r="F800" s="6" t="s">
        <v>1181</v>
      </c>
      <c r="G800" s="8">
        <v>45564</v>
      </c>
      <c r="H800" s="6">
        <v>8.08</v>
      </c>
      <c r="I800" s="6" cm="1">
        <f t="array" ref="I800">IFERROR(VALUE(TRIM(LEFT(E800,MIN(FIND({" ";"g";"k";"m";"o"},E800&amp;" gkmo"))-1))),0)</f>
        <v>90</v>
      </c>
      <c r="J800" s="6" t="str" cm="1">
        <f t="array" ref="J800">IFERROR(TRIM(MID(E800,MIN(FIND({" ";"g";"k";"m";"o"},E800&amp;" gkmo")),10)),"unknown")</f>
        <v>g e</v>
      </c>
      <c r="K800" s="6" t="str">
        <f t="shared" si="48"/>
        <v>g</v>
      </c>
      <c r="L800" s="6" t="str">
        <f t="shared" si="49"/>
        <v>Alter Eco</v>
      </c>
      <c r="M800" s="6" t="str">
        <f t="shared" si="50"/>
        <v>Chocolat Noir 95% Togo</v>
      </c>
      <c r="N800" s="6" t="str">
        <f t="shared" si="51"/>
        <v>France,Switzerland</v>
      </c>
    </row>
    <row r="801" spans="1:14" x14ac:dyDescent="0.25">
      <c r="A801" s="6" t="s">
        <v>2092</v>
      </c>
      <c r="B801" s="6">
        <v>7928</v>
      </c>
      <c r="C801" s="6" t="s">
        <v>2093</v>
      </c>
      <c r="D801" s="7" t="s">
        <v>2094</v>
      </c>
      <c r="E801" s="6" t="s">
        <v>2045</v>
      </c>
      <c r="F801" s="6" t="s">
        <v>8405</v>
      </c>
      <c r="G801" s="8">
        <v>45606</v>
      </c>
      <c r="H801" s="6">
        <v>3.1</v>
      </c>
      <c r="I801" s="6" cm="1">
        <f t="array" ref="I801">IFERROR(VALUE(TRIM(LEFT(E801,MIN(FIND({" ";"g";"k";"m";"o"},E801&amp;" gkmo"))-1))),0)</f>
        <v>175</v>
      </c>
      <c r="J801" s="6" t="str" cm="1">
        <f t="array" ref="J801">IFERROR(TRIM(MID(E801,MIN(FIND({" ";"g";"k";"m";"o"},E801&amp;" gkmo")),10)),"unknown")</f>
        <v>g</v>
      </c>
      <c r="K801" s="6" t="str">
        <f t="shared" si="48"/>
        <v>g</v>
      </c>
      <c r="L801" s="6" t="str">
        <f t="shared" si="49"/>
        <v>Maltesers</v>
      </c>
      <c r="M801" s="6" t="str">
        <f t="shared" si="50"/>
        <v>Maltesers 175G</v>
      </c>
      <c r="N801" s="6" t="str">
        <f t="shared" si="51"/>
        <v>Algeria,Austria,Belgium,Egipto,France,Germany,Marruecos,Qatar,Switzerland,Tàºnez,Emiratos ÀRabes Unidos,United Kingdom</v>
      </c>
    </row>
    <row r="802" spans="1:14" x14ac:dyDescent="0.25">
      <c r="A802" s="6" t="s">
        <v>2095</v>
      </c>
      <c r="B802" s="6">
        <v>12084</v>
      </c>
      <c r="C802" s="6" t="s">
        <v>541</v>
      </c>
      <c r="D802" s="7" t="s">
        <v>2096</v>
      </c>
      <c r="E802" s="6" t="s">
        <v>1721</v>
      </c>
      <c r="F802" s="6" t="s">
        <v>7994</v>
      </c>
      <c r="G802" s="8">
        <v>45587</v>
      </c>
      <c r="H802" s="6">
        <v>7</v>
      </c>
      <c r="I802" s="6" cm="1">
        <f t="array" ref="I802">IFERROR(VALUE(TRIM(LEFT(E802,MIN(FIND({" ";"g";"k";"m";"o"},E802&amp;" gkmo"))-1))),0)</f>
        <v>30</v>
      </c>
      <c r="J802" s="6" t="str" cm="1">
        <f t="array" ref="J802">IFERROR(TRIM(MID(E802,MIN(FIND({" ";"g";"k";"m";"o"},E802&amp;" gkmo")),10)),"unknown")</f>
        <v>g</v>
      </c>
      <c r="K802" s="6" t="str">
        <f t="shared" si="48"/>
        <v>g</v>
      </c>
      <c r="L802" s="6" t="str">
        <f t="shared" si="49"/>
        <v>Propercorn</v>
      </c>
      <c r="M802" s="6" t="str">
        <f t="shared" si="50"/>
        <v>Sweet &amp; Salty Popcorn</v>
      </c>
      <c r="N802" s="6" t="str">
        <f t="shared" si="51"/>
        <v>France, Switzerland, United Kingdom, Belgium</v>
      </c>
    </row>
    <row r="803" spans="1:14" x14ac:dyDescent="0.25">
      <c r="A803" s="6" t="s">
        <v>2097</v>
      </c>
      <c r="B803" s="6">
        <v>14977</v>
      </c>
      <c r="C803" s="6" t="s">
        <v>2098</v>
      </c>
      <c r="D803" s="7" t="s">
        <v>2099</v>
      </c>
      <c r="E803" s="6" t="s">
        <v>966</v>
      </c>
      <c r="F803" s="6" t="s">
        <v>7995</v>
      </c>
      <c r="G803" s="8">
        <v>45694</v>
      </c>
      <c r="H803" s="6">
        <v>20.170000000000002</v>
      </c>
      <c r="I803" s="6" cm="1">
        <f t="array" ref="I803">IFERROR(VALUE(TRIM(LEFT(E803,MIN(FIND({" ";"g";"k";"m";"o"},E803&amp;" gkmo"))-1))),0)</f>
        <v>115</v>
      </c>
      <c r="J803" s="6" t="str" cm="1">
        <f t="array" ref="J803">IFERROR(TRIM(MID(E803,MIN(FIND({" ";"g";"k";"m";"o"},E803&amp;" gkmo")),10)),"unknown")</f>
        <v>g</v>
      </c>
      <c r="K803" s="6" t="str">
        <f t="shared" si="48"/>
        <v>g</v>
      </c>
      <c r="L803" s="6" t="str">
        <f t="shared" si="49"/>
        <v>Papadopoulos</v>
      </c>
      <c r="M803" s="6" t="str">
        <f t="shared" si="50"/>
        <v>Caprice</v>
      </c>
      <c r="N803" s="6" t="str">
        <f t="shared" si="51"/>
        <v>Bulgaria, France, French Guiana, Greece, Guadeloupe, Romania, Italy</v>
      </c>
    </row>
    <row r="804" spans="1:14" x14ac:dyDescent="0.25">
      <c r="A804" s="6" t="s">
        <v>2100</v>
      </c>
      <c r="B804" s="6">
        <v>14945</v>
      </c>
      <c r="C804" s="6" t="s">
        <v>2101</v>
      </c>
      <c r="D804" s="7" t="s">
        <v>2102</v>
      </c>
      <c r="E804" s="6" t="s">
        <v>39</v>
      </c>
      <c r="F804" s="6" t="s">
        <v>7657</v>
      </c>
      <c r="G804" s="8">
        <v>45868</v>
      </c>
      <c r="H804" s="6">
        <v>21.66</v>
      </c>
      <c r="I804" s="6" cm="1">
        <f t="array" ref="I804">IFERROR(VALUE(TRIM(LEFT(E804,MIN(FIND({" ";"g";"k";"m";"o"},E804&amp;" gkmo"))-1))),0)</f>
        <v>150</v>
      </c>
      <c r="J804" s="6" t="str" cm="1">
        <f t="array" ref="J804">IFERROR(TRIM(MID(E804,MIN(FIND({" ";"g";"k";"m";"o"},E804&amp;" gkmo")),10)),"unknown")</f>
        <v>g</v>
      </c>
      <c r="K804" s="6" t="str">
        <f t="shared" si="48"/>
        <v>g</v>
      </c>
      <c r="L804" s="6" t="str">
        <f t="shared" si="49"/>
        <v>Lay'S,Pepsico</v>
      </c>
      <c r="M804" s="6" t="str">
        <f t="shared" si="50"/>
        <v>Horno Al Punto De Sal</v>
      </c>
      <c r="N804" s="6" t="str">
        <f t="shared" si="51"/>
        <v>Italia,Portugal,Espaà±A</v>
      </c>
    </row>
    <row r="805" spans="1:14" x14ac:dyDescent="0.25">
      <c r="A805" s="6" t="s">
        <v>2103</v>
      </c>
      <c r="B805" s="6">
        <v>13503</v>
      </c>
      <c r="C805" s="6" t="s">
        <v>2104</v>
      </c>
      <c r="D805" s="7" t="s">
        <v>2105</v>
      </c>
      <c r="E805" s="6" t="s">
        <v>898</v>
      </c>
      <c r="F805" s="6" t="s">
        <v>2106</v>
      </c>
      <c r="G805" s="8">
        <v>45792</v>
      </c>
      <c r="H805" s="6">
        <v>19.739999999999998</v>
      </c>
      <c r="I805" s="6" cm="1">
        <f t="array" ref="I805">IFERROR(VALUE(TRIM(LEFT(E805,MIN(FIND({" ";"g";"k";"m";"o"},E805&amp;" gkmo"))-1))),0)</f>
        <v>166</v>
      </c>
      <c r="J805" s="6" t="str" cm="1">
        <f t="array" ref="J805">IFERROR(TRIM(MID(E805,MIN(FIND({" ";"g";"k";"m";"o"},E805&amp;" gkmo")),10)),"unknown")</f>
        <v>g</v>
      </c>
      <c r="K805" s="6" t="str">
        <f t="shared" si="48"/>
        <v>g</v>
      </c>
      <c r="L805" s="6" t="str">
        <f t="shared" si="49"/>
        <v>Anitin</v>
      </c>
      <c r="M805" s="6" t="str">
        <f t="shared" si="50"/>
        <v>Snack Pipas</v>
      </c>
      <c r="N805" s="6" t="str">
        <f t="shared" si="51"/>
        <v>Espanha</v>
      </c>
    </row>
    <row r="806" spans="1:14" x14ac:dyDescent="0.25">
      <c r="A806" s="6" t="s">
        <v>2107</v>
      </c>
      <c r="B806" s="6">
        <v>12628</v>
      </c>
      <c r="C806" s="6" t="s">
        <v>2108</v>
      </c>
      <c r="D806" s="7" t="s">
        <v>2109</v>
      </c>
      <c r="E806" s="6" t="s">
        <v>1687</v>
      </c>
      <c r="F806" s="6" t="s">
        <v>2973</v>
      </c>
      <c r="G806" s="8">
        <v>45590</v>
      </c>
      <c r="H806" s="6">
        <v>12.84</v>
      </c>
      <c r="I806" s="6" cm="1">
        <f t="array" ref="I806">IFERROR(VALUE(TRIM(LEFT(E806,MIN(FIND({" ";"g";"k";"m";"o"},E806&amp;" gkmo"))-1))),0)</f>
        <v>85</v>
      </c>
      <c r="J806" s="6" t="str" cm="1">
        <f t="array" ref="J806">IFERROR(TRIM(MID(E806,MIN(FIND({" ";"g";"k";"m";"o"},E806&amp;" gkmo")),10)),"unknown")</f>
        <v>g</v>
      </c>
      <c r="K806" s="6" t="str">
        <f t="shared" si="48"/>
        <v>g</v>
      </c>
      <c r="L806" s="6" t="str">
        <f t="shared" si="49"/>
        <v>Popchips</v>
      </c>
      <c r="M806" s="6" t="str">
        <f t="shared" si="50"/>
        <v>Sour Cream &amp; Onion Potato Chips</v>
      </c>
      <c r="N806" s="6" t="str">
        <f t="shared" si="51"/>
        <v>Gb</v>
      </c>
    </row>
    <row r="807" spans="1:14" x14ac:dyDescent="0.25">
      <c r="A807" s="6" t="s">
        <v>2110</v>
      </c>
      <c r="B807" s="6">
        <v>9462</v>
      </c>
      <c r="C807" s="6" t="s">
        <v>7658</v>
      </c>
      <c r="D807" s="7" t="s">
        <v>2111</v>
      </c>
      <c r="E807" s="6" t="s">
        <v>7659</v>
      </c>
      <c r="F807" s="6" t="s">
        <v>139</v>
      </c>
      <c r="G807" s="8">
        <v>45448</v>
      </c>
      <c r="H807" s="6">
        <v>2.36</v>
      </c>
      <c r="I807" s="6" cm="1">
        <f t="array" ref="I807">IFERROR(VALUE(TRIM(LEFT(E807,MIN(FIND({" ";"g";"k";"m";"o"},E807&amp;" gkmo"))-1))),0)</f>
        <v>8</v>
      </c>
      <c r="J807" s="6" t="str" cm="1">
        <f t="array" ref="J807">IFERROR(TRIM(MID(E807,MIN(FIND({" ";"g";"k";"m";"o"},E807&amp;" gkmo")),10)),"unknown")</f>
        <v>cràªpesðŸ</v>
      </c>
      <c r="K807" s="6" t="str">
        <f t="shared" si="48"/>
        <v>unknown</v>
      </c>
      <c r="L807" s="6" t="str">
        <f t="shared" si="49"/>
        <v>Whaou</v>
      </c>
      <c r="M807" s="6" t="str">
        <f t="shared" si="50"/>
        <v>8 Cràªpes Chocolat</v>
      </c>
      <c r="N807" s="6" t="str">
        <f t="shared" si="51"/>
        <v>France</v>
      </c>
    </row>
    <row r="808" spans="1:14" x14ac:dyDescent="0.25">
      <c r="A808" s="6" t="s">
        <v>2112</v>
      </c>
      <c r="B808" s="6">
        <v>10977</v>
      </c>
      <c r="C808" s="6" t="s">
        <v>2113</v>
      </c>
      <c r="D808" s="7" t="s">
        <v>1205</v>
      </c>
      <c r="E808" s="6" t="s">
        <v>151</v>
      </c>
      <c r="F808" s="6" t="s">
        <v>2973</v>
      </c>
      <c r="G808" s="8">
        <v>45344</v>
      </c>
      <c r="H808" s="6">
        <v>21.86</v>
      </c>
      <c r="I808" s="6" cm="1">
        <f t="array" ref="I808">IFERROR(VALUE(TRIM(LEFT(E808,MIN(FIND({" ";"g";"k";"m";"o"},E808&amp;" gkmo"))-1))),0)</f>
        <v>200</v>
      </c>
      <c r="J808" s="6" t="str" cm="1">
        <f t="array" ref="J808">IFERROR(TRIM(MID(E808,MIN(FIND({" ";"g";"k";"m";"o"},E808&amp;" gkmo")),10)),"unknown")</f>
        <v>g</v>
      </c>
      <c r="K808" s="6" t="str">
        <f t="shared" si="48"/>
        <v>g</v>
      </c>
      <c r="L808" s="6" t="str">
        <f t="shared" si="49"/>
        <v>Savour Bakes</v>
      </c>
      <c r="M808" s="6" t="str">
        <f t="shared" si="50"/>
        <v>Savoury Crackers</v>
      </c>
      <c r="N808" s="6" t="str">
        <f t="shared" si="51"/>
        <v>Gb</v>
      </c>
    </row>
    <row r="809" spans="1:14" x14ac:dyDescent="0.25">
      <c r="A809" s="6" t="s">
        <v>2114</v>
      </c>
      <c r="B809" s="6">
        <v>5862</v>
      </c>
      <c r="C809" s="6" t="s">
        <v>2115</v>
      </c>
      <c r="D809" s="7" t="s">
        <v>7660</v>
      </c>
      <c r="E809" s="6"/>
      <c r="F809" s="6" t="s">
        <v>48</v>
      </c>
      <c r="G809" s="8">
        <v>45734</v>
      </c>
      <c r="H809" s="6">
        <v>15.89</v>
      </c>
      <c r="I809" s="6" cm="1">
        <f t="array" ref="I809">IFERROR(VALUE(TRIM(LEFT(E809,MIN(FIND({" ";"g";"k";"m";"o"},E809&amp;" gkmo"))-1))),0)</f>
        <v>0</v>
      </c>
      <c r="J809" s="6" t="str" cm="1">
        <f t="array" ref="J809">IFERROR(TRIM(MID(E809,MIN(FIND({" ";"g";"k";"m";"o"},E809&amp;" gkmo")),10)),"unknown")</f>
        <v/>
      </c>
      <c r="K809" s="6" t="str">
        <f t="shared" si="48"/>
        <v>unknown</v>
      </c>
      <c r="L809" s="6" t="str">
        <f t="shared" si="49"/>
        <v>SaàDa</v>
      </c>
      <c r="M809" s="6" t="str">
        <f t="shared" si="50"/>
        <v>Major</v>
      </c>
      <c r="N809" s="6" t="str">
        <f t="shared" si="51"/>
        <v>Morocco</v>
      </c>
    </row>
    <row r="810" spans="1:14" x14ac:dyDescent="0.25">
      <c r="A810" s="6" t="s">
        <v>2116</v>
      </c>
      <c r="B810" s="6">
        <v>11506</v>
      </c>
      <c r="C810" s="6" t="s">
        <v>2117</v>
      </c>
      <c r="D810" s="7" t="s">
        <v>2117</v>
      </c>
      <c r="E810" s="6"/>
      <c r="F810" s="6" t="s">
        <v>48</v>
      </c>
      <c r="G810" s="8">
        <v>45968</v>
      </c>
      <c r="H810" s="6">
        <v>4.26</v>
      </c>
      <c r="I810" s="6" cm="1">
        <f t="array" ref="I810">IFERROR(VALUE(TRIM(LEFT(E810,MIN(FIND({" ";"g";"k";"m";"o"},E810&amp;" gkmo"))-1))),0)</f>
        <v>0</v>
      </c>
      <c r="J810" s="6" t="str" cm="1">
        <f t="array" ref="J810">IFERROR(TRIM(MID(E810,MIN(FIND({" ";"g";"k";"m";"o"},E810&amp;" gkmo")),10)),"unknown")</f>
        <v/>
      </c>
      <c r="K810" s="6" t="str">
        <f t="shared" si="48"/>
        <v>unknown</v>
      </c>
      <c r="L810" s="6" t="str">
        <f t="shared" si="49"/>
        <v>Clorets</v>
      </c>
      <c r="M810" s="6" t="str">
        <f t="shared" si="50"/>
        <v>Clorets</v>
      </c>
      <c r="N810" s="6" t="str">
        <f t="shared" si="51"/>
        <v>Morocco</v>
      </c>
    </row>
    <row r="811" spans="1:14" x14ac:dyDescent="0.25">
      <c r="A811" s="6" t="s">
        <v>2118</v>
      </c>
      <c r="B811" s="6">
        <v>5017</v>
      </c>
      <c r="C811" s="6" t="s">
        <v>2119</v>
      </c>
      <c r="D811" s="7" t="s">
        <v>726</v>
      </c>
      <c r="E811" s="6" t="s">
        <v>614</v>
      </c>
      <c r="F811" s="6" t="s">
        <v>177</v>
      </c>
      <c r="G811" s="8">
        <v>45555</v>
      </c>
      <c r="H811" s="6">
        <v>12.01</v>
      </c>
      <c r="I811" s="6" cm="1">
        <f t="array" ref="I811">IFERROR(VALUE(TRIM(LEFT(E811,MIN(FIND({" ";"g";"k";"m";"o"},E811&amp;" gkmo"))-1))),0)</f>
        <v>45</v>
      </c>
      <c r="J811" s="6" t="str" cm="1">
        <f t="array" ref="J811">IFERROR(TRIM(MID(E811,MIN(FIND({" ";"g";"k";"m";"o"},E811&amp;" gkmo")),10)),"unknown")</f>
        <v>g</v>
      </c>
      <c r="K811" s="6" t="str">
        <f t="shared" si="48"/>
        <v>g</v>
      </c>
      <c r="L811" s="6" t="str">
        <f t="shared" si="49"/>
        <v>Walkers</v>
      </c>
      <c r="M811" s="6" t="str">
        <f t="shared" si="50"/>
        <v>Ready Salted Grab Bag Crisps</v>
      </c>
      <c r="N811" s="6" t="str">
        <f t="shared" si="51"/>
        <v>United Kingdom</v>
      </c>
    </row>
    <row r="812" spans="1:14" x14ac:dyDescent="0.25">
      <c r="A812" s="6" t="s">
        <v>2120</v>
      </c>
      <c r="B812" s="6">
        <v>8050</v>
      </c>
      <c r="C812" s="6" t="s">
        <v>2121</v>
      </c>
      <c r="D812" s="7" t="s">
        <v>7017</v>
      </c>
      <c r="E812" s="6" t="s">
        <v>138</v>
      </c>
      <c r="F812" s="6" t="s">
        <v>7996</v>
      </c>
      <c r="G812" s="8">
        <v>45575</v>
      </c>
      <c r="H812" s="6">
        <v>7.31</v>
      </c>
      <c r="I812" s="6" cm="1">
        <f t="array" ref="I812">IFERROR(VALUE(TRIM(LEFT(E812,MIN(FIND({" ";"g";"k";"m";"o"},E812&amp;" gkmo"))-1))),0)</f>
        <v>400</v>
      </c>
      <c r="J812" s="6" t="str" cm="1">
        <f t="array" ref="J812">IFERROR(TRIM(MID(E812,MIN(FIND({" ";"g";"k";"m";"o"},E812&amp;" gkmo")),10)),"unknown")</f>
        <v>g</v>
      </c>
      <c r="K812" s="6" t="str">
        <f t="shared" si="48"/>
        <v>g</v>
      </c>
      <c r="L812" s="6" t="str">
        <f t="shared" si="49"/>
        <v>Unknown</v>
      </c>
      <c r="M812" s="6" t="str">
        <f t="shared" si="50"/>
        <v>Digestive</v>
      </c>
      <c r="N812" s="6" t="str">
        <f t="shared" si="51"/>
        <v>Croatia, Italy, Romania, Slovenia, France</v>
      </c>
    </row>
    <row r="813" spans="1:14" x14ac:dyDescent="0.25">
      <c r="A813" s="6" t="s">
        <v>2122</v>
      </c>
      <c r="B813" s="6">
        <v>13627</v>
      </c>
      <c r="C813" s="6" t="s">
        <v>7661</v>
      </c>
      <c r="D813" s="7" t="s">
        <v>7662</v>
      </c>
      <c r="E813" s="6" t="s">
        <v>676</v>
      </c>
      <c r="F813" s="6" t="s">
        <v>7663</v>
      </c>
      <c r="G813" s="8">
        <v>46042</v>
      </c>
      <c r="H813" s="6">
        <v>8.42</v>
      </c>
      <c r="I813" s="6" cm="1">
        <f t="array" ref="I813">IFERROR(VALUE(TRIM(LEFT(E813,MIN(FIND({" ";"g";"k";"m";"o"},E813&amp;" gkmo"))-1))),0)</f>
        <v>180</v>
      </c>
      <c r="J813" s="6" t="str" cm="1">
        <f t="array" ref="J813">IFERROR(TRIM(MID(E813,MIN(FIND({" ";"g";"k";"m";"o"},E813&amp;" gkmo")),10)),"unknown")</f>
        <v>g</v>
      </c>
      <c r="K813" s="6" t="str">
        <f t="shared" si="48"/>
        <v>g</v>
      </c>
      <c r="L813" s="6" t="str">
        <f t="shared" si="49"/>
        <v>Àœltje</v>
      </c>
      <c r="M813" s="6" t="str">
        <f t="shared" si="50"/>
        <v>Erdnà¼Sse Gerà¶Stet &amp; Gesalzen</v>
      </c>
      <c r="N813" s="6" t="str">
        <f t="shared" si="51"/>
        <v>À–Sterreich,Deutschland</v>
      </c>
    </row>
    <row r="814" spans="1:14" x14ac:dyDescent="0.25">
      <c r="A814" s="6" t="s">
        <v>2123</v>
      </c>
      <c r="B814" s="6">
        <v>5655</v>
      </c>
      <c r="C814" s="6" t="s">
        <v>2124</v>
      </c>
      <c r="D814" s="7" t="s">
        <v>2125</v>
      </c>
      <c r="E814" s="6" t="s">
        <v>10</v>
      </c>
      <c r="F814" s="6" t="s">
        <v>2126</v>
      </c>
      <c r="G814" s="8">
        <v>45947</v>
      </c>
      <c r="H814" s="6">
        <v>2.12</v>
      </c>
      <c r="I814" s="6" cm="1">
        <f t="array" ref="I814">IFERROR(VALUE(TRIM(LEFT(E814,MIN(FIND({" ";"g";"k";"m";"o"},E814&amp;" gkmo"))-1))),0)</f>
        <v>100</v>
      </c>
      <c r="J814" s="6" t="str" cm="1">
        <f t="array" ref="J814">IFERROR(TRIM(MID(E814,MIN(FIND({" ";"g";"k";"m";"o"},E814&amp;" gkmo")),10)),"unknown")</f>
        <v>g</v>
      </c>
      <c r="K814" s="6" t="str">
        <f t="shared" si="48"/>
        <v>g</v>
      </c>
      <c r="L814" s="6" t="str">
        <f t="shared" si="49"/>
        <v>Tom</v>
      </c>
      <c r="M814" s="6" t="str">
        <f t="shared" si="50"/>
        <v>Choco Tom Gaufrettes</v>
      </c>
      <c r="N814" s="6" t="str">
        <f t="shared" si="51"/>
        <v>Tunisia</v>
      </c>
    </row>
    <row r="815" spans="1:14" x14ac:dyDescent="0.25">
      <c r="A815" s="6" t="s">
        <v>2127</v>
      </c>
      <c r="B815" s="6">
        <v>11990</v>
      </c>
      <c r="C815" s="6" t="s">
        <v>7153</v>
      </c>
      <c r="D815" s="7" t="s">
        <v>167</v>
      </c>
      <c r="E815" s="6" t="s">
        <v>197</v>
      </c>
      <c r="F815" s="6" t="s">
        <v>157</v>
      </c>
      <c r="G815" s="8">
        <v>45985</v>
      </c>
      <c r="H815" s="6">
        <v>16.52</v>
      </c>
      <c r="I815" s="6" cm="1">
        <f t="array" ref="I815">IFERROR(VALUE(TRIM(LEFT(E815,MIN(FIND({" ";"g";"k";"m";"o"},E815&amp;" gkmo"))-1))),0)</f>
        <v>130</v>
      </c>
      <c r="J815" s="6" t="str" cm="1">
        <f t="array" ref="J815">IFERROR(TRIM(MID(E815,MIN(FIND({" ";"g";"k";"m";"o"},E815&amp;" gkmo")),10)),"unknown")</f>
        <v>g</v>
      </c>
      <c r="K815" s="6" t="str">
        <f t="shared" si="48"/>
        <v>g</v>
      </c>
      <c r="L815" s="6" t="str">
        <f t="shared" si="49"/>
        <v>Lu, Mondelez International</v>
      </c>
      <c r="M815" s="6" t="str">
        <f t="shared" si="50"/>
        <v>Sablés Beurré Nantais</v>
      </c>
      <c r="N815" s="6" t="str">
        <f t="shared" si="51"/>
        <v>France,Germany,Switzerland</v>
      </c>
    </row>
    <row r="816" spans="1:14" x14ac:dyDescent="0.25">
      <c r="A816" s="6" t="s">
        <v>2128</v>
      </c>
      <c r="B816" s="6">
        <v>14703</v>
      </c>
      <c r="C816" s="6" t="s">
        <v>2129</v>
      </c>
      <c r="D816" s="7" t="s">
        <v>306</v>
      </c>
      <c r="E816" s="6" t="s">
        <v>2130</v>
      </c>
      <c r="F816" s="6" t="s">
        <v>139</v>
      </c>
      <c r="G816" s="8">
        <v>45952</v>
      </c>
      <c r="H816" s="6">
        <v>11.64</v>
      </c>
      <c r="I816" s="6" cm="1">
        <f t="array" ref="I816">IFERROR(VALUE(TRIM(LEFT(E816,MIN(FIND({" ";"g";"k";"m";"o"},E816&amp;" gkmo"))-1))),0)</f>
        <v>108</v>
      </c>
      <c r="J816" s="6" t="str" cm="1">
        <f t="array" ref="J816">IFERROR(TRIM(MID(E816,MIN(FIND({" ";"g";"k";"m";"o"},E816&amp;" gkmo")),10)),"unknown")</f>
        <v>g</v>
      </c>
      <c r="K816" s="6" t="str">
        <f t="shared" si="48"/>
        <v>g</v>
      </c>
      <c r="L816" s="6" t="str">
        <f t="shared" si="49"/>
        <v>Lu</v>
      </c>
      <c r="M816" s="6" t="str">
        <f t="shared" si="50"/>
        <v>Grany Fraise Ðÿ“ &amp; Framboise</v>
      </c>
      <c r="N816" s="6" t="str">
        <f t="shared" si="51"/>
        <v>France</v>
      </c>
    </row>
    <row r="817" spans="1:14" x14ac:dyDescent="0.25">
      <c r="A817" s="6" t="s">
        <v>2131</v>
      </c>
      <c r="B817" s="6">
        <v>6344</v>
      </c>
      <c r="C817" s="6" t="s">
        <v>2132</v>
      </c>
      <c r="D817" s="7" t="s">
        <v>2133</v>
      </c>
      <c r="E817" s="6"/>
      <c r="F817" s="6" t="s">
        <v>139</v>
      </c>
      <c r="G817" s="8">
        <v>45697</v>
      </c>
      <c r="H817" s="6">
        <v>7.02</v>
      </c>
      <c r="I817" s="6" cm="1">
        <f t="array" ref="I817">IFERROR(VALUE(TRIM(LEFT(E817,MIN(FIND({" ";"g";"k";"m";"o"},E817&amp;" gkmo"))-1))),0)</f>
        <v>0</v>
      </c>
      <c r="J817" s="6" t="str" cm="1">
        <f t="array" ref="J817">IFERROR(TRIM(MID(E817,MIN(FIND({" ";"g";"k";"m";"o"},E817&amp;" gkmo")),10)),"unknown")</f>
        <v/>
      </c>
      <c r="K817" s="6" t="str">
        <f t="shared" si="48"/>
        <v>unknown</v>
      </c>
      <c r="L817" s="6" t="str">
        <f t="shared" si="49"/>
        <v>Lay'S, Lays, Pepsico</v>
      </c>
      <c r="M817" s="6" t="str">
        <f t="shared" si="50"/>
        <v>Laus Nature</v>
      </c>
      <c r="N817" s="6" t="str">
        <f t="shared" si="51"/>
        <v>France</v>
      </c>
    </row>
    <row r="818" spans="1:14" x14ac:dyDescent="0.25">
      <c r="A818" s="6" t="s">
        <v>2134</v>
      </c>
      <c r="B818" s="6">
        <v>12881</v>
      </c>
      <c r="C818" s="6" t="s">
        <v>7664</v>
      </c>
      <c r="D818" s="7" t="s">
        <v>2135</v>
      </c>
      <c r="E818" s="6" t="s">
        <v>84</v>
      </c>
      <c r="F818" s="6" t="s">
        <v>139</v>
      </c>
      <c r="G818" s="8">
        <v>45702</v>
      </c>
      <c r="H818" s="6">
        <v>5.19</v>
      </c>
      <c r="I818" s="6" cm="1">
        <f t="array" ref="I818">IFERROR(VALUE(TRIM(LEFT(E818,MIN(FIND({" ";"g";"k";"m";"o"},E818&amp;" gkmo"))-1))),0)</f>
        <v>85</v>
      </c>
      <c r="J818" s="6" t="str" cm="1">
        <f t="array" ref="J818">IFERROR(TRIM(MID(E818,MIN(FIND({" ";"g";"k";"m";"o"},E818&amp;" gkmo")),10)),"unknown")</f>
        <v>g</v>
      </c>
      <c r="K818" s="6" t="str">
        <f t="shared" si="48"/>
        <v>g</v>
      </c>
      <c r="L818" s="6" t="str">
        <f t="shared" si="49"/>
        <v>3D'S Bugles, Benenuts, Lays, Lay'S</v>
      </c>
      <c r="M818" s="6" t="str">
        <f t="shared" si="50"/>
        <v>3D'S Bugles Goà»T Nature</v>
      </c>
      <c r="N818" s="6" t="str">
        <f t="shared" si="51"/>
        <v>France</v>
      </c>
    </row>
    <row r="819" spans="1:14" x14ac:dyDescent="0.25">
      <c r="A819" s="6" t="s">
        <v>2136</v>
      </c>
      <c r="B819" s="6">
        <v>6705</v>
      </c>
      <c r="C819" s="6" t="s">
        <v>7154</v>
      </c>
      <c r="D819" s="7" t="s">
        <v>7030</v>
      </c>
      <c r="E819" s="6" t="s">
        <v>151</v>
      </c>
      <c r="F819" s="6" t="s">
        <v>139</v>
      </c>
      <c r="G819" s="8">
        <v>45903</v>
      </c>
      <c r="H819" s="6">
        <v>8.48</v>
      </c>
      <c r="I819" s="6" cm="1">
        <f t="array" ref="I819">IFERROR(VALUE(TRIM(LEFT(E819,MIN(FIND({" ";"g";"k";"m";"o"},E819&amp;" gkmo"))-1))),0)</f>
        <v>200</v>
      </c>
      <c r="J819" s="6" t="str" cm="1">
        <f t="array" ref="J819">IFERROR(TRIM(MID(E819,MIN(FIND({" ";"g";"k";"m";"o"},E819&amp;" gkmo")),10)),"unknown")</f>
        <v>g</v>
      </c>
      <c r="K819" s="6" t="str">
        <f t="shared" si="48"/>
        <v>g</v>
      </c>
      <c r="L819" s="6" t="str">
        <f t="shared" si="49"/>
        <v>Gerblé</v>
      </c>
      <c r="M819" s="6" t="str">
        <f t="shared" si="50"/>
        <v>Gerblé - Choco Hazelnut Filled Cake, 200G (7.1Oz)</v>
      </c>
      <c r="N819" s="6" t="str">
        <f t="shared" si="51"/>
        <v>France</v>
      </c>
    </row>
    <row r="820" spans="1:14" x14ac:dyDescent="0.25">
      <c r="A820" s="6" t="s">
        <v>2137</v>
      </c>
      <c r="B820" s="6">
        <v>7039</v>
      </c>
      <c r="C820" s="6" t="s">
        <v>7535</v>
      </c>
      <c r="D820" s="7" t="s">
        <v>72</v>
      </c>
      <c r="E820" s="6"/>
      <c r="F820" s="6" t="s">
        <v>2138</v>
      </c>
      <c r="G820" s="8">
        <v>45784</v>
      </c>
      <c r="H820" s="6">
        <v>14.72</v>
      </c>
      <c r="I820" s="6" cm="1">
        <f t="array" ref="I820">IFERROR(VALUE(TRIM(LEFT(E820,MIN(FIND({" ";"g";"k";"m";"o"},E820&amp;" gkmo"))-1))),0)</f>
        <v>0</v>
      </c>
      <c r="J820" s="6" t="str" cm="1">
        <f t="array" ref="J820">IFERROR(TRIM(MID(E820,MIN(FIND({" ";"g";"k";"m";"o"},E820&amp;" gkmo")),10)),"unknown")</f>
        <v/>
      </c>
      <c r="K820" s="6" t="str">
        <f t="shared" si="48"/>
        <v>unknown</v>
      </c>
      <c r="L820" s="6" t="str">
        <f t="shared" si="49"/>
        <v>Bjorg</v>
      </c>
      <c r="M820" s="6" t="str">
        <f t="shared" si="50"/>
        <v>Galette Épeautre Son D'Avoine</v>
      </c>
      <c r="N820" s="6" t="str">
        <f t="shared" si="51"/>
        <v>France,French Guiana,Morocco,Switzerland</v>
      </c>
    </row>
    <row r="821" spans="1:14" x14ac:dyDescent="0.25">
      <c r="A821" s="6" t="s">
        <v>2139</v>
      </c>
      <c r="B821" s="6">
        <v>9615</v>
      </c>
      <c r="C821" s="6" t="s">
        <v>7536</v>
      </c>
      <c r="D821" s="7" t="s">
        <v>652</v>
      </c>
      <c r="E821" s="6" t="s">
        <v>132</v>
      </c>
      <c r="F821" s="6" t="s">
        <v>7979</v>
      </c>
      <c r="G821" s="8">
        <v>45534</v>
      </c>
      <c r="H821" s="6">
        <v>15.66</v>
      </c>
      <c r="I821" s="6" cm="1">
        <f t="array" ref="I821">IFERROR(VALUE(TRIM(LEFT(E821,MIN(FIND({" ";"g";"k";"m";"o"},E821&amp;" gkmo"))-1))),0)</f>
        <v>350</v>
      </c>
      <c r="J821" s="6" t="str" cm="1">
        <f t="array" ref="J821">IFERROR(TRIM(MID(E821,MIN(FIND({" ";"g";"k";"m";"o"},E821&amp;" gkmo")),10)),"unknown")</f>
        <v>g</v>
      </c>
      <c r="K821" s="6" t="str">
        <f t="shared" si="48"/>
        <v>g</v>
      </c>
      <c r="L821" s="6" t="str">
        <f t="shared" si="49"/>
        <v>Brossard</v>
      </c>
      <c r="M821" s="6" t="str">
        <f t="shared" si="50"/>
        <v>Pain D'Épices Au Miel</v>
      </c>
      <c r="N821" s="6" t="str">
        <f t="shared" si="51"/>
        <v>France, Switzerland</v>
      </c>
    </row>
    <row r="822" spans="1:14" x14ac:dyDescent="0.25">
      <c r="A822" s="6" t="s">
        <v>2140</v>
      </c>
      <c r="B822" s="6">
        <v>13121</v>
      </c>
      <c r="C822" s="6" t="s">
        <v>2141</v>
      </c>
      <c r="D822" s="7" t="s">
        <v>2142</v>
      </c>
      <c r="E822" s="6" t="s">
        <v>84</v>
      </c>
      <c r="F822" s="6" t="s">
        <v>220</v>
      </c>
      <c r="G822" s="8">
        <v>45798</v>
      </c>
      <c r="H822" s="6">
        <v>23.22</v>
      </c>
      <c r="I822" s="6" cm="1">
        <f t="array" ref="I822">IFERROR(VALUE(TRIM(LEFT(E822,MIN(FIND({" ";"g";"k";"m";"o"},E822&amp;" gkmo"))-1))),0)</f>
        <v>85</v>
      </c>
      <c r="J822" s="6" t="str" cm="1">
        <f t="array" ref="J822">IFERROR(TRIM(MID(E822,MIN(FIND({" ";"g";"k";"m";"o"},E822&amp;" gkmo")),10)),"unknown")</f>
        <v>g</v>
      </c>
      <c r="K822" s="6" t="str">
        <f t="shared" si="48"/>
        <v>g</v>
      </c>
      <c r="L822" s="6" t="str">
        <f t="shared" si="49"/>
        <v>Popchips</v>
      </c>
      <c r="M822" s="6" t="str">
        <f t="shared" si="50"/>
        <v>Barbeque Flavour Popped Potato Snacks</v>
      </c>
      <c r="N822" s="6" t="str">
        <f t="shared" si="51"/>
        <v>France, United Kingdom</v>
      </c>
    </row>
    <row r="823" spans="1:14" x14ac:dyDescent="0.25">
      <c r="A823" s="6" t="s">
        <v>2143</v>
      </c>
      <c r="B823" s="6">
        <v>6432</v>
      </c>
      <c r="C823" s="6" t="s">
        <v>2144</v>
      </c>
      <c r="D823" s="7" t="s">
        <v>2145</v>
      </c>
      <c r="E823" s="6" t="s">
        <v>2146</v>
      </c>
      <c r="F823" s="6" t="s">
        <v>8467</v>
      </c>
      <c r="G823" s="8">
        <v>45954</v>
      </c>
      <c r="H823" s="6">
        <v>5.2</v>
      </c>
      <c r="I823" s="6" cm="1">
        <f t="array" ref="I823">IFERROR(VALUE(TRIM(LEFT(E823,MIN(FIND({" ";"g";"k";"m";"o"},E823&amp;" gkmo"))-1))),0)</f>
        <v>352</v>
      </c>
      <c r="J823" s="6" t="str" cm="1">
        <f t="array" ref="J823">IFERROR(TRIM(MID(E823,MIN(FIND({" ";"g";"k";"m";"o"},E823&amp;" gkmo")),10)),"unknown")</f>
        <v>g</v>
      </c>
      <c r="K823" s="6" t="str">
        <f t="shared" si="48"/>
        <v>g</v>
      </c>
      <c r="L823" s="6" t="str">
        <f t="shared" si="49"/>
        <v>Oreo</v>
      </c>
      <c r="M823" s="6" t="str">
        <f t="shared" si="50"/>
        <v>Original Oreo</v>
      </c>
      <c r="N823" s="6" t="str">
        <f t="shared" si="51"/>
        <v>Belgium, Canada, Denmark, Finland, France, Germany, Mauritius, Morocco, Reunion, Spain, Switzerland, Latvia</v>
      </c>
    </row>
    <row r="824" spans="1:14" x14ac:dyDescent="0.25">
      <c r="A824" s="6" t="s">
        <v>2147</v>
      </c>
      <c r="B824" s="6">
        <v>10369</v>
      </c>
      <c r="C824" s="6" t="s">
        <v>2148</v>
      </c>
      <c r="D824" s="7" t="s">
        <v>7017</v>
      </c>
      <c r="E824" s="6" t="s">
        <v>44</v>
      </c>
      <c r="F824" s="6" t="s">
        <v>7997</v>
      </c>
      <c r="G824" s="8">
        <v>45996</v>
      </c>
      <c r="H824" s="6">
        <v>17.940000000000001</v>
      </c>
      <c r="I824" s="6" cm="1">
        <f t="array" ref="I824">IFERROR(VALUE(TRIM(LEFT(E824,MIN(FIND({" ";"g";"k";"m";"o"},E824&amp;" gkmo"))-1))),0)</f>
        <v>90</v>
      </c>
      <c r="J824" s="6" t="str" cm="1">
        <f t="array" ref="J824">IFERROR(TRIM(MID(E824,MIN(FIND({" ";"g";"k";"m";"o"},E824&amp;" gkmo")),10)),"unknown")</f>
        <v>g</v>
      </c>
      <c r="K824" s="6" t="str">
        <f t="shared" si="48"/>
        <v>g</v>
      </c>
      <c r="L824" s="6" t="str">
        <f t="shared" si="49"/>
        <v>Unknown</v>
      </c>
      <c r="M824" s="6" t="str">
        <f t="shared" si="50"/>
        <v>Takis Fuego 90G</v>
      </c>
      <c r="N824" s="6" t="str">
        <f t="shared" si="51"/>
        <v>Morocco, Spain, France</v>
      </c>
    </row>
    <row r="825" spans="1:14" x14ac:dyDescent="0.25">
      <c r="A825" s="6" t="s">
        <v>2149</v>
      </c>
      <c r="B825" s="6">
        <v>12795</v>
      </c>
      <c r="C825" s="6" t="s">
        <v>7472</v>
      </c>
      <c r="D825" s="7" t="s">
        <v>854</v>
      </c>
      <c r="E825" s="6" t="s">
        <v>151</v>
      </c>
      <c r="F825" s="6" t="s">
        <v>8305</v>
      </c>
      <c r="G825" s="8">
        <v>45748</v>
      </c>
      <c r="H825" s="6">
        <v>18.059999999999999</v>
      </c>
      <c r="I825" s="6" cm="1">
        <f t="array" ref="I825">IFERROR(VALUE(TRIM(LEFT(E825,MIN(FIND({" ";"g";"k";"m";"o"},E825&amp;" gkmo"))-1))),0)</f>
        <v>200</v>
      </c>
      <c r="J825" s="6" t="str" cm="1">
        <f t="array" ref="J825">IFERROR(TRIM(MID(E825,MIN(FIND({" ";"g";"k";"m";"o"},E825&amp;" gkmo")),10)),"unknown")</f>
        <v>g</v>
      </c>
      <c r="K825" s="6" t="str">
        <f t="shared" si="48"/>
        <v>g</v>
      </c>
      <c r="L825" s="6" t="str">
        <f t="shared" si="49"/>
        <v>Carrefour</v>
      </c>
      <c r="M825" s="6" t="str">
        <f t="shared" si="50"/>
        <v>Cacahuètes Grillées Sans Sel Ajouté.</v>
      </c>
      <c r="N825" s="6" t="str">
        <f t="shared" si="51"/>
        <v>Belgium,France,Italie,Pologne,Roumanie,Spain</v>
      </c>
    </row>
    <row r="826" spans="1:14" x14ac:dyDescent="0.25">
      <c r="A826" s="6" t="s">
        <v>2150</v>
      </c>
      <c r="B826" s="6">
        <v>7846</v>
      </c>
      <c r="C826" s="6" t="s">
        <v>2151</v>
      </c>
      <c r="D826" s="7" t="s">
        <v>13</v>
      </c>
      <c r="E826" s="6" t="s">
        <v>2152</v>
      </c>
      <c r="F826" s="6" t="s">
        <v>2973</v>
      </c>
      <c r="G826" s="8">
        <v>45675</v>
      </c>
      <c r="H826" s="6">
        <v>11.23</v>
      </c>
      <c r="I826" s="6" cm="1">
        <f t="array" ref="I826">IFERROR(VALUE(TRIM(LEFT(E826,MIN(FIND({" ";"g";"k";"m";"o"},E826&amp;" gkmo"))-1))),0)</f>
        <v>167</v>
      </c>
      <c r="J826" s="6" t="str" cm="1">
        <f t="array" ref="J826">IFERROR(TRIM(MID(E826,MIN(FIND({" ";"g";"k";"m";"o"},E826&amp;" gkmo")),10)),"unknown")</f>
        <v>g</v>
      </c>
      <c r="K826" s="6" t="str">
        <f t="shared" si="48"/>
        <v>g</v>
      </c>
      <c r="L826" s="6" t="str">
        <f t="shared" si="49"/>
        <v>Lu</v>
      </c>
      <c r="M826" s="6" t="str">
        <f t="shared" si="50"/>
        <v>Le Petit Beurre</v>
      </c>
      <c r="N826" s="6" t="str">
        <f t="shared" si="51"/>
        <v>Gb</v>
      </c>
    </row>
    <row r="827" spans="1:14" x14ac:dyDescent="0.25">
      <c r="A827" s="6" t="s">
        <v>2153</v>
      </c>
      <c r="B827" s="6">
        <v>14101</v>
      </c>
      <c r="C827" s="6" t="s">
        <v>2154</v>
      </c>
      <c r="D827" s="7" t="s">
        <v>112</v>
      </c>
      <c r="E827" s="6" t="s">
        <v>415</v>
      </c>
      <c r="F827" s="6" t="s">
        <v>2155</v>
      </c>
      <c r="G827" s="8">
        <v>45520</v>
      </c>
      <c r="H827" s="6">
        <v>12.39</v>
      </c>
      <c r="I827" s="6" cm="1">
        <f t="array" ref="I827">IFERROR(VALUE(TRIM(LEFT(E827,MIN(FIND({" ";"g";"k";"m";"o"},E827&amp;" gkmo"))-1))),0)</f>
        <v>185</v>
      </c>
      <c r="J827" s="6" t="str" cm="1">
        <f t="array" ref="J827">IFERROR(TRIM(MID(E827,MIN(FIND({" ";"g";"k";"m";"o"},E827&amp;" gkmo")),10)),"unknown")</f>
        <v>g</v>
      </c>
      <c r="K827" s="6" t="str">
        <f t="shared" si="48"/>
        <v>g</v>
      </c>
      <c r="L827" s="6" t="str">
        <f t="shared" si="49"/>
        <v>Pringles</v>
      </c>
      <c r="M827" s="6" t="str">
        <f t="shared" si="50"/>
        <v>Pringles Salt &amp; Vinegar</v>
      </c>
      <c r="N827" s="6" t="str">
        <f t="shared" si="51"/>
        <v>Germany,United Kingdom</v>
      </c>
    </row>
    <row r="828" spans="1:14" x14ac:dyDescent="0.25">
      <c r="A828" s="6" t="s">
        <v>2156</v>
      </c>
      <c r="B828" s="6">
        <v>9477</v>
      </c>
      <c r="C828" s="6" t="s">
        <v>2157</v>
      </c>
      <c r="D828" s="7" t="s">
        <v>2158</v>
      </c>
      <c r="E828" s="6" t="s">
        <v>786</v>
      </c>
      <c r="F828" s="6" t="s">
        <v>2159</v>
      </c>
      <c r="G828" s="8">
        <v>45696</v>
      </c>
      <c r="H828" s="6">
        <v>10.41</v>
      </c>
      <c r="I828" s="6" cm="1">
        <f t="array" ref="I828">IFERROR(VALUE(TRIM(LEFT(E828,MIN(FIND({" ";"g";"k";"m";"o"},E828&amp;" gkmo"))-1))),0)</f>
        <v>130</v>
      </c>
      <c r="J828" s="6" t="str" cm="1">
        <f t="array" ref="J828">IFERROR(TRIM(MID(E828,MIN(FIND({" ";"g";"k";"m";"o"},E828&amp;" gkmo")),10)),"unknown")</f>
        <v>g</v>
      </c>
      <c r="K828" s="6" t="str">
        <f t="shared" si="48"/>
        <v>g</v>
      </c>
      <c r="L828" s="6" t="str">
        <f t="shared" si="49"/>
        <v>The Natural Confectionery Co.</v>
      </c>
      <c r="M828" s="6" t="str">
        <f t="shared" si="50"/>
        <v>Jelly Snakes</v>
      </c>
      <c r="N828" s="6" t="str">
        <f t="shared" si="51"/>
        <v>Switzerland,United Kingdom</v>
      </c>
    </row>
    <row r="829" spans="1:14" x14ac:dyDescent="0.25">
      <c r="A829" s="6" t="s">
        <v>2160</v>
      </c>
      <c r="B829" s="6">
        <v>9228</v>
      </c>
      <c r="C829" s="6" t="s">
        <v>2161</v>
      </c>
      <c r="D829" s="7" t="s">
        <v>488</v>
      </c>
      <c r="E829" s="6" t="s">
        <v>840</v>
      </c>
      <c r="F829" s="6" t="s">
        <v>400</v>
      </c>
      <c r="G829" s="8">
        <v>45945</v>
      </c>
      <c r="H829" s="6">
        <v>5.7</v>
      </c>
      <c r="I829" s="6" cm="1">
        <f t="array" ref="I829">IFERROR(VALUE(TRIM(LEFT(E829,MIN(FIND({" ";"g";"k";"m";"o"},E829&amp;" gkmo"))-1))),0)</f>
        <v>175</v>
      </c>
      <c r="J829" s="6" t="str" cm="1">
        <f t="array" ref="J829">IFERROR(TRIM(MID(E829,MIN(FIND({" ";"g";"k";"m";"o"},E829&amp;" gkmo")),10)),"unknown")</f>
        <v>g</v>
      </c>
      <c r="K829" s="6" t="str">
        <f t="shared" si="48"/>
        <v>g</v>
      </c>
      <c r="L829" s="6" t="str">
        <f t="shared" si="49"/>
        <v>Bonne Maman</v>
      </c>
      <c r="M829" s="6" t="str">
        <f t="shared" si="50"/>
        <v>Madeleine</v>
      </c>
      <c r="N829" s="6" t="str">
        <f t="shared" si="51"/>
        <v>France,United Kingdom</v>
      </c>
    </row>
    <row r="830" spans="1:14" x14ac:dyDescent="0.25">
      <c r="A830" s="6" t="s">
        <v>2162</v>
      </c>
      <c r="B830" s="6">
        <v>7422</v>
      </c>
      <c r="C830" s="6" t="s">
        <v>2163</v>
      </c>
      <c r="D830" s="7" t="s">
        <v>439</v>
      </c>
      <c r="E830" s="6" t="s">
        <v>151</v>
      </c>
      <c r="F830" s="6" t="s">
        <v>139</v>
      </c>
      <c r="G830" s="8">
        <v>45331</v>
      </c>
      <c r="H830" s="6">
        <v>6.39</v>
      </c>
      <c r="I830" s="6" cm="1">
        <f t="array" ref="I830">IFERROR(VALUE(TRIM(LEFT(E830,MIN(FIND({" ";"g";"k";"m";"o"},E830&amp;" gkmo"))-1))),0)</f>
        <v>200</v>
      </c>
      <c r="J830" s="6" t="str" cm="1">
        <f t="array" ref="J830">IFERROR(TRIM(MID(E830,MIN(FIND({" ";"g";"k";"m";"o"},E830&amp;" gkmo")),10)),"unknown")</f>
        <v>g</v>
      </c>
      <c r="K830" s="6" t="str">
        <f t="shared" si="48"/>
        <v>g</v>
      </c>
      <c r="L830" s="6" t="str">
        <f t="shared" si="49"/>
        <v>Poulain</v>
      </c>
      <c r="M830" s="6" t="str">
        <f t="shared" si="50"/>
        <v>Poulain Noir Extra 200G</v>
      </c>
      <c r="N830" s="6" t="str">
        <f t="shared" si="51"/>
        <v>France</v>
      </c>
    </row>
    <row r="831" spans="1:14" x14ac:dyDescent="0.25">
      <c r="A831" s="6" t="s">
        <v>2164</v>
      </c>
      <c r="B831" s="6">
        <v>14944</v>
      </c>
      <c r="C831" s="6" t="s">
        <v>2165</v>
      </c>
      <c r="D831" s="7" t="s">
        <v>2166</v>
      </c>
      <c r="E831" s="6" t="s">
        <v>2167</v>
      </c>
      <c r="F831" s="6" t="s">
        <v>7926</v>
      </c>
      <c r="G831" s="8">
        <v>45458</v>
      </c>
      <c r="H831" s="6">
        <v>20.09</v>
      </c>
      <c r="I831" s="6" cm="1">
        <f t="array" ref="I831">IFERROR(VALUE(TRIM(LEFT(E831,MIN(FIND({" ";"g";"k";"m";"o"},E831&amp;" gkmo"))-1))),0)</f>
        <v>159</v>
      </c>
      <c r="J831" s="6" t="str" cm="1">
        <f t="array" ref="J831">IFERROR(TRIM(MID(E831,MIN(FIND({" ";"g";"k";"m";"o"},E831&amp;" gkmo")),10)),"unknown")</f>
        <v>g</v>
      </c>
      <c r="K831" s="6" t="str">
        <f t="shared" si="48"/>
        <v>g</v>
      </c>
      <c r="L831" s="6" t="str">
        <f t="shared" si="49"/>
        <v>Snack-A-Jacks</v>
      </c>
      <c r="M831" s="6" t="str">
        <f t="shared" si="50"/>
        <v>Snack A Jacks Caramel Rice Cakes</v>
      </c>
      <c r="N831" s="6" t="str">
        <f t="shared" si="51"/>
        <v>France, United-Kingdom</v>
      </c>
    </row>
    <row r="832" spans="1:14" x14ac:dyDescent="0.25">
      <c r="A832" s="6" t="s">
        <v>2168</v>
      </c>
      <c r="B832" s="6">
        <v>10476</v>
      </c>
      <c r="C832" s="6" t="s">
        <v>2169</v>
      </c>
      <c r="D832" s="7" t="s">
        <v>2170</v>
      </c>
      <c r="E832" s="6" t="s">
        <v>151</v>
      </c>
      <c r="F832" s="6" t="s">
        <v>7926</v>
      </c>
      <c r="G832" s="8">
        <v>45748</v>
      </c>
      <c r="H832" s="6">
        <v>4.0199999999999996</v>
      </c>
      <c r="I832" s="6" cm="1">
        <f t="array" ref="I832">IFERROR(VALUE(TRIM(LEFT(E832,MIN(FIND({" ";"g";"k";"m";"o"},E832&amp;" gkmo"))-1))),0)</f>
        <v>200</v>
      </c>
      <c r="J832" s="6" t="str" cm="1">
        <f t="array" ref="J832">IFERROR(TRIM(MID(E832,MIN(FIND({" ";"g";"k";"m";"o"},E832&amp;" gkmo")),10)),"unknown")</f>
        <v>g</v>
      </c>
      <c r="K832" s="6" t="str">
        <f t="shared" si="48"/>
        <v>g</v>
      </c>
      <c r="L832" s="6" t="str">
        <f t="shared" si="49"/>
        <v>Jacobs</v>
      </c>
      <c r="M832" s="6" t="str">
        <f t="shared" si="50"/>
        <v>Jacobs Savours Salt And Black Pepper Bakes</v>
      </c>
      <c r="N832" s="6" t="str">
        <f t="shared" si="51"/>
        <v>France, United-Kingdom</v>
      </c>
    </row>
    <row r="833" spans="1:14" x14ac:dyDescent="0.25">
      <c r="A833" s="6" t="s">
        <v>2171</v>
      </c>
      <c r="B833" s="6">
        <v>8023</v>
      </c>
      <c r="C833" s="6" t="s">
        <v>2172</v>
      </c>
      <c r="D833" s="7" t="s">
        <v>7017</v>
      </c>
      <c r="E833" s="6" t="s">
        <v>855</v>
      </c>
      <c r="F833" s="6" t="s">
        <v>2173</v>
      </c>
      <c r="G833" s="8">
        <v>45980</v>
      </c>
      <c r="H833" s="6">
        <v>21.91</v>
      </c>
      <c r="I833" s="6" cm="1">
        <f t="array" ref="I833">IFERROR(VALUE(TRIM(LEFT(E833,MIN(FIND({" ";"g";"k";"m";"o"},E833&amp;" gkmo"))-1))),0)</f>
        <v>80</v>
      </c>
      <c r="J833" s="6" t="str" cm="1">
        <f t="array" ref="J833">IFERROR(TRIM(MID(E833,MIN(FIND({" ";"g";"k";"m";"o"},E833&amp;" gkmo")),10)),"unknown")</f>
        <v>g</v>
      </c>
      <c r="K833" s="6" t="str">
        <f t="shared" si="48"/>
        <v>g</v>
      </c>
      <c r="L833" s="6" t="str">
        <f t="shared" si="49"/>
        <v>Unknown</v>
      </c>
      <c r="M833" s="6" t="str">
        <f t="shared" si="50"/>
        <v>Dark Chocolate 85% Cocoa</v>
      </c>
      <c r="N833" s="6" t="str">
        <f t="shared" si="51"/>
        <v>Romania</v>
      </c>
    </row>
    <row r="834" spans="1:14" x14ac:dyDescent="0.25">
      <c r="A834" s="6" t="s">
        <v>2174</v>
      </c>
      <c r="B834" s="6">
        <v>13893</v>
      </c>
      <c r="C834" s="6" t="s">
        <v>2175</v>
      </c>
      <c r="D834" s="7" t="s">
        <v>2176</v>
      </c>
      <c r="E834" s="6" t="s">
        <v>2177</v>
      </c>
      <c r="F834" s="6" t="s">
        <v>8226</v>
      </c>
      <c r="G834" s="8">
        <v>45721</v>
      </c>
      <c r="H834" s="6">
        <v>16.760000000000002</v>
      </c>
      <c r="I834" s="6" cm="1">
        <f t="array" ref="I834">IFERROR(VALUE(TRIM(LEFT(E834,MIN(FIND({" ";"g";"k";"m";"o"},E834&amp;" gkmo"))-1))),0)</f>
        <v>230</v>
      </c>
      <c r="J834" s="6" t="str" cm="1">
        <f t="array" ref="J834">IFERROR(TRIM(MID(E834,MIN(FIND({" ";"g";"k";"m";"o"},E834&amp;" gkmo")),10)),"unknown")</f>
        <v>g.</v>
      </c>
      <c r="K834" s="6" t="str">
        <f t="shared" si="48"/>
        <v>g</v>
      </c>
      <c r="L834" s="6" t="str">
        <f t="shared" si="49"/>
        <v>Gran Cereale</v>
      </c>
      <c r="M834" s="6" t="str">
        <f t="shared" si="50"/>
        <v>Gran Cereale Croccante Con Riso</v>
      </c>
      <c r="N834" s="6" t="str">
        <f t="shared" si="51"/>
        <v>France,Italia</v>
      </c>
    </row>
    <row r="835" spans="1:14" x14ac:dyDescent="0.25">
      <c r="A835" s="6" t="s">
        <v>2178</v>
      </c>
      <c r="B835" s="6">
        <v>5189</v>
      </c>
      <c r="C835" s="6" t="s">
        <v>7665</v>
      </c>
      <c r="D835" s="7" t="s">
        <v>2179</v>
      </c>
      <c r="E835" s="6" t="s">
        <v>10</v>
      </c>
      <c r="F835" s="6" t="s">
        <v>7666</v>
      </c>
      <c r="G835" s="8">
        <v>45874</v>
      </c>
      <c r="H835" s="6">
        <v>22.9</v>
      </c>
      <c r="I835" s="6" cm="1">
        <f t="array" ref="I835">IFERROR(VALUE(TRIM(LEFT(E835,MIN(FIND({" ";"g";"k";"m";"o"},E835&amp;" gkmo"))-1))),0)</f>
        <v>100</v>
      </c>
      <c r="J835" s="6" t="str" cm="1">
        <f t="array" ref="J835">IFERROR(TRIM(MID(E835,MIN(FIND({" ";"g";"k";"m";"o"},E835&amp;" gkmo")),10)),"unknown")</f>
        <v>g</v>
      </c>
      <c r="K835" s="6" t="str">
        <f t="shared" ref="K835:K898" si="52">IF(E835="","unknown",IF(OR(J835="g",LEFT(J835,1)="g"),"g",IF(OR(LEFT(J835,2)="kg",LEFT(J835,2)="ki"),"kg",IF(OR(LEFT(J835,2)="ml",LEFT(J835,1)="m"),"ml",IF(LEFT(J835,1)="l","l",IF(ISNUMBER(SEARCH("g",E835)),"g",IF(ISNUMBER(SEARCH("kg",E835)),"kg",IF(ISNUMBER(SEARCH("ml",E835)),"ml","unknown"))))))))</f>
        <v>g</v>
      </c>
      <c r="L835" s="6" t="str">
        <f t="shared" ref="L835:L898" si="53">IF(D835="","Unknown",PROPER(TRIM(D835)))</f>
        <v>Valor</v>
      </c>
      <c r="M835" s="6" t="str">
        <f t="shared" ref="M835:M898" si="54">IF(C835="Unknown","Unknown",PROPER(TRIM(C835)))</f>
        <v>Chocolate 85% Cacao 0% Azàºcares Aà±Adidos</v>
      </c>
      <c r="N835" s="6" t="str">
        <f t="shared" ref="N835:N898" si="55">IF(F835="","Unknown",PROPER(TRIM(F835)))</f>
        <v>Bolivia,Chile,Colombia,Ecuador,Marruecos,Rumania,Espaà±A</v>
      </c>
    </row>
    <row r="836" spans="1:14" x14ac:dyDescent="0.25">
      <c r="A836" s="6" t="s">
        <v>2180</v>
      </c>
      <c r="B836" s="6">
        <v>8735</v>
      </c>
      <c r="C836" s="6" t="s">
        <v>2181</v>
      </c>
      <c r="D836" s="7" t="s">
        <v>7578</v>
      </c>
      <c r="E836" s="6" t="s">
        <v>132</v>
      </c>
      <c r="F836" s="6" t="s">
        <v>8228</v>
      </c>
      <c r="G836" s="8">
        <v>45807</v>
      </c>
      <c r="H836" s="6">
        <v>1.39</v>
      </c>
      <c r="I836" s="6" cm="1">
        <f t="array" ref="I836">IFERROR(VALUE(TRIM(LEFT(E836,MIN(FIND({" ";"g";"k";"m";"o"},E836&amp;" gkmo"))-1))),0)</f>
        <v>350</v>
      </c>
      <c r="J836" s="6" t="str" cm="1">
        <f t="array" ref="J836">IFERROR(TRIM(MID(E836,MIN(FIND({" ";"g";"k";"m";"o"},E836&amp;" gkmo")),10)),"unknown")</f>
        <v>g</v>
      </c>
      <c r="K836" s="6" t="str">
        <f t="shared" si="52"/>
        <v>g</v>
      </c>
      <c r="L836" s="6" t="str">
        <f t="shared" si="53"/>
        <v>Gullà³N</v>
      </c>
      <c r="M836" s="6" t="str">
        <f t="shared" si="54"/>
        <v>Mini Cracker!</v>
      </c>
      <c r="N836" s="6" t="str">
        <f t="shared" si="55"/>
        <v>France,Spagna,Italia, Morocco</v>
      </c>
    </row>
    <row r="837" spans="1:14" x14ac:dyDescent="0.25">
      <c r="A837" s="6" t="s">
        <v>2182</v>
      </c>
      <c r="B837" s="6">
        <v>13269</v>
      </c>
      <c r="C837" s="6" t="s">
        <v>7667</v>
      </c>
      <c r="D837" s="7" t="s">
        <v>7155</v>
      </c>
      <c r="E837" s="6" t="s">
        <v>470</v>
      </c>
      <c r="F837" s="6" t="s">
        <v>8449</v>
      </c>
      <c r="G837" s="8">
        <v>45458</v>
      </c>
      <c r="H837" s="6">
        <v>8.76</v>
      </c>
      <c r="I837" s="6" cm="1">
        <f t="array" ref="I837">IFERROR(VALUE(TRIM(LEFT(E837,MIN(FIND({" ";"g";"k";"m";"o"},E837&amp;" gkmo"))-1))),0)</f>
        <v>132</v>
      </c>
      <c r="J837" s="6" t="str" cm="1">
        <f t="array" ref="J837">IFERROR(TRIM(MID(E837,MIN(FIND({" ";"g";"k";"m";"o"},E837&amp;" gkmo")),10)),"unknown")</f>
        <v>g</v>
      </c>
      <c r="K837" s="6" t="str">
        <f t="shared" si="52"/>
        <v>g</v>
      </c>
      <c r="L837" s="6" t="str">
        <f t="shared" si="53"/>
        <v>Gerblé, Gerblé Bio</v>
      </c>
      <c r="M837" s="6" t="str">
        <f t="shared" si="54"/>
        <v>Biscuits À  L'Orange Orange Et Au Graines De Chia</v>
      </c>
      <c r="N837" s="6" t="str">
        <f t="shared" si="55"/>
        <v>France,La Reunion</v>
      </c>
    </row>
    <row r="838" spans="1:14" x14ac:dyDescent="0.25">
      <c r="A838" s="6" t="s">
        <v>2183</v>
      </c>
      <c r="B838" s="6">
        <v>10650</v>
      </c>
      <c r="C838" s="6" t="s">
        <v>2184</v>
      </c>
      <c r="D838" s="7" t="s">
        <v>150</v>
      </c>
      <c r="E838" s="6" t="s">
        <v>39</v>
      </c>
      <c r="F838" s="6" t="s">
        <v>2185</v>
      </c>
      <c r="G838" s="8">
        <v>45929</v>
      </c>
      <c r="H838" s="6">
        <v>11.44</v>
      </c>
      <c r="I838" s="6" cm="1">
        <f t="array" ref="I838">IFERROR(VALUE(TRIM(LEFT(E838,MIN(FIND({" ";"g";"k";"m";"o"},E838&amp;" gkmo"))-1))),0)</f>
        <v>150</v>
      </c>
      <c r="J838" s="6" t="str" cm="1">
        <f t="array" ref="J838">IFERROR(TRIM(MID(E838,MIN(FIND({" ";"g";"k";"m";"o"},E838&amp;" gkmo")),10)),"unknown")</f>
        <v>g</v>
      </c>
      <c r="K838" s="6" t="str">
        <f t="shared" si="52"/>
        <v>g</v>
      </c>
      <c r="L838" s="6" t="str">
        <f t="shared" si="53"/>
        <v>Alesto</v>
      </c>
      <c r="M838" s="6" t="str">
        <f t="shared" si="54"/>
        <v>Cashews Roasted &amp; Salted</v>
      </c>
      <c r="N838" s="6" t="str">
        <f t="shared" si="55"/>
        <v>Bulgaria,France,Hungary,Romania,Spain,United Kingdom</v>
      </c>
    </row>
    <row r="839" spans="1:14" x14ac:dyDescent="0.25">
      <c r="A839" s="6" t="s">
        <v>2186</v>
      </c>
      <c r="B839" s="6">
        <v>10421</v>
      </c>
      <c r="C839" s="6" t="s">
        <v>7156</v>
      </c>
      <c r="D839" s="7" t="s">
        <v>7157</v>
      </c>
      <c r="E839" s="6" t="s">
        <v>772</v>
      </c>
      <c r="F839" s="6" t="s">
        <v>139</v>
      </c>
      <c r="G839" s="8">
        <v>45459</v>
      </c>
      <c r="H839" s="6">
        <v>23.14</v>
      </c>
      <c r="I839" s="6" cm="1">
        <f t="array" ref="I839">IFERROR(VALUE(TRIM(LEFT(E839,MIN(FIND({" ";"g";"k";"m";"o"},E839&amp;" gkmo"))-1))),0)</f>
        <v>132</v>
      </c>
      <c r="J839" s="6" t="str" cm="1">
        <f t="array" ref="J839">IFERROR(TRIM(MID(E839,MIN(FIND({" ";"g";"k";"m";"o"},E839&amp;" gkmo")),10)),"unknown")</f>
        <v>g</v>
      </c>
      <c r="K839" s="6" t="str">
        <f t="shared" si="52"/>
        <v>g</v>
      </c>
      <c r="L839" s="6" t="str">
        <f t="shared" si="53"/>
        <v>Gerblé Bio</v>
      </c>
      <c r="M839" s="6" t="str">
        <f t="shared" si="54"/>
        <v>Gerblé - Organic Muesli Fig Apricot Spelt Cookie, 132G (4.7Oz)</v>
      </c>
      <c r="N839" s="6" t="str">
        <f t="shared" si="55"/>
        <v>France</v>
      </c>
    </row>
    <row r="840" spans="1:14" x14ac:dyDescent="0.25">
      <c r="A840" s="6" t="s">
        <v>2187</v>
      </c>
      <c r="B840" s="6">
        <v>7196</v>
      </c>
      <c r="C840" s="6" t="s">
        <v>2188</v>
      </c>
      <c r="D840" s="7" t="s">
        <v>2189</v>
      </c>
      <c r="E840" s="6" t="s">
        <v>151</v>
      </c>
      <c r="F840" s="6" t="s">
        <v>139</v>
      </c>
      <c r="G840" s="8">
        <v>45688</v>
      </c>
      <c r="H840" s="6">
        <v>5.85</v>
      </c>
      <c r="I840" s="6" cm="1">
        <f t="array" ref="I840">IFERROR(VALUE(TRIM(LEFT(E840,MIN(FIND({" ";"g";"k";"m";"o"},E840&amp;" gkmo"))-1))),0)</f>
        <v>200</v>
      </c>
      <c r="J840" s="6" t="str" cm="1">
        <f t="array" ref="J840">IFERROR(TRIM(MID(E840,MIN(FIND({" ";"g";"k";"m";"o"},E840&amp;" gkmo")),10)),"unknown")</f>
        <v>g</v>
      </c>
      <c r="K840" s="6" t="str">
        <f t="shared" si="52"/>
        <v>g</v>
      </c>
      <c r="L840" s="6" t="str">
        <f t="shared" si="53"/>
        <v>Aldi, Simplement Bon Et Bio</v>
      </c>
      <c r="M840" s="6" t="str">
        <f t="shared" si="54"/>
        <v>Tartines Croquantes</v>
      </c>
      <c r="N840" s="6" t="str">
        <f t="shared" si="55"/>
        <v>France</v>
      </c>
    </row>
    <row r="841" spans="1:14" x14ac:dyDescent="0.25">
      <c r="A841" s="6" t="s">
        <v>2190</v>
      </c>
      <c r="B841" s="6">
        <v>8973</v>
      </c>
      <c r="C841" s="6" t="s">
        <v>2191</v>
      </c>
      <c r="D841" s="7" t="s">
        <v>488</v>
      </c>
      <c r="E841" s="6"/>
      <c r="F841" s="6" t="s">
        <v>139</v>
      </c>
      <c r="G841" s="8">
        <v>45669</v>
      </c>
      <c r="H841" s="6">
        <v>16.010000000000002</v>
      </c>
      <c r="I841" s="6" cm="1">
        <f t="array" ref="I841">IFERROR(VALUE(TRIM(LEFT(E841,MIN(FIND({" ";"g";"k";"m";"o"},E841&amp;" gkmo"))-1))),0)</f>
        <v>0</v>
      </c>
      <c r="J841" s="6" t="str" cm="1">
        <f t="array" ref="J841">IFERROR(TRIM(MID(E841,MIN(FIND({" ";"g";"k";"m";"o"},E841&amp;" gkmo")),10)),"unknown")</f>
        <v/>
      </c>
      <c r="K841" s="6" t="str">
        <f t="shared" si="52"/>
        <v>unknown</v>
      </c>
      <c r="L841" s="6" t="str">
        <f t="shared" si="53"/>
        <v>Bonne Maman</v>
      </c>
      <c r="M841" s="6" t="str">
        <f t="shared" si="54"/>
        <v>Petits Chocos Ðÿ«</v>
      </c>
      <c r="N841" s="6" t="str">
        <f t="shared" si="55"/>
        <v>France</v>
      </c>
    </row>
    <row r="842" spans="1:14" x14ac:dyDescent="0.25">
      <c r="A842" s="6" t="s">
        <v>2192</v>
      </c>
      <c r="B842" s="6">
        <v>12274</v>
      </c>
      <c r="C842" s="6" t="s">
        <v>7668</v>
      </c>
      <c r="D842" s="7" t="s">
        <v>2193</v>
      </c>
      <c r="E842" s="6"/>
      <c r="F842" s="6" t="s">
        <v>139</v>
      </c>
      <c r="G842" s="8">
        <v>45433</v>
      </c>
      <c r="H842" s="6">
        <v>11.86</v>
      </c>
      <c r="I842" s="6" cm="1">
        <f t="array" ref="I842">IFERROR(VALUE(TRIM(LEFT(E842,MIN(FIND({" ";"g";"k";"m";"o"},E842&amp;" gkmo"))-1))),0)</f>
        <v>0</v>
      </c>
      <c r="J842" s="6" t="str" cm="1">
        <f t="array" ref="J842">IFERROR(TRIM(MID(E842,MIN(FIND({" ";"g";"k";"m";"o"},E842&amp;" gkmo")),10)),"unknown")</f>
        <v/>
      </c>
      <c r="K842" s="6" t="str">
        <f t="shared" si="52"/>
        <v>unknown</v>
      </c>
      <c r="L842" s="6" t="str">
        <f t="shared" si="53"/>
        <v>Vitalia</v>
      </c>
      <c r="M842" s="6" t="str">
        <f t="shared" si="54"/>
        <v>Barre Granola Goà»T Chocolat Et Enrobage Crème De Cacao</v>
      </c>
      <c r="N842" s="6" t="str">
        <f t="shared" si="55"/>
        <v>France</v>
      </c>
    </row>
    <row r="843" spans="1:14" x14ac:dyDescent="0.25">
      <c r="A843" s="6" t="s">
        <v>2194</v>
      </c>
      <c r="B843" s="6">
        <v>6898</v>
      </c>
      <c r="C843" s="6" t="s">
        <v>2195</v>
      </c>
      <c r="D843" s="7" t="s">
        <v>2196</v>
      </c>
      <c r="E843" s="6" t="s">
        <v>151</v>
      </c>
      <c r="F843" s="6" t="s">
        <v>139</v>
      </c>
      <c r="G843" s="8">
        <v>46046</v>
      </c>
      <c r="H843" s="6">
        <v>7.18</v>
      </c>
      <c r="I843" s="6" cm="1">
        <f t="array" ref="I843">IFERROR(VALUE(TRIM(LEFT(E843,MIN(FIND({" ";"g";"k";"m";"o"},E843&amp;" gkmo"))-1))),0)</f>
        <v>200</v>
      </c>
      <c r="J843" s="6" t="str" cm="1">
        <f t="array" ref="J843">IFERROR(TRIM(MID(E843,MIN(FIND({" ";"g";"k";"m";"o"},E843&amp;" gkmo")),10)),"unknown")</f>
        <v>g</v>
      </c>
      <c r="K843" s="6" t="str">
        <f t="shared" si="52"/>
        <v>g</v>
      </c>
      <c r="L843" s="6" t="str">
        <f t="shared" si="53"/>
        <v>Kraft Foods, Milka</v>
      </c>
      <c r="M843" s="6" t="str">
        <f t="shared" si="54"/>
        <v>Chocolat Au Lait Du Pays Alpin</v>
      </c>
      <c r="N843" s="6" t="str">
        <f t="shared" si="55"/>
        <v>France</v>
      </c>
    </row>
    <row r="844" spans="1:14" x14ac:dyDescent="0.25">
      <c r="A844" s="6" t="s">
        <v>2197</v>
      </c>
      <c r="B844" s="6">
        <v>9606</v>
      </c>
      <c r="C844" s="6" t="s">
        <v>2198</v>
      </c>
      <c r="D844" s="7" t="s">
        <v>2199</v>
      </c>
      <c r="E844" s="6" t="s">
        <v>10</v>
      </c>
      <c r="F844" s="6" t="s">
        <v>139</v>
      </c>
      <c r="G844" s="8">
        <v>45334</v>
      </c>
      <c r="H844" s="6">
        <v>10.220000000000001</v>
      </c>
      <c r="I844" s="6" cm="1">
        <f t="array" ref="I844">IFERROR(VALUE(TRIM(LEFT(E844,MIN(FIND({" ";"g";"k";"m";"o"},E844&amp;" gkmo"))-1))),0)</f>
        <v>100</v>
      </c>
      <c r="J844" s="6" t="str" cm="1">
        <f t="array" ref="J844">IFERROR(TRIM(MID(E844,MIN(FIND({" ";"g";"k";"m";"o"},E844&amp;" gkmo")),10)),"unknown")</f>
        <v>g</v>
      </c>
      <c r="K844" s="6" t="str">
        <f t="shared" si="52"/>
        <v>g</v>
      </c>
      <c r="L844" s="6" t="str">
        <f t="shared" si="53"/>
        <v>U, U Bio</v>
      </c>
      <c r="M844" s="6" t="str">
        <f t="shared" si="54"/>
        <v>Tablette De Chocolat Noir 100G</v>
      </c>
      <c r="N844" s="6" t="str">
        <f t="shared" si="55"/>
        <v>France</v>
      </c>
    </row>
    <row r="845" spans="1:14" x14ac:dyDescent="0.25">
      <c r="A845" s="6" t="s">
        <v>2200</v>
      </c>
      <c r="B845" s="6">
        <v>13977</v>
      </c>
      <c r="C845" s="6" t="s">
        <v>7095</v>
      </c>
      <c r="D845" s="7" t="s">
        <v>1699</v>
      </c>
      <c r="E845" s="6" t="s">
        <v>2201</v>
      </c>
      <c r="F845" s="6" t="s">
        <v>2202</v>
      </c>
      <c r="G845" s="8">
        <v>45467</v>
      </c>
      <c r="H845" s="6">
        <v>13.16</v>
      </c>
      <c r="I845" s="6" cm="1">
        <f t="array" ref="I845">IFERROR(VALUE(TRIM(LEFT(E845,MIN(FIND({" ";"g";"k";"m";"o"},E845&amp;" gkmo"))-1))),0)</f>
        <v>450</v>
      </c>
      <c r="J845" s="6" t="str" cm="1">
        <f t="array" ref="J845">IFERROR(TRIM(MID(E845,MIN(FIND({" ";"g";"k";"m";"o"},E845&amp;" gkmo")),10)),"unknown")</f>
        <v>g (enviro</v>
      </c>
      <c r="K845" s="6" t="str">
        <f t="shared" si="52"/>
        <v>g</v>
      </c>
      <c r="L845" s="6" t="str">
        <f t="shared" si="53"/>
        <v>Brioche Pasquier</v>
      </c>
      <c r="M845" s="6" t="str">
        <f t="shared" si="54"/>
        <v>Brioche Tranchée</v>
      </c>
      <c r="N845" s="6" t="str">
        <f t="shared" si="55"/>
        <v>Frankreich,Schweiz</v>
      </c>
    </row>
    <row r="846" spans="1:14" x14ac:dyDescent="0.25">
      <c r="A846" s="6" t="s">
        <v>2203</v>
      </c>
      <c r="B846" s="6">
        <v>12564</v>
      </c>
      <c r="C846" s="6" t="s">
        <v>7158</v>
      </c>
      <c r="D846" s="7" t="s">
        <v>2204</v>
      </c>
      <c r="E846" s="6" t="s">
        <v>39</v>
      </c>
      <c r="F846" s="6" t="s">
        <v>139</v>
      </c>
      <c r="G846" s="8">
        <v>45623</v>
      </c>
      <c r="H846" s="6">
        <v>4.9800000000000004</v>
      </c>
      <c r="I846" s="6" cm="1">
        <f t="array" ref="I846">IFERROR(VALUE(TRIM(LEFT(E846,MIN(FIND({" ";"g";"k";"m";"o"},E846&amp;" gkmo"))-1))),0)</f>
        <v>150</v>
      </c>
      <c r="J846" s="6" t="str" cm="1">
        <f t="array" ref="J846">IFERROR(TRIM(MID(E846,MIN(FIND({" ";"g";"k";"m";"o"},E846&amp;" gkmo")),10)),"unknown")</f>
        <v>g</v>
      </c>
      <c r="K846" s="6" t="str">
        <f t="shared" si="52"/>
        <v>g</v>
      </c>
      <c r="L846" s="6" t="str">
        <f t="shared" si="53"/>
        <v>Jardin Bio Etic, Jardin Bio</v>
      </c>
      <c r="M846" s="6" t="str">
        <f t="shared" si="54"/>
        <v>Tartines Craquantes Multicéréales</v>
      </c>
      <c r="N846" s="6" t="str">
        <f t="shared" si="55"/>
        <v>France</v>
      </c>
    </row>
    <row r="847" spans="1:14" x14ac:dyDescent="0.25">
      <c r="A847" s="6" t="s">
        <v>2205</v>
      </c>
      <c r="B847" s="6">
        <v>6886</v>
      </c>
      <c r="C847" s="6" t="s">
        <v>2206</v>
      </c>
      <c r="D847" s="7" t="s">
        <v>1434</v>
      </c>
      <c r="E847" s="6" t="s">
        <v>284</v>
      </c>
      <c r="F847" s="6" t="s">
        <v>400</v>
      </c>
      <c r="G847" s="8">
        <v>45586</v>
      </c>
      <c r="H847" s="6">
        <v>24.41</v>
      </c>
      <c r="I847" s="6" cm="1">
        <f t="array" ref="I847">IFERROR(VALUE(TRIM(LEFT(E847,MIN(FIND({" ";"g";"k";"m";"o"},E847&amp;" gkmo"))-1))),0)</f>
        <v>180</v>
      </c>
      <c r="J847" s="6" t="str" cm="1">
        <f t="array" ref="J847">IFERROR(TRIM(MID(E847,MIN(FIND({" ";"g";"k";"m";"o"},E847&amp;" gkmo")),10)),"unknown")</f>
        <v>g</v>
      </c>
      <c r="K847" s="6" t="str">
        <f t="shared" si="52"/>
        <v>g</v>
      </c>
      <c r="L847" s="6" t="str">
        <f t="shared" si="53"/>
        <v>Doritos</v>
      </c>
      <c r="M847" s="6" t="str">
        <f t="shared" si="54"/>
        <v>Chilli Heatwave Tortilla Chips</v>
      </c>
      <c r="N847" s="6" t="str">
        <f t="shared" si="55"/>
        <v>France,United Kingdom</v>
      </c>
    </row>
    <row r="848" spans="1:14" x14ac:dyDescent="0.25">
      <c r="A848" s="6" t="s">
        <v>2207</v>
      </c>
      <c r="B848" s="6">
        <v>11991</v>
      </c>
      <c r="C848" s="6" t="s">
        <v>2208</v>
      </c>
      <c r="D848" s="7" t="s">
        <v>2209</v>
      </c>
      <c r="E848" s="6" t="s">
        <v>10</v>
      </c>
      <c r="F848" s="6" t="s">
        <v>8406</v>
      </c>
      <c r="G848" s="8">
        <v>45907</v>
      </c>
      <c r="H848" s="6">
        <v>16.62</v>
      </c>
      <c r="I848" s="6" cm="1">
        <f t="array" ref="I848">IFERROR(VALUE(TRIM(LEFT(E848,MIN(FIND({" ";"g";"k";"m";"o"},E848&amp;" gkmo"))-1))),0)</f>
        <v>100</v>
      </c>
      <c r="J848" s="6" t="str" cm="1">
        <f t="array" ref="J848">IFERROR(TRIM(MID(E848,MIN(FIND({" ";"g";"k";"m";"o"},E848&amp;" gkmo")),10)),"unknown")</f>
        <v>g</v>
      </c>
      <c r="K848" s="6" t="str">
        <f t="shared" si="52"/>
        <v>g</v>
      </c>
      <c r="L848" s="6" t="str">
        <f t="shared" si="53"/>
        <v>Lindt Excellence</v>
      </c>
      <c r="M848" s="6" t="str">
        <f t="shared" si="54"/>
        <v>Dunkle Schweizer Schokolade Mit Chili-Extrakt</v>
      </c>
      <c r="N848" s="6" t="str">
        <f t="shared" si="55"/>
        <v>Australia,Dinamarca,France,Nueva Zelanda,Espaà±A,Switzerland,United Kingdom</v>
      </c>
    </row>
    <row r="849" spans="1:14" x14ac:dyDescent="0.25">
      <c r="A849" s="6" t="s">
        <v>2210</v>
      </c>
      <c r="B849" s="6">
        <v>7748</v>
      </c>
      <c r="C849" s="6" t="s">
        <v>2211</v>
      </c>
      <c r="D849" s="7" t="s">
        <v>2212</v>
      </c>
      <c r="E849" s="6" t="s">
        <v>1080</v>
      </c>
      <c r="F849" s="6" t="s">
        <v>2213</v>
      </c>
      <c r="G849" s="8">
        <v>45386</v>
      </c>
      <c r="H849" s="6">
        <v>18.05</v>
      </c>
      <c r="I849" s="6" cm="1">
        <f t="array" ref="I849">IFERROR(VALUE(TRIM(LEFT(E849,MIN(FIND({" ";"g";"k";"m";"o"},E849&amp;" gkmo"))-1))),0)</f>
        <v>210</v>
      </c>
      <c r="J849" s="6" t="str" cm="1">
        <f t="array" ref="J849">IFERROR(TRIM(MID(E849,MIN(FIND({" ";"g";"k";"m";"o"},E849&amp;" gkmo")),10)),"unknown")</f>
        <v>g</v>
      </c>
      <c r="K849" s="6" t="str">
        <f t="shared" si="52"/>
        <v>g</v>
      </c>
      <c r="L849" s="6" t="str">
        <f t="shared" si="53"/>
        <v>Lidl,Roland,Sondey,Trium</v>
      </c>
      <c r="M849" s="6" t="str">
        <f t="shared" si="54"/>
        <v>Sasanki</v>
      </c>
      <c r="N849" s="6" t="str">
        <f t="shared" si="55"/>
        <v>Bulgaria,Czech Republic,France,Poland</v>
      </c>
    </row>
    <row r="850" spans="1:14" x14ac:dyDescent="0.25">
      <c r="A850" s="6" t="s">
        <v>2214</v>
      </c>
      <c r="B850" s="6">
        <v>11026</v>
      </c>
      <c r="C850" s="6" t="s">
        <v>2215</v>
      </c>
      <c r="D850" s="7" t="s">
        <v>2216</v>
      </c>
      <c r="E850" s="6" t="s">
        <v>415</v>
      </c>
      <c r="F850" s="6" t="s">
        <v>1194</v>
      </c>
      <c r="G850" s="8">
        <v>45450</v>
      </c>
      <c r="H850" s="6">
        <v>7.58</v>
      </c>
      <c r="I850" s="6" cm="1">
        <f t="array" ref="I850">IFERROR(VALUE(TRIM(LEFT(E850,MIN(FIND({" ";"g";"k";"m";"o"},E850&amp;" gkmo"))-1))),0)</f>
        <v>185</v>
      </c>
      <c r="J850" s="6" t="str" cm="1">
        <f t="array" ref="J850">IFERROR(TRIM(MID(E850,MIN(FIND({" ";"g";"k";"m";"o"},E850&amp;" gkmo")),10)),"unknown")</f>
        <v>g</v>
      </c>
      <c r="K850" s="6" t="str">
        <f t="shared" si="52"/>
        <v>g</v>
      </c>
      <c r="L850" s="6" t="str">
        <f t="shared" si="53"/>
        <v>Aldi, Specially Selected</v>
      </c>
      <c r="M850" s="6" t="str">
        <f t="shared" si="54"/>
        <v>Black Pepper Savoury Crackers</v>
      </c>
      <c r="N850" s="6" t="str">
        <f t="shared" si="55"/>
        <v>United Kingdom, Germany</v>
      </c>
    </row>
    <row r="851" spans="1:14" x14ac:dyDescent="0.25">
      <c r="A851" s="6" t="s">
        <v>2217</v>
      </c>
      <c r="B851" s="6">
        <v>14990</v>
      </c>
      <c r="C851" s="6" t="s">
        <v>2218</v>
      </c>
      <c r="D851" s="7" t="s">
        <v>906</v>
      </c>
      <c r="E851" s="6" t="s">
        <v>64</v>
      </c>
      <c r="F851" s="6" t="s">
        <v>177</v>
      </c>
      <c r="G851" s="8">
        <v>45529</v>
      </c>
      <c r="H851" s="6">
        <v>17.96</v>
      </c>
      <c r="I851" s="6" cm="1">
        <f t="array" ref="I851">IFERROR(VALUE(TRIM(LEFT(E851,MIN(FIND({" ";"g";"k";"m";"o"},E851&amp;" gkmo"))-1))),0)</f>
        <v>150</v>
      </c>
      <c r="J851" s="6" t="str" cm="1">
        <f t="array" ref="J851">IFERROR(TRIM(MID(E851,MIN(FIND({" ";"g";"k";"m";"o"},E851&amp;" gkmo")),10)),"unknown")</f>
        <v>g</v>
      </c>
      <c r="K851" s="6" t="str">
        <f t="shared" si="52"/>
        <v>g</v>
      </c>
      <c r="L851" s="6" t="str">
        <f t="shared" si="53"/>
        <v>Sainsbury'S</v>
      </c>
      <c r="M851" s="6" t="str">
        <f t="shared" si="54"/>
        <v>Lightly Sea Salted</v>
      </c>
      <c r="N851" s="6" t="str">
        <f t="shared" si="55"/>
        <v>United Kingdom</v>
      </c>
    </row>
    <row r="852" spans="1:14" x14ac:dyDescent="0.25">
      <c r="A852" s="6" t="s">
        <v>2219</v>
      </c>
      <c r="B852" s="6">
        <v>11567</v>
      </c>
      <c r="C852" s="6" t="s">
        <v>2220</v>
      </c>
      <c r="D852" s="7" t="s">
        <v>1307</v>
      </c>
      <c r="E852" s="6" t="s">
        <v>18</v>
      </c>
      <c r="F852" s="6" t="s">
        <v>177</v>
      </c>
      <c r="G852" s="8">
        <v>45985</v>
      </c>
      <c r="H852" s="6">
        <v>8.65</v>
      </c>
      <c r="I852" s="6" cm="1">
        <f t="array" ref="I852">IFERROR(VALUE(TRIM(LEFT(E852,MIN(FIND({" ";"g";"k";"m";"o"},E852&amp;" gkmo"))-1))),0)</f>
        <v>100</v>
      </c>
      <c r="J852" s="6" t="str" cm="1">
        <f t="array" ref="J852">IFERROR(TRIM(MID(E852,MIN(FIND({" ";"g";"k";"m";"o"},E852&amp;" gkmo")),10)),"unknown")</f>
        <v>g</v>
      </c>
      <c r="K852" s="6" t="str">
        <f t="shared" si="52"/>
        <v>g</v>
      </c>
      <c r="L852" s="6" t="str">
        <f t="shared" si="53"/>
        <v>Graze</v>
      </c>
      <c r="M852" s="6" t="str">
        <f t="shared" si="54"/>
        <v>Honey Roast Crunch</v>
      </c>
      <c r="N852" s="6" t="str">
        <f t="shared" si="55"/>
        <v>United Kingdom</v>
      </c>
    </row>
    <row r="853" spans="1:14" x14ac:dyDescent="0.25">
      <c r="A853" s="6" t="s">
        <v>2221</v>
      </c>
      <c r="B853" s="6">
        <v>9174</v>
      </c>
      <c r="C853" s="6" t="s">
        <v>2222</v>
      </c>
      <c r="D853" s="7" t="s">
        <v>248</v>
      </c>
      <c r="E853" s="6" t="s">
        <v>197</v>
      </c>
      <c r="F853" s="6" t="s">
        <v>7998</v>
      </c>
      <c r="G853" s="8">
        <v>45719</v>
      </c>
      <c r="H853" s="6">
        <v>12.08</v>
      </c>
      <c r="I853" s="6" cm="1">
        <f t="array" ref="I853">IFERROR(VALUE(TRIM(LEFT(E853,MIN(FIND({" ";"g";"k";"m";"o"},E853&amp;" gkmo"))-1))),0)</f>
        <v>130</v>
      </c>
      <c r="J853" s="6" t="str" cm="1">
        <f t="array" ref="J853">IFERROR(TRIM(MID(E853,MIN(FIND({" ";"g";"k";"m";"o"},E853&amp;" gkmo")),10)),"unknown")</f>
        <v>g</v>
      </c>
      <c r="K853" s="6" t="str">
        <f t="shared" si="52"/>
        <v>g</v>
      </c>
      <c r="L853" s="6" t="str">
        <f t="shared" si="53"/>
        <v>Tesco</v>
      </c>
      <c r="M853" s="6" t="str">
        <f t="shared" si="54"/>
        <v>Salt &amp; Vinegar Flavoured Rice Cakes</v>
      </c>
      <c r="N853" s="6" t="str">
        <f t="shared" si="55"/>
        <v>Ireland,United Kingdom,United-Kingdom</v>
      </c>
    </row>
    <row r="854" spans="1:14" x14ac:dyDescent="0.25">
      <c r="A854" s="6" t="s">
        <v>2223</v>
      </c>
      <c r="B854" s="6">
        <v>12291</v>
      </c>
      <c r="C854" s="6" t="s">
        <v>2224</v>
      </c>
      <c r="D854" s="7" t="s">
        <v>323</v>
      </c>
      <c r="E854" s="6" t="s">
        <v>2225</v>
      </c>
      <c r="F854" s="6" t="s">
        <v>177</v>
      </c>
      <c r="G854" s="8">
        <v>45809</v>
      </c>
      <c r="H854" s="6">
        <v>21.31</v>
      </c>
      <c r="I854" s="6" cm="1">
        <f t="array" ref="I854">IFERROR(VALUE(TRIM(LEFT(E854,MIN(FIND({" ";"g";"k";"m";"o"},E854&amp;" gkmo"))-1))),0)</f>
        <v>70</v>
      </c>
      <c r="J854" s="6" t="str" cm="1">
        <f t="array" ref="J854">IFERROR(TRIM(MID(E854,MIN(FIND({" ";"g";"k";"m";"o"},E854&amp;" gkmo")),10)),"unknown")</f>
        <v>g</v>
      </c>
      <c r="K854" s="6" t="str">
        <f t="shared" si="52"/>
        <v>g</v>
      </c>
      <c r="L854" s="6" t="str">
        <f t="shared" si="53"/>
        <v>Proper Chips</v>
      </c>
      <c r="M854" s="6" t="str">
        <f t="shared" si="54"/>
        <v>Barbecue Lentil Chips</v>
      </c>
      <c r="N854" s="6" t="str">
        <f t="shared" si="55"/>
        <v>United Kingdom</v>
      </c>
    </row>
    <row r="855" spans="1:14" x14ac:dyDescent="0.25">
      <c r="A855" s="6" t="s">
        <v>2226</v>
      </c>
      <c r="B855" s="6">
        <v>8086</v>
      </c>
      <c r="C855" s="6" t="s">
        <v>886</v>
      </c>
      <c r="D855" s="7" t="s">
        <v>1355</v>
      </c>
      <c r="E855" s="6" t="s">
        <v>335</v>
      </c>
      <c r="F855" s="6" t="s">
        <v>139</v>
      </c>
      <c r="G855" s="8">
        <v>45543</v>
      </c>
      <c r="H855" s="6">
        <v>7.39</v>
      </c>
      <c r="I855" s="6" cm="1">
        <f t="array" ref="I855">IFERROR(VALUE(TRIM(LEFT(E855,MIN(FIND({" ";"g";"k";"m";"o"},E855&amp;" gkmo"))-1))),0)</f>
        <v>250</v>
      </c>
      <c r="J855" s="6" t="str" cm="1">
        <f t="array" ref="J855">IFERROR(TRIM(MID(E855,MIN(FIND({" ";"g";"k";"m";"o"},E855&amp;" gkmo")),10)),"unknown")</f>
        <v>g</v>
      </c>
      <c r="K855" s="6" t="str">
        <f t="shared" si="52"/>
        <v>g</v>
      </c>
      <c r="L855" s="6" t="str">
        <f t="shared" si="53"/>
        <v>Lay'S</v>
      </c>
      <c r="M855" s="6" t="str">
        <f t="shared" si="54"/>
        <v>Lays</v>
      </c>
      <c r="N855" s="6" t="str">
        <f t="shared" si="55"/>
        <v>France</v>
      </c>
    </row>
    <row r="856" spans="1:14" x14ac:dyDescent="0.25">
      <c r="A856" s="6" t="s">
        <v>2227</v>
      </c>
      <c r="B856" s="6">
        <v>7191</v>
      </c>
      <c r="C856" s="6" t="s">
        <v>2228</v>
      </c>
      <c r="D856" s="7" t="s">
        <v>306</v>
      </c>
      <c r="E856" s="6" t="s">
        <v>151</v>
      </c>
      <c r="F856" s="6" t="s">
        <v>139</v>
      </c>
      <c r="G856" s="8">
        <v>45556</v>
      </c>
      <c r="H856" s="6">
        <v>13.16</v>
      </c>
      <c r="I856" s="6" cm="1">
        <f t="array" ref="I856">IFERROR(VALUE(TRIM(LEFT(E856,MIN(FIND({" ";"g";"k";"m";"o"},E856&amp;" gkmo"))-1))),0)</f>
        <v>200</v>
      </c>
      <c r="J856" s="6" t="str" cm="1">
        <f t="array" ref="J856">IFERROR(TRIM(MID(E856,MIN(FIND({" ";"g";"k";"m";"o"},E856&amp;" gkmo")),10)),"unknown")</f>
        <v>g</v>
      </c>
      <c r="K856" s="6" t="str">
        <f t="shared" si="52"/>
        <v>g</v>
      </c>
      <c r="L856" s="6" t="str">
        <f t="shared" si="53"/>
        <v>Lu</v>
      </c>
      <c r="M856" s="6" t="str">
        <f t="shared" si="54"/>
        <v>Cracotte Framboise</v>
      </c>
      <c r="N856" s="6" t="str">
        <f t="shared" si="55"/>
        <v>France</v>
      </c>
    </row>
    <row r="857" spans="1:14" x14ac:dyDescent="0.25">
      <c r="A857" s="6" t="s">
        <v>2229</v>
      </c>
      <c r="B857" s="6">
        <v>12134</v>
      </c>
      <c r="C857" s="6" t="s">
        <v>2230</v>
      </c>
      <c r="D857" s="7" t="s">
        <v>60</v>
      </c>
      <c r="E857" s="6" t="s">
        <v>39</v>
      </c>
      <c r="F857" s="6" t="s">
        <v>511</v>
      </c>
      <c r="G857" s="8">
        <v>45341</v>
      </c>
      <c r="H857" s="6">
        <v>16.52</v>
      </c>
      <c r="I857" s="6" cm="1">
        <f t="array" ref="I857">IFERROR(VALUE(TRIM(LEFT(E857,MIN(FIND({" ";"g";"k";"m";"o"},E857&amp;" gkmo"))-1))),0)</f>
        <v>150</v>
      </c>
      <c r="J857" s="6" t="str" cm="1">
        <f t="array" ref="J857">IFERROR(TRIM(MID(E857,MIN(FIND({" ";"g";"k";"m";"o"},E857&amp;" gkmo")),10)),"unknown")</f>
        <v>g</v>
      </c>
      <c r="K857" s="6" t="str">
        <f t="shared" si="52"/>
        <v>g</v>
      </c>
      <c r="L857" s="6" t="str">
        <f t="shared" si="53"/>
        <v>Lindt</v>
      </c>
      <c r="M857" s="6" t="str">
        <f t="shared" si="54"/>
        <v>Milk Hazelnut</v>
      </c>
      <c r="N857" s="6" t="str">
        <f t="shared" si="55"/>
        <v>France,Morocco</v>
      </c>
    </row>
    <row r="858" spans="1:14" x14ac:dyDescent="0.25">
      <c r="A858" s="6" t="s">
        <v>2231</v>
      </c>
      <c r="B858" s="6">
        <v>13246</v>
      </c>
      <c r="C858" s="6" t="s">
        <v>7159</v>
      </c>
      <c r="D858" s="7" t="s">
        <v>7048</v>
      </c>
      <c r="E858" s="6" t="s">
        <v>772</v>
      </c>
      <c r="F858" s="6" t="s">
        <v>2232</v>
      </c>
      <c r="G858" s="8">
        <v>45705</v>
      </c>
      <c r="H858" s="6">
        <v>17.84</v>
      </c>
      <c r="I858" s="6" cm="1">
        <f t="array" ref="I858">IFERROR(VALUE(TRIM(LEFT(E858,MIN(FIND({" ";"g";"k";"m";"o"},E858&amp;" gkmo"))-1))),0)</f>
        <v>132</v>
      </c>
      <c r="J858" s="6" t="str" cm="1">
        <f t="array" ref="J858">IFERROR(TRIM(MID(E858,MIN(FIND({" ";"g";"k";"m";"o"},E858&amp;" gkmo")),10)),"unknown")</f>
        <v>g</v>
      </c>
      <c r="K858" s="6" t="str">
        <f t="shared" si="52"/>
        <v>g</v>
      </c>
      <c r="L858" s="6" t="str">
        <f t="shared" si="53"/>
        <v>Céréal Bio</v>
      </c>
      <c r="M858" s="6" t="str">
        <f t="shared" si="54"/>
        <v>Sablés Bio Chocolat Noir Intense</v>
      </c>
      <c r="N858" s="6" t="str">
        <f t="shared" si="55"/>
        <v>Belgium,France,Spain,Switzerland</v>
      </c>
    </row>
    <row r="859" spans="1:14" x14ac:dyDescent="0.25">
      <c r="A859" s="6" t="s">
        <v>2233</v>
      </c>
      <c r="B859" s="6">
        <v>11929</v>
      </c>
      <c r="C859" s="6" t="s">
        <v>2234</v>
      </c>
      <c r="D859" s="7" t="s">
        <v>7017</v>
      </c>
      <c r="E859" s="6" t="s">
        <v>2235</v>
      </c>
      <c r="F859" s="6" t="s">
        <v>157</v>
      </c>
      <c r="G859" s="8">
        <v>45663</v>
      </c>
      <c r="H859" s="6">
        <v>15.91</v>
      </c>
      <c r="I859" s="6" cm="1">
        <f t="array" ref="I859">IFERROR(VALUE(TRIM(LEFT(E859,MIN(FIND({" ";"g";"k";"m";"o"},E859&amp;" gkmo"))-1))),0)</f>
        <v>235</v>
      </c>
      <c r="J859" s="6" t="str" cm="1">
        <f t="array" ref="J859">IFERROR(TRIM(MID(E859,MIN(FIND({" ";"g";"k";"m";"o"},E859&amp;" gkmo")),10)),"unknown")</f>
        <v>g</v>
      </c>
      <c r="K859" s="6" t="str">
        <f t="shared" si="52"/>
        <v>g</v>
      </c>
      <c r="L859" s="6" t="str">
        <f t="shared" si="53"/>
        <v>Unknown</v>
      </c>
      <c r="M859" s="6" t="str">
        <f t="shared" si="54"/>
        <v>Petits Muffins Chocolat</v>
      </c>
      <c r="N859" s="6" t="str">
        <f t="shared" si="55"/>
        <v>France,Germany,Switzerland</v>
      </c>
    </row>
    <row r="860" spans="1:14" x14ac:dyDescent="0.25">
      <c r="A860" s="6" t="s">
        <v>2236</v>
      </c>
      <c r="B860" s="6">
        <v>13394</v>
      </c>
      <c r="C860" s="6" t="s">
        <v>7160</v>
      </c>
      <c r="D860" s="7" t="s">
        <v>72</v>
      </c>
      <c r="E860" s="6" t="s">
        <v>2237</v>
      </c>
      <c r="F860" s="6" t="s">
        <v>139</v>
      </c>
      <c r="G860" s="8">
        <v>45824</v>
      </c>
      <c r="H860" s="6">
        <v>13.02</v>
      </c>
      <c r="I860" s="6" cm="1">
        <f t="array" ref="I860">IFERROR(VALUE(TRIM(LEFT(E860,MIN(FIND({" ";"g";"k";"m";"o"},E860&amp;" gkmo"))-1))),0)</f>
        <v>184</v>
      </c>
      <c r="J860" s="6" t="str" cm="1">
        <f t="array" ref="J860">IFERROR(TRIM(MID(E860,MIN(FIND({" ";"g";"k";"m";"o"},E860&amp;" gkmo")),10)),"unknown")</f>
        <v>g</v>
      </c>
      <c r="K860" s="6" t="str">
        <f t="shared" si="52"/>
        <v>g</v>
      </c>
      <c r="L860" s="6" t="str">
        <f t="shared" si="53"/>
        <v>Bjorg</v>
      </c>
      <c r="M860" s="6" t="str">
        <f t="shared" si="54"/>
        <v>Biscuits Farine De Blé Et Graines De Sésame</v>
      </c>
      <c r="N860" s="6" t="str">
        <f t="shared" si="55"/>
        <v>France</v>
      </c>
    </row>
    <row r="861" spans="1:14" x14ac:dyDescent="0.25">
      <c r="A861" s="6" t="s">
        <v>2238</v>
      </c>
      <c r="B861" s="6">
        <v>12219</v>
      </c>
      <c r="C861" s="6" t="s">
        <v>2239</v>
      </c>
      <c r="D861" s="7" t="s">
        <v>1689</v>
      </c>
      <c r="E861" s="6"/>
      <c r="F861" s="6" t="s">
        <v>8258</v>
      </c>
      <c r="G861" s="8">
        <v>45340</v>
      </c>
      <c r="H861" s="6">
        <v>11.17</v>
      </c>
      <c r="I861" s="6" cm="1">
        <f t="array" ref="I861">IFERROR(VALUE(TRIM(LEFT(E861,MIN(FIND({" ";"g";"k";"m";"o"},E861&amp;" gkmo"))-1))),0)</f>
        <v>0</v>
      </c>
      <c r="J861" s="6" t="str" cm="1">
        <f t="array" ref="J861">IFERROR(TRIM(MID(E861,MIN(FIND({" ";"g";"k";"m";"o"},E861&amp;" gkmo")),10)),"unknown")</f>
        <v/>
      </c>
      <c r="K861" s="6" t="str">
        <f t="shared" si="52"/>
        <v>unknown</v>
      </c>
      <c r="L861" s="6" t="str">
        <f t="shared" si="53"/>
        <v>Le Ster</v>
      </c>
      <c r="M861" s="6" t="str">
        <f t="shared" si="54"/>
        <v>20 Madeleines Longues Aux Å“Ufs Frais</v>
      </c>
      <c r="N861" s="6" t="str">
        <f t="shared" si="55"/>
        <v>Canada,France,Germany</v>
      </c>
    </row>
    <row r="862" spans="1:14" x14ac:dyDescent="0.25">
      <c r="A862" s="6" t="s">
        <v>2240</v>
      </c>
      <c r="B862" s="6">
        <v>10084</v>
      </c>
      <c r="C862" s="6" t="s">
        <v>7669</v>
      </c>
      <c r="D862" s="7" t="s">
        <v>7161</v>
      </c>
      <c r="E862" s="6"/>
      <c r="F862" s="6" t="s">
        <v>139</v>
      </c>
      <c r="G862" s="8">
        <v>45490</v>
      </c>
      <c r="H862" s="6">
        <v>3.19</v>
      </c>
      <c r="I862" s="6" cm="1">
        <f t="array" ref="I862">IFERROR(VALUE(TRIM(LEFT(E862,MIN(FIND({" ";"g";"k";"m";"o"},E862&amp;" gkmo"))-1))),0)</f>
        <v>0</v>
      </c>
      <c r="J862" s="6" t="str" cm="1">
        <f t="array" ref="J862">IFERROR(TRIM(MID(E862,MIN(FIND({" ";"g";"k";"m";"o"},E862&amp;" gkmo")),10)),"unknown")</f>
        <v/>
      </c>
      <c r="K862" s="6" t="str">
        <f t="shared" si="52"/>
        <v>unknown</v>
      </c>
      <c r="L862" s="6" t="str">
        <f t="shared" si="53"/>
        <v>La Fournée Dorée</v>
      </c>
      <c r="M862" s="6" t="str">
        <f t="shared" si="54"/>
        <v>La Gà¢Che Tranchée</v>
      </c>
      <c r="N862" s="6" t="str">
        <f t="shared" si="55"/>
        <v>France</v>
      </c>
    </row>
    <row r="863" spans="1:14" x14ac:dyDescent="0.25">
      <c r="A863" s="6" t="s">
        <v>2241</v>
      </c>
      <c r="B863" s="6">
        <v>12871</v>
      </c>
      <c r="C863" s="6" t="s">
        <v>2242</v>
      </c>
      <c r="D863" s="7" t="s">
        <v>1633</v>
      </c>
      <c r="E863" s="6" t="s">
        <v>10</v>
      </c>
      <c r="F863" s="6" t="s">
        <v>7999</v>
      </c>
      <c r="G863" s="8">
        <v>45956</v>
      </c>
      <c r="H863" s="6">
        <v>17.07</v>
      </c>
      <c r="I863" s="6" cm="1">
        <f t="array" ref="I863">IFERROR(VALUE(TRIM(LEFT(E863,MIN(FIND({" ";"g";"k";"m";"o"},E863&amp;" gkmo"))-1))),0)</f>
        <v>100</v>
      </c>
      <c r="J863" s="6" t="str" cm="1">
        <f t="array" ref="J863">IFERROR(TRIM(MID(E863,MIN(FIND({" ";"g";"k";"m";"o"},E863&amp;" gkmo")),10)),"unknown")</f>
        <v>g</v>
      </c>
      <c r="K863" s="6" t="str">
        <f t="shared" si="52"/>
        <v>g</v>
      </c>
      <c r="L863" s="6" t="str">
        <f t="shared" si="53"/>
        <v>Ritter Sport</v>
      </c>
      <c r="M863" s="6" t="str">
        <f t="shared" si="54"/>
        <v>Cioccolato Nocciole Intere</v>
      </c>
      <c r="N863" s="6" t="str">
        <f t="shared" si="55"/>
        <v>Austria, Belgium, Czech Republic, Denmark, France, Germany, Ireland, Italy, Philippines, Switzerland, United Kingdom, Netherlands</v>
      </c>
    </row>
    <row r="864" spans="1:14" x14ac:dyDescent="0.25">
      <c r="A864" s="6" t="s">
        <v>2243</v>
      </c>
      <c r="B864" s="6">
        <v>8212</v>
      </c>
      <c r="C864" s="6" t="s">
        <v>2244</v>
      </c>
      <c r="D864" s="7" t="s">
        <v>116</v>
      </c>
      <c r="E864" s="6" t="s">
        <v>1164</v>
      </c>
      <c r="F864" s="6" t="s">
        <v>8000</v>
      </c>
      <c r="G864" s="8">
        <v>45756</v>
      </c>
      <c r="H864" s="6">
        <v>3.2</v>
      </c>
      <c r="I864" s="6" cm="1">
        <f t="array" ref="I864">IFERROR(VALUE(TRIM(LEFT(E864,MIN(FIND({" ";"g";"k";"m";"o"},E864&amp;" gkmo"))-1))),0)</f>
        <v>210</v>
      </c>
      <c r="J864" s="6" t="str" cm="1">
        <f t="array" ref="J864">IFERROR(TRIM(MID(E864,MIN(FIND({" ";"g";"k";"m";"o"},E864&amp;" gkmo")),10)),"unknown")</f>
        <v>gram</v>
      </c>
      <c r="K864" s="6" t="str">
        <f t="shared" si="52"/>
        <v>g</v>
      </c>
      <c r="L864" s="6" t="str">
        <f t="shared" si="53"/>
        <v>Nature Valley</v>
      </c>
      <c r="M864" s="6" t="str">
        <f t="shared" si="54"/>
        <v>Crunchy Canadian Maple Syrup</v>
      </c>
      <c r="N864" s="6" t="str">
        <f t="shared" si="55"/>
        <v>France, Germany, United Kingdom, Ireland</v>
      </c>
    </row>
    <row r="865" spans="1:14" x14ac:dyDescent="0.25">
      <c r="A865" s="6" t="s">
        <v>2245</v>
      </c>
      <c r="B865" s="6">
        <v>14871</v>
      </c>
      <c r="C865" s="6" t="s">
        <v>1153</v>
      </c>
      <c r="D865" s="7" t="s">
        <v>2246</v>
      </c>
      <c r="E865" s="6" t="s">
        <v>495</v>
      </c>
      <c r="F865" s="6" t="s">
        <v>8357</v>
      </c>
      <c r="G865" s="8">
        <v>45565</v>
      </c>
      <c r="H865" s="6">
        <v>6.69</v>
      </c>
      <c r="I865" s="6" cm="1">
        <f t="array" ref="I865">IFERROR(VALUE(TRIM(LEFT(E865,MIN(FIND({" ";"g";"k";"m";"o"},E865&amp;" gkmo"))-1))),0)</f>
        <v>35</v>
      </c>
      <c r="J865" s="6" t="str" cm="1">
        <f t="array" ref="J865">IFERROR(TRIM(MID(E865,MIN(FIND({" ";"g";"k";"m";"o"},E865&amp;" gkmo")),10)),"unknown")</f>
        <v>g</v>
      </c>
      <c r="K865" s="6" t="str">
        <f t="shared" si="52"/>
        <v>g</v>
      </c>
      <c r="L865" s="6" t="str">
        <f t="shared" si="53"/>
        <v>NäKd</v>
      </c>
      <c r="M865" s="6" t="str">
        <f t="shared" si="54"/>
        <v>Raw Fruit &amp; Nut Bar</v>
      </c>
      <c r="N865" s="6" t="str">
        <f t="shared" si="55"/>
        <v>Belgium,Repàºblica Checa,France,Espaà±A,Switzerland</v>
      </c>
    </row>
    <row r="866" spans="1:14" x14ac:dyDescent="0.25">
      <c r="A866" s="6" t="s">
        <v>2247</v>
      </c>
      <c r="B866" s="6">
        <v>6244</v>
      </c>
      <c r="C866" s="6" t="s">
        <v>2248</v>
      </c>
      <c r="D866" s="7" t="s">
        <v>633</v>
      </c>
      <c r="E866" s="6" t="s">
        <v>39</v>
      </c>
      <c r="F866" s="6" t="s">
        <v>7926</v>
      </c>
      <c r="G866" s="8">
        <v>45720</v>
      </c>
      <c r="H866" s="6">
        <v>4.66</v>
      </c>
      <c r="I866" s="6" cm="1">
        <f t="array" ref="I866">IFERROR(VALUE(TRIM(LEFT(E866,MIN(FIND({" ";"g";"k";"m";"o"},E866&amp;" gkmo"))-1))),0)</f>
        <v>150</v>
      </c>
      <c r="J866" s="6" t="str" cm="1">
        <f t="array" ref="J866">IFERROR(TRIM(MID(E866,MIN(FIND({" ";"g";"k";"m";"o"},E866&amp;" gkmo")),10)),"unknown")</f>
        <v>g</v>
      </c>
      <c r="K866" s="6" t="str">
        <f t="shared" si="52"/>
        <v>g</v>
      </c>
      <c r="L866" s="6" t="str">
        <f t="shared" si="53"/>
        <v>Nairn'S</v>
      </c>
      <c r="M866" s="6" t="str">
        <f t="shared" si="54"/>
        <v>Rosemary &amp; Sea Salt Flatbreads</v>
      </c>
      <c r="N866" s="6" t="str">
        <f t="shared" si="55"/>
        <v>France, United-Kingdom</v>
      </c>
    </row>
    <row r="867" spans="1:14" x14ac:dyDescent="0.25">
      <c r="A867" s="6" t="s">
        <v>2249</v>
      </c>
      <c r="B867" s="6">
        <v>8349</v>
      </c>
      <c r="C867" s="6" t="s">
        <v>2250</v>
      </c>
      <c r="D867" s="7" t="s">
        <v>7162</v>
      </c>
      <c r="E867" s="6"/>
      <c r="F867" s="6" t="s">
        <v>8229</v>
      </c>
      <c r="G867" s="8">
        <v>45328</v>
      </c>
      <c r="H867" s="6">
        <v>15.41</v>
      </c>
      <c r="I867" s="6" cm="1">
        <f t="array" ref="I867">IFERROR(VALUE(TRIM(LEFT(E867,MIN(FIND({" ";"g";"k";"m";"o"},E867&amp;" gkmo"))-1))),0)</f>
        <v>0</v>
      </c>
      <c r="J867" s="6" t="str" cm="1">
        <f t="array" ref="J867">IFERROR(TRIM(MID(E867,MIN(FIND({" ";"g";"k";"m";"o"},E867&amp;" gkmo")),10)),"unknown")</f>
        <v/>
      </c>
      <c r="K867" s="6" t="str">
        <f t="shared" si="52"/>
        <v>unknown</v>
      </c>
      <c r="L867" s="6" t="str">
        <f t="shared" si="53"/>
        <v>Dolca,Nestlé</v>
      </c>
      <c r="M867" s="6" t="str">
        <f t="shared" si="54"/>
        <v>Dolca Chocolate Negro</v>
      </c>
      <c r="N867" s="6" t="str">
        <f t="shared" si="55"/>
        <v>Algeria,France,Marruecos,Espaà±A</v>
      </c>
    </row>
    <row r="868" spans="1:14" x14ac:dyDescent="0.25">
      <c r="A868" s="6" t="s">
        <v>2251</v>
      </c>
      <c r="B868" s="6">
        <v>10030</v>
      </c>
      <c r="C868" s="6" t="s">
        <v>2252</v>
      </c>
      <c r="D868" s="7" t="s">
        <v>7017</v>
      </c>
      <c r="E868" s="6" t="s">
        <v>2253</v>
      </c>
      <c r="F868" s="6" t="s">
        <v>177</v>
      </c>
      <c r="G868" s="8">
        <v>45350</v>
      </c>
      <c r="H868" s="6">
        <v>22.88</v>
      </c>
      <c r="I868" s="6" cm="1">
        <f t="array" ref="I868">IFERROR(VALUE(TRIM(LEFT(E868,MIN(FIND({" ";"g";"k";"m";"o"},E868&amp;" gkmo"))-1))),0)</f>
        <v>10</v>
      </c>
      <c r="J868" s="6" t="str" cm="1">
        <f t="array" ref="J868">IFERROR(TRIM(MID(E868,MIN(FIND({" ";"g";"k";"m";"o"},E868&amp;" gkmo")),10)),"unknown")</f>
        <v>g</v>
      </c>
      <c r="K868" s="6" t="str">
        <f t="shared" si="52"/>
        <v>g</v>
      </c>
      <c r="L868" s="6" t="str">
        <f t="shared" si="53"/>
        <v>Unknown</v>
      </c>
      <c r="M868" s="6" t="str">
        <f t="shared" si="54"/>
        <v>Sea Salted Popcorn</v>
      </c>
      <c r="N868" s="6" t="str">
        <f t="shared" si="55"/>
        <v>United Kingdom</v>
      </c>
    </row>
    <row r="869" spans="1:14" x14ac:dyDescent="0.25">
      <c r="A869" s="6" t="s">
        <v>2254</v>
      </c>
      <c r="B869" s="6">
        <v>9595</v>
      </c>
      <c r="C869" s="6" t="s">
        <v>2255</v>
      </c>
      <c r="D869" s="7" t="s">
        <v>1773</v>
      </c>
      <c r="E869" s="6" t="s">
        <v>151</v>
      </c>
      <c r="F869" s="6" t="s">
        <v>177</v>
      </c>
      <c r="G869" s="8">
        <v>45941</v>
      </c>
      <c r="H869" s="6">
        <v>19.850000000000001</v>
      </c>
      <c r="I869" s="6" cm="1">
        <f t="array" ref="I869">IFERROR(VALUE(TRIM(LEFT(E869,MIN(FIND({" ";"g";"k";"m";"o"},E869&amp;" gkmo"))-1))),0)</f>
        <v>200</v>
      </c>
      <c r="J869" s="6" t="str" cm="1">
        <f t="array" ref="J869">IFERROR(TRIM(MID(E869,MIN(FIND({" ";"g";"k";"m";"o"},E869&amp;" gkmo")),10)),"unknown")</f>
        <v>g</v>
      </c>
      <c r="K869" s="6" t="str">
        <f t="shared" si="52"/>
        <v>g</v>
      </c>
      <c r="L869" s="6" t="str">
        <f t="shared" si="53"/>
        <v>Aldi</v>
      </c>
      <c r="M869" s="6" t="str">
        <f t="shared" si="54"/>
        <v>Lightly Salted Tortilla Chips</v>
      </c>
      <c r="N869" s="6" t="str">
        <f t="shared" si="55"/>
        <v>United Kingdom</v>
      </c>
    </row>
    <row r="870" spans="1:14" x14ac:dyDescent="0.25">
      <c r="A870" s="6" t="s">
        <v>2256</v>
      </c>
      <c r="B870" s="6">
        <v>9275</v>
      </c>
      <c r="C870" s="6" t="s">
        <v>7163</v>
      </c>
      <c r="D870" s="7" t="s">
        <v>7030</v>
      </c>
      <c r="E870" s="6" t="s">
        <v>772</v>
      </c>
      <c r="F870" s="6" t="s">
        <v>139</v>
      </c>
      <c r="G870" s="8">
        <v>45396</v>
      </c>
      <c r="H870" s="6">
        <v>16.559999999999999</v>
      </c>
      <c r="I870" s="6" cm="1">
        <f t="array" ref="I870">IFERROR(VALUE(TRIM(LEFT(E870,MIN(FIND({" ";"g";"k";"m";"o"},E870&amp;" gkmo"))-1))),0)</f>
        <v>132</v>
      </c>
      <c r="J870" s="6" t="str" cm="1">
        <f t="array" ref="J870">IFERROR(TRIM(MID(E870,MIN(FIND({" ";"g";"k";"m";"o"},E870&amp;" gkmo")),10)),"unknown")</f>
        <v>g</v>
      </c>
      <c r="K870" s="6" t="str">
        <f t="shared" si="52"/>
        <v>g</v>
      </c>
      <c r="L870" s="6" t="str">
        <f t="shared" si="53"/>
        <v>Gerblé</v>
      </c>
      <c r="M870" s="6" t="str">
        <f t="shared" si="54"/>
        <v>Biscuits Caramel Épeautre</v>
      </c>
      <c r="N870" s="6" t="str">
        <f t="shared" si="55"/>
        <v>France</v>
      </c>
    </row>
    <row r="871" spans="1:14" x14ac:dyDescent="0.25">
      <c r="A871" s="6" t="s">
        <v>2257</v>
      </c>
      <c r="B871" s="6">
        <v>13051</v>
      </c>
      <c r="C871" s="6" t="s">
        <v>2258</v>
      </c>
      <c r="D871" s="7" t="s">
        <v>7164</v>
      </c>
      <c r="E871" s="6" t="s">
        <v>352</v>
      </c>
      <c r="F871" s="6" t="s">
        <v>139</v>
      </c>
      <c r="G871" s="8">
        <v>45966</v>
      </c>
      <c r="H871" s="6">
        <v>13.16</v>
      </c>
      <c r="I871" s="6" cm="1">
        <f t="array" ref="I871">IFERROR(VALUE(TRIM(LEFT(E871,MIN(FIND({" ";"g";"k";"m";"o"},E871&amp;" gkmo"))-1))),0)</f>
        <v>170</v>
      </c>
      <c r="J871" s="6" t="str" cm="1">
        <f t="array" ref="J871">IFERROR(TRIM(MID(E871,MIN(FIND({" ";"g";"k";"m";"o"},E871&amp;" gkmo")),10)),"unknown")</f>
        <v>g</v>
      </c>
      <c r="K871" s="6" t="str">
        <f t="shared" si="52"/>
        <v>g</v>
      </c>
      <c r="L871" s="6" t="str">
        <f t="shared" si="53"/>
        <v>Nestlé, Bio+, Nestle Dessert</v>
      </c>
      <c r="M871" s="6" t="str">
        <f t="shared" si="54"/>
        <v>Nestle Dessert Noir Bio 170G</v>
      </c>
      <c r="N871" s="6" t="str">
        <f t="shared" si="55"/>
        <v>France</v>
      </c>
    </row>
    <row r="872" spans="1:14" x14ac:dyDescent="0.25">
      <c r="A872" s="6" t="s">
        <v>2259</v>
      </c>
      <c r="B872" s="6">
        <v>7747</v>
      </c>
      <c r="C872" s="6" t="s">
        <v>2260</v>
      </c>
      <c r="D872" s="7" t="s">
        <v>7017</v>
      </c>
      <c r="E872" s="6"/>
      <c r="F872" s="6" t="s">
        <v>860</v>
      </c>
      <c r="G872" s="8">
        <v>45397</v>
      </c>
      <c r="H872" s="6">
        <v>2.35</v>
      </c>
      <c r="I872" s="6" cm="1">
        <f t="array" ref="I872">IFERROR(VALUE(TRIM(LEFT(E872,MIN(FIND({" ";"g";"k";"m";"o"},E872&amp;" gkmo"))-1))),0)</f>
        <v>0</v>
      </c>
      <c r="J872" s="6" t="str" cm="1">
        <f t="array" ref="J872">IFERROR(TRIM(MID(E872,MIN(FIND({" ";"g";"k";"m";"o"},E872&amp;" gkmo")),10)),"unknown")</f>
        <v/>
      </c>
      <c r="K872" s="6" t="str">
        <f t="shared" si="52"/>
        <v>unknown</v>
      </c>
      <c r="L872" s="6" t="str">
        <f t="shared" si="53"/>
        <v>Unknown</v>
      </c>
      <c r="M872" s="6" t="str">
        <f t="shared" si="54"/>
        <v>Donut Milky</v>
      </c>
      <c r="N872" s="6" t="str">
        <f t="shared" si="55"/>
        <v>Ma</v>
      </c>
    </row>
    <row r="873" spans="1:14" x14ac:dyDescent="0.25">
      <c r="A873" s="6" t="s">
        <v>2261</v>
      </c>
      <c r="B873" s="6">
        <v>13501</v>
      </c>
      <c r="C873" s="6" t="s">
        <v>7165</v>
      </c>
      <c r="D873" s="7" t="s">
        <v>624</v>
      </c>
      <c r="E873" s="6" t="s">
        <v>423</v>
      </c>
      <c r="F873" s="6" t="s">
        <v>139</v>
      </c>
      <c r="G873" s="8">
        <v>45384</v>
      </c>
      <c r="H873" s="6">
        <v>13.18</v>
      </c>
      <c r="I873" s="6" cm="1">
        <f t="array" ref="I873">IFERROR(VALUE(TRIM(LEFT(E873,MIN(FIND({" ";"g";"k";"m";"o"},E873&amp;" gkmo"))-1))),0)</f>
        <v>125</v>
      </c>
      <c r="J873" s="6" t="str" cm="1">
        <f t="array" ref="J873">IFERROR(TRIM(MID(E873,MIN(FIND({" ";"g";"k";"m";"o"},E873&amp;" gkmo")),10)),"unknown")</f>
        <v>g</v>
      </c>
      <c r="K873" s="6" t="str">
        <f t="shared" si="52"/>
        <v>g</v>
      </c>
      <c r="L873" s="6" t="str">
        <f t="shared" si="53"/>
        <v>Brets</v>
      </c>
      <c r="M873" s="6" t="str">
        <f t="shared" si="54"/>
        <v>Chips Saveur Beurre Salé</v>
      </c>
      <c r="N873" s="6" t="str">
        <f t="shared" si="55"/>
        <v>France</v>
      </c>
    </row>
    <row r="874" spans="1:14" x14ac:dyDescent="0.25">
      <c r="A874" s="6" t="s">
        <v>2262</v>
      </c>
      <c r="B874" s="6">
        <v>7911</v>
      </c>
      <c r="C874" s="6" t="s">
        <v>2263</v>
      </c>
      <c r="D874" s="7" t="s">
        <v>1227</v>
      </c>
      <c r="E874" s="6" t="s">
        <v>1228</v>
      </c>
      <c r="F874" s="6" t="s">
        <v>177</v>
      </c>
      <c r="G874" s="8">
        <v>45850</v>
      </c>
      <c r="H874" s="6">
        <v>20.55</v>
      </c>
      <c r="I874" s="6" cm="1">
        <f t="array" ref="I874">IFERROR(VALUE(TRIM(LEFT(E874,MIN(FIND({" ";"g";"k";"m";"o"},E874&amp;" gkmo"))-1))),0)</f>
        <v>60</v>
      </c>
      <c r="J874" s="6" t="str" cm="1">
        <f t="array" ref="J874">IFERROR(TRIM(MID(E874,MIN(FIND({" ";"g";"k";"m";"o"},E874&amp;" gkmo")),10)),"unknown")</f>
        <v>g</v>
      </c>
      <c r="K874" s="6" t="str">
        <f t="shared" si="52"/>
        <v>g</v>
      </c>
      <c r="L874" s="6" t="str">
        <f t="shared" si="53"/>
        <v>Hu</v>
      </c>
      <c r="M874" s="6" t="str">
        <f t="shared" si="54"/>
        <v>Almond Butter + Puffed Quinoa Dark Chocolate</v>
      </c>
      <c r="N874" s="6" t="str">
        <f t="shared" si="55"/>
        <v>United Kingdom</v>
      </c>
    </row>
    <row r="875" spans="1:14" x14ac:dyDescent="0.25">
      <c r="A875" s="6" t="s">
        <v>2264</v>
      </c>
      <c r="B875" s="6">
        <v>5228</v>
      </c>
      <c r="C875" s="6" t="s">
        <v>2265</v>
      </c>
      <c r="D875" s="7" t="s">
        <v>2266</v>
      </c>
      <c r="E875" s="6" t="s">
        <v>1197</v>
      </c>
      <c r="F875" s="6" t="s">
        <v>177</v>
      </c>
      <c r="G875" s="8">
        <v>45525</v>
      </c>
      <c r="H875" s="6">
        <v>22.84</v>
      </c>
      <c r="I875" s="6" cm="1">
        <f t="array" ref="I875">IFERROR(VALUE(TRIM(LEFT(E875,MIN(FIND({" ";"g";"k";"m";"o"},E875&amp;" gkmo"))-1))),0)</f>
        <v>117</v>
      </c>
      <c r="J875" s="6" t="str" cm="1">
        <f t="array" ref="J875">IFERROR(TRIM(MID(E875,MIN(FIND({" ";"g";"k";"m";"o"},E875&amp;" gkmo")),10)),"unknown")</f>
        <v>g</v>
      </c>
      <c r="K875" s="6" t="str">
        <f t="shared" si="52"/>
        <v>g</v>
      </c>
      <c r="L875" s="6" t="str">
        <f t="shared" si="53"/>
        <v>Snack A Jacks</v>
      </c>
      <c r="M875" s="6" t="str">
        <f t="shared" si="54"/>
        <v>Rice And Corn Cakes</v>
      </c>
      <c r="N875" s="6" t="str">
        <f t="shared" si="55"/>
        <v>United Kingdom</v>
      </c>
    </row>
    <row r="876" spans="1:14" x14ac:dyDescent="0.25">
      <c r="A876" s="6" t="s">
        <v>2267</v>
      </c>
      <c r="B876" s="6">
        <v>11108</v>
      </c>
      <c r="C876" s="6" t="s">
        <v>2268</v>
      </c>
      <c r="D876" s="7" t="s">
        <v>2269</v>
      </c>
      <c r="E876" s="6"/>
      <c r="F876" s="6" t="s">
        <v>2973</v>
      </c>
      <c r="G876" s="8">
        <v>45855</v>
      </c>
      <c r="H876" s="6">
        <v>22.74</v>
      </c>
      <c r="I876" s="6" cm="1">
        <f t="array" ref="I876">IFERROR(VALUE(TRIM(LEFT(E876,MIN(FIND({" ";"g";"k";"m";"o"},E876&amp;" gkmo"))-1))),0)</f>
        <v>0</v>
      </c>
      <c r="J876" s="6" t="str" cm="1">
        <f t="array" ref="J876">IFERROR(TRIM(MID(E876,MIN(FIND({" ";"g";"k";"m";"o"},E876&amp;" gkmo")),10)),"unknown")</f>
        <v/>
      </c>
      <c r="K876" s="6" t="str">
        <f t="shared" si="52"/>
        <v>unknown</v>
      </c>
      <c r="L876" s="6" t="str">
        <f t="shared" si="53"/>
        <v>Off The Eaten Path</v>
      </c>
      <c r="M876" s="6" t="str">
        <f t="shared" si="54"/>
        <v>Caramelised Onion &amp; Balsamic Vinegar Pea &amp; Bean Sticks</v>
      </c>
      <c r="N876" s="6" t="str">
        <f t="shared" si="55"/>
        <v>Gb</v>
      </c>
    </row>
    <row r="877" spans="1:14" x14ac:dyDescent="0.25">
      <c r="A877" s="6" t="s">
        <v>2270</v>
      </c>
      <c r="B877" s="6">
        <v>9066</v>
      </c>
      <c r="C877" s="6" t="s">
        <v>2271</v>
      </c>
      <c r="D877" s="7" t="s">
        <v>7017</v>
      </c>
      <c r="E877" s="6"/>
      <c r="F877" s="6" t="s">
        <v>177</v>
      </c>
      <c r="G877" s="8">
        <v>46004</v>
      </c>
      <c r="H877" s="6">
        <v>11.4</v>
      </c>
      <c r="I877" s="6" cm="1">
        <f t="array" ref="I877">IFERROR(VALUE(TRIM(LEFT(E877,MIN(FIND({" ";"g";"k";"m";"o"},E877&amp;" gkmo"))-1))),0)</f>
        <v>0</v>
      </c>
      <c r="J877" s="6" t="str" cm="1">
        <f t="array" ref="J877">IFERROR(TRIM(MID(E877,MIN(FIND({" ";"g";"k";"m";"o"},E877&amp;" gkmo")),10)),"unknown")</f>
        <v/>
      </c>
      <c r="K877" s="6" t="str">
        <f t="shared" si="52"/>
        <v>unknown</v>
      </c>
      <c r="L877" s="6" t="str">
        <f t="shared" si="53"/>
        <v>Unknown</v>
      </c>
      <c r="M877" s="6" t="str">
        <f t="shared" si="54"/>
        <v>Sticky Toffee Oat Boosts</v>
      </c>
      <c r="N877" s="6" t="str">
        <f t="shared" si="55"/>
        <v>United Kingdom</v>
      </c>
    </row>
    <row r="878" spans="1:14" x14ac:dyDescent="0.25">
      <c r="A878" s="6" t="s">
        <v>2272</v>
      </c>
      <c r="B878" s="6">
        <v>13602</v>
      </c>
      <c r="C878" s="6" t="s">
        <v>2273</v>
      </c>
      <c r="D878" s="7" t="s">
        <v>2274</v>
      </c>
      <c r="E878" s="6" t="s">
        <v>580</v>
      </c>
      <c r="F878" s="6" t="s">
        <v>177</v>
      </c>
      <c r="G878" s="8">
        <v>45399</v>
      </c>
      <c r="H878" s="6">
        <v>10.74</v>
      </c>
      <c r="I878" s="6" cm="1">
        <f t="array" ref="I878">IFERROR(VALUE(TRIM(LEFT(E878,MIN(FIND({" ";"g";"k";"m";"o"},E878&amp;" gkmo"))-1))),0)</f>
        <v>250</v>
      </c>
      <c r="J878" s="6" t="str" cm="1">
        <f t="array" ref="J878">IFERROR(TRIM(MID(E878,MIN(FIND({" ";"g";"k";"m";"o"},E878&amp;" gkmo")),10)),"unknown")</f>
        <v>g</v>
      </c>
      <c r="K878" s="6" t="str">
        <f t="shared" si="52"/>
        <v>g</v>
      </c>
      <c r="L878" s="6" t="str">
        <f t="shared" si="53"/>
        <v>Belvita,Mondelez</v>
      </c>
      <c r="M878" s="6" t="str">
        <f t="shared" si="54"/>
        <v>Soft Bakes Blueberry</v>
      </c>
      <c r="N878" s="6" t="str">
        <f t="shared" si="55"/>
        <v>United Kingdom</v>
      </c>
    </row>
    <row r="879" spans="1:14" x14ac:dyDescent="0.25">
      <c r="A879" s="6" t="s">
        <v>2275</v>
      </c>
      <c r="B879" s="6">
        <v>12889</v>
      </c>
      <c r="C879" s="6" t="s">
        <v>2276</v>
      </c>
      <c r="D879" s="7" t="s">
        <v>961</v>
      </c>
      <c r="E879" s="6" t="s">
        <v>1494</v>
      </c>
      <c r="F879" s="6" t="s">
        <v>1092</v>
      </c>
      <c r="G879" s="8">
        <v>45749</v>
      </c>
      <c r="H879" s="6">
        <v>13.16</v>
      </c>
      <c r="I879" s="6" cm="1">
        <f t="array" ref="I879">IFERROR(VALUE(TRIM(LEFT(E879,MIN(FIND({" ";"g";"k";"m";"o"},E879&amp;" gkmo"))-1))),0)</f>
        <v>250</v>
      </c>
      <c r="J879" s="6" t="str" cm="1">
        <f t="array" ref="J879">IFERROR(TRIM(MID(E879,MIN(FIND({" ";"g";"k";"m";"o"},E879&amp;" gkmo")),10)),"unknown")</f>
        <v>g (2 * 12</v>
      </c>
      <c r="K879" s="6" t="str">
        <f t="shared" si="52"/>
        <v>g</v>
      </c>
      <c r="L879" s="6" t="str">
        <f t="shared" si="53"/>
        <v>Sondey</v>
      </c>
      <c r="M879" s="6" t="str">
        <f t="shared" si="54"/>
        <v>Palets Bretons Au Beurre</v>
      </c>
      <c r="N879" s="6" t="str">
        <f t="shared" si="55"/>
        <v>Frankrijk</v>
      </c>
    </row>
    <row r="880" spans="1:14" x14ac:dyDescent="0.25">
      <c r="A880" s="6" t="s">
        <v>2277</v>
      </c>
      <c r="B880" s="6">
        <v>14117</v>
      </c>
      <c r="C880" s="6" t="s">
        <v>2278</v>
      </c>
      <c r="D880" s="7" t="s">
        <v>488</v>
      </c>
      <c r="E880" s="6" t="s">
        <v>14</v>
      </c>
      <c r="F880" s="6" t="s">
        <v>139</v>
      </c>
      <c r="G880" s="8">
        <v>45931</v>
      </c>
      <c r="H880" s="6">
        <v>10.62</v>
      </c>
      <c r="I880" s="6" cm="1">
        <f t="array" ref="I880">IFERROR(VALUE(TRIM(LEFT(E880,MIN(FIND({" ";"g";"k";"m";"o"},E880&amp;" gkmo"))-1))),0)</f>
        <v>300</v>
      </c>
      <c r="J880" s="6" t="str" cm="1">
        <f t="array" ref="J880">IFERROR(TRIM(MID(E880,MIN(FIND({" ";"g";"k";"m";"o"},E880&amp;" gkmo")),10)),"unknown")</f>
        <v>g</v>
      </c>
      <c r="K880" s="6" t="str">
        <f t="shared" si="52"/>
        <v>g</v>
      </c>
      <c r="L880" s="6" t="str">
        <f t="shared" si="53"/>
        <v>Bonne Maman</v>
      </c>
      <c r="M880" s="6" t="str">
        <f t="shared" si="54"/>
        <v>Madeleines Chocolat Lait</v>
      </c>
      <c r="N880" s="6" t="str">
        <f t="shared" si="55"/>
        <v>France</v>
      </c>
    </row>
    <row r="881" spans="1:14" x14ac:dyDescent="0.25">
      <c r="A881" s="6" t="s">
        <v>2279</v>
      </c>
      <c r="B881" s="6">
        <v>10660</v>
      </c>
      <c r="C881" s="6" t="s">
        <v>7670</v>
      </c>
      <c r="D881" s="7" t="s">
        <v>488</v>
      </c>
      <c r="E881" s="6" t="s">
        <v>14</v>
      </c>
      <c r="F881" s="6" t="s">
        <v>8001</v>
      </c>
      <c r="G881" s="8">
        <v>45527</v>
      </c>
      <c r="H881" s="6">
        <v>10.42</v>
      </c>
      <c r="I881" s="6" cm="1">
        <f t="array" ref="I881">IFERROR(VALUE(TRIM(LEFT(E881,MIN(FIND({" ";"g";"k";"m";"o"},E881&amp;" gkmo"))-1))),0)</f>
        <v>300</v>
      </c>
      <c r="J881" s="6" t="str" cm="1">
        <f t="array" ref="J881">IFERROR(TRIM(MID(E881,MIN(FIND({" ";"g";"k";"m";"o"},E881&amp;" gkmo")),10)),"unknown")</f>
        <v>g</v>
      </c>
      <c r="K881" s="6" t="str">
        <f t="shared" si="52"/>
        <v>g</v>
      </c>
      <c r="L881" s="6" t="str">
        <f t="shared" si="53"/>
        <v>Bonne Maman</v>
      </c>
      <c r="M881" s="6" t="str">
        <f t="shared" si="54"/>
        <v>Bonne Maman - Le Petit Quatre-Quarts Pur Beurre, 300G (10 Sachets Fraà®Cheur)</v>
      </c>
      <c r="N881" s="6" t="str">
        <f t="shared" si="55"/>
        <v>France,France</v>
      </c>
    </row>
    <row r="882" spans="1:14" x14ac:dyDescent="0.25">
      <c r="A882" s="6" t="s">
        <v>2280</v>
      </c>
      <c r="B882" s="6">
        <v>10754</v>
      </c>
      <c r="C882" s="6" t="s">
        <v>7671</v>
      </c>
      <c r="D882" s="7" t="s">
        <v>7017</v>
      </c>
      <c r="E882" s="6" t="s">
        <v>2281</v>
      </c>
      <c r="F882" s="6" t="s">
        <v>1092</v>
      </c>
      <c r="G882" s="8">
        <v>45923</v>
      </c>
      <c r="H882" s="6">
        <v>1.17</v>
      </c>
      <c r="I882" s="6" cm="1">
        <f t="array" ref="I882">IFERROR(VALUE(TRIM(LEFT(E882,MIN(FIND({" ";"g";"k";"m";"o"},E882&amp;" gkmo"))-1))),0)</f>
        <v>135</v>
      </c>
      <c r="J882" s="6" t="str" cm="1">
        <f t="array" ref="J882">IFERROR(TRIM(MID(E882,MIN(FIND({" ";"g";"k";"m";"o"},E882&amp;" gkmo")),10)),"unknown")</f>
        <v>g â„®</v>
      </c>
      <c r="K882" s="6" t="str">
        <f t="shared" si="52"/>
        <v>g</v>
      </c>
      <c r="L882" s="6" t="str">
        <f t="shared" si="53"/>
        <v>Unknown</v>
      </c>
      <c r="M882" s="6" t="str">
        <f t="shared" si="54"/>
        <v>Monster Munch - Produit Soufflé À  Base De Pomme De Terre Goà»T Salé</v>
      </c>
      <c r="N882" s="6" t="str">
        <f t="shared" si="55"/>
        <v>Frankrijk</v>
      </c>
    </row>
    <row r="883" spans="1:14" x14ac:dyDescent="0.25">
      <c r="A883" s="6" t="s">
        <v>2282</v>
      </c>
      <c r="B883" s="6">
        <v>6414</v>
      </c>
      <c r="C883" s="6" t="s">
        <v>2283</v>
      </c>
      <c r="D883" s="7" t="s">
        <v>624</v>
      </c>
      <c r="E883" s="6" t="s">
        <v>335</v>
      </c>
      <c r="F883" s="6" t="s">
        <v>7958</v>
      </c>
      <c r="G883" s="8">
        <v>45748</v>
      </c>
      <c r="H883" s="6">
        <v>13.8</v>
      </c>
      <c r="I883" s="6" cm="1">
        <f t="array" ref="I883">IFERROR(VALUE(TRIM(LEFT(E883,MIN(FIND({" ";"g";"k";"m";"o"},E883&amp;" gkmo"))-1))),0)</f>
        <v>250</v>
      </c>
      <c r="J883" s="6" t="str" cm="1">
        <f t="array" ref="J883">IFERROR(TRIM(MID(E883,MIN(FIND({" ";"g";"k";"m";"o"},E883&amp;" gkmo")),10)),"unknown")</f>
        <v>g</v>
      </c>
      <c r="K883" s="6" t="str">
        <f t="shared" si="52"/>
        <v>g</v>
      </c>
      <c r="L883" s="6" t="str">
        <f t="shared" si="53"/>
        <v>Brets</v>
      </c>
      <c r="M883" s="6" t="str">
        <f t="shared" si="54"/>
        <v>Chips Paysanne</v>
      </c>
      <c r="N883" s="6" t="str">
        <f t="shared" si="55"/>
        <v>France</v>
      </c>
    </row>
    <row r="884" spans="1:14" x14ac:dyDescent="0.25">
      <c r="A884" s="6" t="s">
        <v>2284</v>
      </c>
      <c r="B884" s="6">
        <v>14296</v>
      </c>
      <c r="C884" s="6" t="s">
        <v>2285</v>
      </c>
      <c r="D884" s="7" t="s">
        <v>2286</v>
      </c>
      <c r="E884" s="6" t="s">
        <v>2083</v>
      </c>
      <c r="F884" s="6" t="s">
        <v>139</v>
      </c>
      <c r="G884" s="8">
        <v>45890</v>
      </c>
      <c r="H884" s="6">
        <v>15.95</v>
      </c>
      <c r="I884" s="6" cm="1">
        <f t="array" ref="I884">IFERROR(VALUE(TRIM(LEFT(E884,MIN(FIND({" ";"g";"k";"m";"o"},E884&amp;" gkmo"))-1))),0)</f>
        <v>240</v>
      </c>
      <c r="J884" s="6" t="str" cm="1">
        <f t="array" ref="J884">IFERROR(TRIM(MID(E884,MIN(FIND({" ";"g";"k";"m";"o"},E884&amp;" gkmo")),10)),"unknown")</f>
        <v>g</v>
      </c>
      <c r="K884" s="6" t="str">
        <f t="shared" si="52"/>
        <v>g</v>
      </c>
      <c r="L884" s="6" t="str">
        <f t="shared" si="53"/>
        <v>Maison Colibri</v>
      </c>
      <c r="M884" s="6" t="str">
        <f t="shared" si="54"/>
        <v>La Madeleine Coque Chocolat Noir</v>
      </c>
      <c r="N884" s="6" t="str">
        <f t="shared" si="55"/>
        <v>France</v>
      </c>
    </row>
    <row r="885" spans="1:14" x14ac:dyDescent="0.25">
      <c r="A885" s="6" t="s">
        <v>2287</v>
      </c>
      <c r="B885" s="6">
        <v>9319</v>
      </c>
      <c r="C885" s="6" t="s">
        <v>2288</v>
      </c>
      <c r="D885" s="7" t="s">
        <v>2289</v>
      </c>
      <c r="E885" s="6" t="s">
        <v>10</v>
      </c>
      <c r="F885" s="6" t="s">
        <v>8002</v>
      </c>
      <c r="G885" s="8">
        <v>45460</v>
      </c>
      <c r="H885" s="6">
        <v>12.02</v>
      </c>
      <c r="I885" s="6" cm="1">
        <f t="array" ref="I885">IFERROR(VALUE(TRIM(LEFT(E885,MIN(FIND({" ";"g";"k";"m";"o"},E885&amp;" gkmo"))-1))),0)</f>
        <v>100</v>
      </c>
      <c r="J885" s="6" t="str" cm="1">
        <f t="array" ref="J885">IFERROR(TRIM(MID(E885,MIN(FIND({" ";"g";"k";"m";"o"},E885&amp;" gkmo")),10)),"unknown")</f>
        <v>g</v>
      </c>
      <c r="K885" s="6" t="str">
        <f t="shared" si="52"/>
        <v>g</v>
      </c>
      <c r="L885" s="6" t="str">
        <f t="shared" si="53"/>
        <v>Fairglobe</v>
      </c>
      <c r="M885" s="6" t="str">
        <f t="shared" si="54"/>
        <v>Bio Vollmilch-Schokolade</v>
      </c>
      <c r="N885" s="6" t="str">
        <f t="shared" si="55"/>
        <v>France, Germany, Spain, Romania</v>
      </c>
    </row>
    <row r="886" spans="1:14" x14ac:dyDescent="0.25">
      <c r="A886" s="6" t="s">
        <v>2290</v>
      </c>
      <c r="B886" s="6">
        <v>6149</v>
      </c>
      <c r="C886" s="6" t="s">
        <v>2291</v>
      </c>
      <c r="D886" s="7" t="s">
        <v>7894</v>
      </c>
      <c r="E886" s="6" t="s">
        <v>2292</v>
      </c>
      <c r="F886" s="6" t="s">
        <v>8003</v>
      </c>
      <c r="G886" s="8">
        <v>45674</v>
      </c>
      <c r="H886" s="6">
        <v>1.1299999999999999</v>
      </c>
      <c r="I886" s="6" cm="1">
        <f t="array" ref="I886">IFERROR(VALUE(TRIM(LEFT(E886,MIN(FIND({" ";"g";"k";"m";"o"},E886&amp;" gkmo"))-1))),0)</f>
        <v>144</v>
      </c>
      <c r="J886" s="6" t="str" cm="1">
        <f t="array" ref="J886">IFERROR(TRIM(MID(E886,MIN(FIND({" ";"g";"k";"m";"o"},E886&amp;" gkmo")),10)),"unknown")</f>
        <v>g</v>
      </c>
      <c r="K886" s="6" t="str">
        <f t="shared" si="52"/>
        <v>g</v>
      </c>
      <c r="L886" s="6" t="str">
        <f t="shared" si="53"/>
        <v>Tunnock'S</v>
      </c>
      <c r="M886" s="6" t="str">
        <f t="shared" si="54"/>
        <v>Tunnocks Teacakes 6Pk Al Anhar</v>
      </c>
      <c r="N886" s="6" t="str">
        <f t="shared" si="55"/>
        <v>Australia, France, Spain, United-Kingdom</v>
      </c>
    </row>
    <row r="887" spans="1:14" x14ac:dyDescent="0.25">
      <c r="A887" s="6" t="s">
        <v>2293</v>
      </c>
      <c r="B887" s="6">
        <v>11127</v>
      </c>
      <c r="C887" s="6" t="s">
        <v>7473</v>
      </c>
      <c r="D887" s="7" t="s">
        <v>1084</v>
      </c>
      <c r="E887" s="6" t="s">
        <v>2294</v>
      </c>
      <c r="F887" s="6" t="s">
        <v>213</v>
      </c>
      <c r="G887" s="8">
        <v>45542</v>
      </c>
      <c r="H887" s="6">
        <v>1.33</v>
      </c>
      <c r="I887" s="6" cm="1">
        <f t="array" ref="I887">IFERROR(VALUE(TRIM(LEFT(E887,MIN(FIND({" ";"g";"k";"m";"o"},E887&amp;" gkmo"))-1))),0)</f>
        <v>45</v>
      </c>
      <c r="J887" s="6" t="str" cm="1">
        <f t="array" ref="J887">IFERROR(TRIM(MID(E887,MIN(FIND({" ";"g";"k";"m";"o"},E887&amp;" gkmo")),10)),"unknown")</f>
        <v>g e</v>
      </c>
      <c r="K887" s="6" t="str">
        <f t="shared" si="52"/>
        <v>g</v>
      </c>
      <c r="L887" s="6" t="str">
        <f t="shared" si="53"/>
        <v>Lotus</v>
      </c>
      <c r="M887" s="6" t="str">
        <f t="shared" si="54"/>
        <v>Gaufres De Liège Perles De Sucre</v>
      </c>
      <c r="N887" s="6" t="str">
        <f t="shared" si="55"/>
        <v>Belgium,France</v>
      </c>
    </row>
    <row r="888" spans="1:14" x14ac:dyDescent="0.25">
      <c r="A888" s="6" t="s">
        <v>2295</v>
      </c>
      <c r="B888" s="6">
        <v>5943</v>
      </c>
      <c r="C888" s="6" t="s">
        <v>2296</v>
      </c>
      <c r="D888" s="7" t="s">
        <v>2297</v>
      </c>
      <c r="E888" s="6" t="s">
        <v>476</v>
      </c>
      <c r="F888" s="6" t="s">
        <v>8230</v>
      </c>
      <c r="G888" s="8">
        <v>45613</v>
      </c>
      <c r="H888" s="6">
        <v>20.309999999999999</v>
      </c>
      <c r="I888" s="6" cm="1">
        <f t="array" ref="I888">IFERROR(VALUE(TRIM(LEFT(E888,MIN(FIND({" ";"g";"k";"m";"o"},E888&amp;" gkmo"))-1))),0)</f>
        <v>45</v>
      </c>
      <c r="J888" s="6" t="str" cm="1">
        <f t="array" ref="J888">IFERROR(TRIM(MID(E888,MIN(FIND({" ";"g";"k";"m";"o"},E888&amp;" gkmo")),10)),"unknown")</f>
        <v>g</v>
      </c>
      <c r="K888" s="6" t="str">
        <f t="shared" si="52"/>
        <v>g</v>
      </c>
      <c r="L888" s="6" t="str">
        <f t="shared" si="53"/>
        <v>Gusto</v>
      </c>
      <c r="M888" s="6" t="str">
        <f t="shared" si="54"/>
        <v>Pufuleti</v>
      </c>
      <c r="N888" s="6" t="str">
        <f t="shared" si="55"/>
        <v>Germany, Hungary, Romania, Spain, France, United-Kingdom</v>
      </c>
    </row>
    <row r="889" spans="1:14" x14ac:dyDescent="0.25">
      <c r="A889" s="6" t="s">
        <v>2298</v>
      </c>
      <c r="B889" s="6">
        <v>11230</v>
      </c>
      <c r="C889" s="6" t="s">
        <v>7672</v>
      </c>
      <c r="D889" s="7" t="s">
        <v>2299</v>
      </c>
      <c r="E889" s="6"/>
      <c r="F889" s="6" t="s">
        <v>8231</v>
      </c>
      <c r="G889" s="8">
        <v>45425</v>
      </c>
      <c r="H889" s="6">
        <v>24.82</v>
      </c>
      <c r="I889" s="6" cm="1">
        <f t="array" ref="I889">IFERROR(VALUE(TRIM(LEFT(E889,MIN(FIND({" ";"g";"k";"m";"o"},E889&amp;" gkmo"))-1))),0)</f>
        <v>0</v>
      </c>
      <c r="J889" s="6" t="str" cm="1">
        <f t="array" ref="J889">IFERROR(TRIM(MID(E889,MIN(FIND({" ";"g";"k";"m";"o"},E889&amp;" gkmo")),10)),"unknown")</f>
        <v/>
      </c>
      <c r="K889" s="6" t="str">
        <f t="shared" si="52"/>
        <v>unknown</v>
      </c>
      <c r="L889" s="6" t="str">
        <f t="shared" si="53"/>
        <v>Fontaneda,Mondelez</v>
      </c>
      <c r="M889" s="6" t="str">
        <f t="shared" si="54"/>
        <v>La Buena Marà­A Original</v>
      </c>
      <c r="N889" s="6" t="str">
        <f t="shared" si="55"/>
        <v>France,Espaà±A</v>
      </c>
    </row>
    <row r="890" spans="1:14" x14ac:dyDescent="0.25">
      <c r="A890" s="6" t="s">
        <v>2300</v>
      </c>
      <c r="B890" s="6">
        <v>6983</v>
      </c>
      <c r="C890" s="6" t="s">
        <v>2301</v>
      </c>
      <c r="D890" s="7" t="s">
        <v>452</v>
      </c>
      <c r="E890" s="6" t="s">
        <v>18</v>
      </c>
      <c r="F890" s="6" t="s">
        <v>1185</v>
      </c>
      <c r="G890" s="8">
        <v>45520</v>
      </c>
      <c r="H890" s="6">
        <v>11.19</v>
      </c>
      <c r="I890" s="6" cm="1">
        <f t="array" ref="I890">IFERROR(VALUE(TRIM(LEFT(E890,MIN(FIND({" ";"g";"k";"m";"o"},E890&amp;" gkmo"))-1))),0)</f>
        <v>100</v>
      </c>
      <c r="J890" s="6" t="str" cm="1">
        <f t="array" ref="J890">IFERROR(TRIM(MID(E890,MIN(FIND({" ";"g";"k";"m";"o"},E890&amp;" gkmo")),10)),"unknown")</f>
        <v>g</v>
      </c>
      <c r="K890" s="6" t="str">
        <f t="shared" si="52"/>
        <v>g</v>
      </c>
      <c r="L890" s="6" t="str">
        <f t="shared" si="53"/>
        <v>Hacendado</v>
      </c>
      <c r="M890" s="6" t="str">
        <f t="shared" si="54"/>
        <v>Barritas De Trigo Y Arroz Integral Con Chocolate Con Leche</v>
      </c>
      <c r="N890" s="6" t="str">
        <f t="shared" si="55"/>
        <v>Spain</v>
      </c>
    </row>
    <row r="891" spans="1:14" x14ac:dyDescent="0.25">
      <c r="A891" s="6" t="s">
        <v>2302</v>
      </c>
      <c r="B891" s="6">
        <v>12823</v>
      </c>
      <c r="C891" s="6" t="s">
        <v>2303</v>
      </c>
      <c r="D891" s="7" t="s">
        <v>2304</v>
      </c>
      <c r="E891" s="6" t="s">
        <v>528</v>
      </c>
      <c r="F891" s="6" t="s">
        <v>2305</v>
      </c>
      <c r="G891" s="8">
        <v>45700</v>
      </c>
      <c r="H891" s="6">
        <v>13.16</v>
      </c>
      <c r="I891" s="6" cm="1">
        <f t="array" ref="I891">IFERROR(VALUE(TRIM(LEFT(E891,MIN(FIND({" ";"g";"k";"m";"o"},E891&amp;" gkmo"))-1))),0)</f>
        <v>200</v>
      </c>
      <c r="J891" s="6" t="str" cm="1">
        <f t="array" ref="J891">IFERROR(TRIM(MID(E891,MIN(FIND({" ";"g";"k";"m";"o"},E891&amp;" gkmo")),10)),"unknown")</f>
        <v>g</v>
      </c>
      <c r="K891" s="6" t="str">
        <f t="shared" si="52"/>
        <v>g</v>
      </c>
      <c r="L891" s="6" t="str">
        <f t="shared" si="53"/>
        <v>Seeberger</v>
      </c>
      <c r="M891" s="6" t="str">
        <f t="shared" si="54"/>
        <v>Noix Du Bresil</v>
      </c>
      <c r="N891" s="6" t="str">
        <f t="shared" si="55"/>
        <v>Frankreich,Deutschland,Luxemburg,Schweiz</v>
      </c>
    </row>
    <row r="892" spans="1:14" x14ac:dyDescent="0.25">
      <c r="A892" s="6" t="s">
        <v>2306</v>
      </c>
      <c r="B892" s="6">
        <v>7387</v>
      </c>
      <c r="C892" s="6" t="s">
        <v>2307</v>
      </c>
      <c r="D892" s="7" t="s">
        <v>7017</v>
      </c>
      <c r="E892" s="6" t="s">
        <v>476</v>
      </c>
      <c r="F892" s="6" t="s">
        <v>2308</v>
      </c>
      <c r="G892" s="8">
        <v>45498</v>
      </c>
      <c r="H892" s="6">
        <v>23.71</v>
      </c>
      <c r="I892" s="6" cm="1">
        <f t="array" ref="I892">IFERROR(VALUE(TRIM(LEFT(E892,MIN(FIND({" ";"g";"k";"m";"o"},E892&amp;" gkmo"))-1))),0)</f>
        <v>45</v>
      </c>
      <c r="J892" s="6" t="str" cm="1">
        <f t="array" ref="J892">IFERROR(TRIM(MID(E892,MIN(FIND({" ";"g";"k";"m";"o"},E892&amp;" gkmo")),10)),"unknown")</f>
        <v>g</v>
      </c>
      <c r="K892" s="6" t="str">
        <f t="shared" si="52"/>
        <v>g</v>
      </c>
      <c r="L892" s="6" t="str">
        <f t="shared" si="53"/>
        <v>Unknown</v>
      </c>
      <c r="M892" s="6" t="str">
        <f t="shared" si="54"/>
        <v>Protein Bar</v>
      </c>
      <c r="N892" s="6" t="str">
        <f t="shared" si="55"/>
        <v>Germany,Bulgaria</v>
      </c>
    </row>
    <row r="893" spans="1:14" x14ac:dyDescent="0.25">
      <c r="A893" s="6" t="s">
        <v>2309</v>
      </c>
      <c r="B893" s="6">
        <v>5229</v>
      </c>
      <c r="C893" s="6" t="s">
        <v>2310</v>
      </c>
      <c r="D893" s="7" t="s">
        <v>1084</v>
      </c>
      <c r="E893" s="6" t="s">
        <v>2311</v>
      </c>
      <c r="F893" s="6" t="s">
        <v>139</v>
      </c>
      <c r="G893" s="8">
        <v>46009</v>
      </c>
      <c r="H893" s="6">
        <v>24.84</v>
      </c>
      <c r="I893" s="6" cm="1">
        <f t="array" ref="I893">IFERROR(VALUE(TRIM(LEFT(E893,MIN(FIND({" ";"g";"k";"m";"o"},E893&amp;" gkmo"))-1))),0)</f>
        <v>186</v>
      </c>
      <c r="J893" s="6" t="str" cm="1">
        <f t="array" ref="J893">IFERROR(TRIM(MID(E893,MIN(FIND({" ";"g";"k";"m";"o"},E893&amp;" gkmo")),10)),"unknown")</f>
        <v>g</v>
      </c>
      <c r="K893" s="6" t="str">
        <f t="shared" si="52"/>
        <v>g</v>
      </c>
      <c r="L893" s="6" t="str">
        <f t="shared" si="53"/>
        <v>Lotus</v>
      </c>
      <c r="M893" s="6" t="str">
        <f t="shared" si="54"/>
        <v>Lotus Biscoff Speculoos Original Pocket - 186G (12X2P)</v>
      </c>
      <c r="N893" s="6" t="str">
        <f t="shared" si="55"/>
        <v>France</v>
      </c>
    </row>
    <row r="894" spans="1:14" x14ac:dyDescent="0.25">
      <c r="A894" s="6" t="s">
        <v>2312</v>
      </c>
      <c r="B894" s="6">
        <v>7866</v>
      </c>
      <c r="C894" s="6" t="s">
        <v>2313</v>
      </c>
      <c r="D894" s="7" t="s">
        <v>310</v>
      </c>
      <c r="E894" s="6" t="s">
        <v>138</v>
      </c>
      <c r="F894" s="6" t="s">
        <v>139</v>
      </c>
      <c r="G894" s="8">
        <v>45403</v>
      </c>
      <c r="H894" s="6">
        <v>24.09</v>
      </c>
      <c r="I894" s="6" cm="1">
        <f t="array" ref="I894">IFERROR(VALUE(TRIM(LEFT(E894,MIN(FIND({" ";"g";"k";"m";"o"},E894&amp;" gkmo"))-1))),0)</f>
        <v>400</v>
      </c>
      <c r="J894" s="6" t="str" cm="1">
        <f t="array" ref="J894">IFERROR(TRIM(MID(E894,MIN(FIND({" ";"g";"k";"m";"o"},E894&amp;" gkmo")),10)),"unknown")</f>
        <v>g</v>
      </c>
      <c r="K894" s="6" t="str">
        <f t="shared" si="52"/>
        <v>g</v>
      </c>
      <c r="L894" s="6" t="str">
        <f t="shared" si="53"/>
        <v>St Michel</v>
      </c>
      <c r="M894" s="6" t="str">
        <f t="shared" si="54"/>
        <v>Petites Madeleines Aux Å“Ufs Saint Michel</v>
      </c>
      <c r="N894" s="6" t="str">
        <f t="shared" si="55"/>
        <v>France</v>
      </c>
    </row>
    <row r="895" spans="1:14" x14ac:dyDescent="0.25">
      <c r="A895" s="6" t="s">
        <v>2314</v>
      </c>
      <c r="B895" s="6">
        <v>9411</v>
      </c>
      <c r="C895" s="6" t="s">
        <v>2315</v>
      </c>
      <c r="D895" s="7" t="s">
        <v>1088</v>
      </c>
      <c r="E895" s="6" t="s">
        <v>18</v>
      </c>
      <c r="F895" s="6" t="s">
        <v>177</v>
      </c>
      <c r="G895" s="8">
        <v>45749</v>
      </c>
      <c r="H895" s="6">
        <v>4.5599999999999996</v>
      </c>
      <c r="I895" s="6" cm="1">
        <f t="array" ref="I895">IFERROR(VALUE(TRIM(LEFT(E895,MIN(FIND({" ";"g";"k";"m";"o"},E895&amp;" gkmo"))-1))),0)</f>
        <v>100</v>
      </c>
      <c r="J895" s="6" t="str" cm="1">
        <f t="array" ref="J895">IFERROR(TRIM(MID(E895,MIN(FIND({" ";"g";"k";"m";"o"},E895&amp;" gkmo")),10)),"unknown")</f>
        <v>g</v>
      </c>
      <c r="K895" s="6" t="str">
        <f t="shared" si="52"/>
        <v>g</v>
      </c>
      <c r="L895" s="6" t="str">
        <f t="shared" si="53"/>
        <v>Waitrose</v>
      </c>
      <c r="M895" s="6" t="str">
        <f t="shared" si="54"/>
        <v>Hazelnut, Caramelised Cashew &amp; Pistachio Milk Chocolate</v>
      </c>
      <c r="N895" s="6" t="str">
        <f t="shared" si="55"/>
        <v>United Kingdom</v>
      </c>
    </row>
    <row r="896" spans="1:14" x14ac:dyDescent="0.25">
      <c r="A896" s="6" t="s">
        <v>2316</v>
      </c>
      <c r="B896" s="6">
        <v>11012</v>
      </c>
      <c r="C896" s="6" t="s">
        <v>2317</v>
      </c>
      <c r="D896" s="7" t="s">
        <v>1172</v>
      </c>
      <c r="E896" s="6">
        <v>350</v>
      </c>
      <c r="F896" s="6" t="s">
        <v>8280</v>
      </c>
      <c r="G896" s="8">
        <v>45434</v>
      </c>
      <c r="H896" s="6">
        <v>20.329999999999998</v>
      </c>
      <c r="I896" s="6" cm="1">
        <f t="array" ref="I896">IFERROR(VALUE(TRIM(LEFT(E896,MIN(FIND({" ";"g";"k";"m";"o"},E896&amp;" gkmo"))-1))),0)</f>
        <v>350</v>
      </c>
      <c r="J896" s="6" t="str" cm="1">
        <f t="array" ref="J896">IFERROR(TRIM(MID(E896,MIN(FIND({" ";"g";"k";"m";"o"},E896&amp;" gkmo")),10)),"unknown")</f>
        <v/>
      </c>
      <c r="K896" s="6" t="str">
        <f t="shared" si="52"/>
        <v>unknown</v>
      </c>
      <c r="L896" s="6" t="str">
        <f t="shared" si="53"/>
        <v>Barilla, Mulino Bianco</v>
      </c>
      <c r="M896" s="6" t="str">
        <f t="shared" si="54"/>
        <v>Biscotti Pan Di Stelle</v>
      </c>
      <c r="N896" s="6" t="str">
        <f t="shared" si="55"/>
        <v>France,Italie,Spain</v>
      </c>
    </row>
    <row r="897" spans="1:14" x14ac:dyDescent="0.25">
      <c r="A897" s="6" t="s">
        <v>2318</v>
      </c>
      <c r="B897" s="6">
        <v>6775</v>
      </c>
      <c r="C897" s="6" t="s">
        <v>2319</v>
      </c>
      <c r="D897" s="7" t="s">
        <v>248</v>
      </c>
      <c r="E897" s="6" t="s">
        <v>28</v>
      </c>
      <c r="F897" s="6" t="s">
        <v>2973</v>
      </c>
      <c r="G897" s="8">
        <v>45456</v>
      </c>
      <c r="H897" s="6">
        <v>22.54</v>
      </c>
      <c r="I897" s="6" cm="1">
        <f t="array" ref="I897">IFERROR(VALUE(TRIM(LEFT(E897,MIN(FIND({" ";"g";"k";"m";"o"},E897&amp;" gkmo"))-1))),0)</f>
        <v>125</v>
      </c>
      <c r="J897" s="6" t="str" cm="1">
        <f t="array" ref="J897">IFERROR(TRIM(MID(E897,MIN(FIND({" ";"g";"k";"m";"o"},E897&amp;" gkmo")),10)),"unknown")</f>
        <v>g</v>
      </c>
      <c r="K897" s="6" t="str">
        <f t="shared" si="52"/>
        <v>g</v>
      </c>
      <c r="L897" s="6" t="str">
        <f t="shared" si="53"/>
        <v>Tesco</v>
      </c>
      <c r="M897" s="6" t="str">
        <f t="shared" si="54"/>
        <v>Root Vegetables</v>
      </c>
      <c r="N897" s="6" t="str">
        <f t="shared" si="55"/>
        <v>Gb</v>
      </c>
    </row>
    <row r="898" spans="1:14" x14ac:dyDescent="0.25">
      <c r="A898" s="6" t="s">
        <v>2320</v>
      </c>
      <c r="B898" s="6">
        <v>5945</v>
      </c>
      <c r="C898" s="6" t="s">
        <v>2321</v>
      </c>
      <c r="D898" s="7" t="s">
        <v>2322</v>
      </c>
      <c r="E898" s="6" t="s">
        <v>28</v>
      </c>
      <c r="F898" s="6" t="s">
        <v>177</v>
      </c>
      <c r="G898" s="8">
        <v>45366</v>
      </c>
      <c r="H898" s="6">
        <v>8.2200000000000006</v>
      </c>
      <c r="I898" s="6" cm="1">
        <f t="array" ref="I898">IFERROR(VALUE(TRIM(LEFT(E898,MIN(FIND({" ";"g";"k";"m";"o"},E898&amp;" gkmo"))-1))),0)</f>
        <v>125</v>
      </c>
      <c r="J898" s="6" t="str" cm="1">
        <f t="array" ref="J898">IFERROR(TRIM(MID(E898,MIN(FIND({" ";"g";"k";"m";"o"},E898&amp;" gkmo")),10)),"unknown")</f>
        <v>g</v>
      </c>
      <c r="K898" s="6" t="str">
        <f t="shared" si="52"/>
        <v>g</v>
      </c>
      <c r="L898" s="6" t="str">
        <f t="shared" si="53"/>
        <v>M&amp;S Food</v>
      </c>
      <c r="M898" s="6" t="str">
        <f t="shared" si="54"/>
        <v>Cheese Twists</v>
      </c>
      <c r="N898" s="6" t="str">
        <f t="shared" si="55"/>
        <v>United Kingdom</v>
      </c>
    </row>
    <row r="899" spans="1:14" x14ac:dyDescent="0.25">
      <c r="A899" s="6" t="s">
        <v>2323</v>
      </c>
      <c r="B899" s="6">
        <v>13324</v>
      </c>
      <c r="C899" s="6" t="s">
        <v>2324</v>
      </c>
      <c r="D899" s="7" t="s">
        <v>7166</v>
      </c>
      <c r="E899" s="6" t="s">
        <v>2325</v>
      </c>
      <c r="F899" s="6" t="s">
        <v>139</v>
      </c>
      <c r="G899" s="8">
        <v>45731</v>
      </c>
      <c r="H899" s="6">
        <v>15.49</v>
      </c>
      <c r="I899" s="6" cm="1">
        <f t="array" ref="I899">IFERROR(VALUE(TRIM(LEFT(E899,MIN(FIND({" ";"g";"k";"m";"o"},E899&amp;" gkmo"))-1))),0)</f>
        <v>187</v>
      </c>
      <c r="J899" s="6" t="str" cm="1">
        <f t="array" ref="J899">IFERROR(TRIM(MID(E899,MIN(FIND({" ";"g";"k";"m";"o"},E899&amp;" gkmo")),10)),"unknown")</f>
        <v>g</v>
      </c>
      <c r="K899" s="6" t="str">
        <f t="shared" ref="K899:K962" si="56">IF(E899="","unknown",IF(OR(J899="g",LEFT(J899,1)="g"),"g",IF(OR(LEFT(J899,2)="kg",LEFT(J899,2)="ki"),"kg",IF(OR(LEFT(J899,2)="ml",LEFT(J899,1)="m"),"ml",IF(LEFT(J899,1)="l","l",IF(ISNUMBER(SEARCH("g",E899)),"g",IF(ISNUMBER(SEARCH("kg",E899)),"kg",IF(ISNUMBER(SEARCH("ml",E899)),"ml","unknown"))))))))</f>
        <v>g</v>
      </c>
      <c r="L899" s="6" t="str">
        <f t="shared" ref="L899:L962" si="57">IF(D899="","Unknown",PROPER(TRIM(D899)))</f>
        <v>Cémoi</v>
      </c>
      <c r="M899" s="6" t="str">
        <f t="shared" ref="M899:M962" si="58">IF(C899="Unknown","Unknown",PROPER(TRIM(C899)))</f>
        <v>Quadro L'Original</v>
      </c>
      <c r="N899" s="6" t="str">
        <f t="shared" ref="N899:N962" si="59">IF(F899="","Unknown",PROPER(TRIM(F899)))</f>
        <v>France</v>
      </c>
    </row>
    <row r="900" spans="1:14" x14ac:dyDescent="0.25">
      <c r="A900" s="6" t="s">
        <v>2326</v>
      </c>
      <c r="B900" s="6">
        <v>13571</v>
      </c>
      <c r="C900" s="6" t="s">
        <v>2327</v>
      </c>
      <c r="D900" s="7" t="s">
        <v>2328</v>
      </c>
      <c r="E900" s="6" t="s">
        <v>18</v>
      </c>
      <c r="F900" s="6" t="s">
        <v>8004</v>
      </c>
      <c r="G900" s="8">
        <v>45350</v>
      </c>
      <c r="H900" s="6">
        <v>10.44</v>
      </c>
      <c r="I900" s="6" cm="1">
        <f t="array" ref="I900">IFERROR(VALUE(TRIM(LEFT(E900,MIN(FIND({" ";"g";"k";"m";"o"},E900&amp;" gkmo"))-1))),0)</f>
        <v>100</v>
      </c>
      <c r="J900" s="6" t="str" cm="1">
        <f t="array" ref="J900">IFERROR(TRIM(MID(E900,MIN(FIND({" ";"g";"k";"m";"o"},E900&amp;" gkmo")),10)),"unknown")</f>
        <v>g</v>
      </c>
      <c r="K900" s="6" t="str">
        <f t="shared" si="56"/>
        <v>g</v>
      </c>
      <c r="L900" s="6" t="str">
        <f t="shared" si="57"/>
        <v>Barcel, Takis</v>
      </c>
      <c r="M900" s="6" t="str">
        <f t="shared" si="58"/>
        <v>Takis Fuego</v>
      </c>
      <c r="N900" s="6" t="str">
        <f t="shared" si="59"/>
        <v>Bosnia And Herzegovina, France, Germany, Romania, Belgium</v>
      </c>
    </row>
    <row r="901" spans="1:14" x14ac:dyDescent="0.25">
      <c r="A901" s="6" t="s">
        <v>2329</v>
      </c>
      <c r="B901" s="6">
        <v>6265</v>
      </c>
      <c r="C901" s="6" t="s">
        <v>2330</v>
      </c>
      <c r="D901" s="7" t="s">
        <v>2331</v>
      </c>
      <c r="E901" s="6" t="s">
        <v>2332</v>
      </c>
      <c r="F901" s="6" t="s">
        <v>2333</v>
      </c>
      <c r="G901" s="8">
        <v>45396</v>
      </c>
      <c r="H901" s="6">
        <v>1.34</v>
      </c>
      <c r="I901" s="6" cm="1">
        <f t="array" ref="I901">IFERROR(VALUE(TRIM(LEFT(E901,MIN(FIND({" ";"g";"k";"m";"o"},E901&amp;" gkmo"))-1))),0)</f>
        <v>8.5</v>
      </c>
      <c r="J901" s="6" t="str" cm="1">
        <f t="array" ref="J901">IFERROR(TRIM(MID(E901,MIN(FIND({" ";"g";"k";"m";"o"},E901&amp;" gkmo")),10)),"unknown")</f>
        <v>oz</v>
      </c>
      <c r="K901" s="6" t="str">
        <f t="shared" si="56"/>
        <v>unknown</v>
      </c>
      <c r="L901" s="6" t="str">
        <f t="shared" si="57"/>
        <v>Triscuit</v>
      </c>
      <c r="M901" s="6" t="str">
        <f t="shared" si="58"/>
        <v>Original Made With Sea Salt</v>
      </c>
      <c r="N901" s="6" t="str">
        <f t="shared" si="59"/>
        <v>France,United States, World</v>
      </c>
    </row>
    <row r="902" spans="1:14" x14ac:dyDescent="0.25">
      <c r="A902" s="6" t="s">
        <v>2334</v>
      </c>
      <c r="B902" s="6">
        <v>7445</v>
      </c>
      <c r="C902" s="6" t="s">
        <v>2335</v>
      </c>
      <c r="D902" s="7" t="s">
        <v>389</v>
      </c>
      <c r="E902" s="6" t="s">
        <v>528</v>
      </c>
      <c r="F902" s="6" t="s">
        <v>2336</v>
      </c>
      <c r="G902" s="8">
        <v>45349</v>
      </c>
      <c r="H902" s="6">
        <v>22.85</v>
      </c>
      <c r="I902" s="6" cm="1">
        <f t="array" ref="I902">IFERROR(VALUE(TRIM(LEFT(E902,MIN(FIND({" ";"g";"k";"m";"o"},E902&amp;" gkmo"))-1))),0)</f>
        <v>200</v>
      </c>
      <c r="J902" s="6" t="str" cm="1">
        <f t="array" ref="J902">IFERROR(TRIM(MID(E902,MIN(FIND({" ";"g";"k";"m";"o"},E902&amp;" gkmo")),10)),"unknown")</f>
        <v>g</v>
      </c>
      <c r="K902" s="6" t="str">
        <f t="shared" si="56"/>
        <v>g</v>
      </c>
      <c r="L902" s="6" t="str">
        <f t="shared" si="57"/>
        <v>Alesto, Lidl</v>
      </c>
      <c r="M902" s="6" t="str">
        <f t="shared" si="58"/>
        <v>Roasted Cashew-Peanut-Mix Honey &amp; Salt</v>
      </c>
      <c r="N902" s="6" t="str">
        <f t="shared" si="59"/>
        <v>Germany,United States</v>
      </c>
    </row>
    <row r="903" spans="1:14" x14ac:dyDescent="0.25">
      <c r="A903" s="6" t="s">
        <v>2337</v>
      </c>
      <c r="B903" s="6">
        <v>6741</v>
      </c>
      <c r="C903" s="6" t="s">
        <v>1204</v>
      </c>
      <c r="D903" s="7" t="s">
        <v>2338</v>
      </c>
      <c r="E903" s="6" t="s">
        <v>335</v>
      </c>
      <c r="F903" s="6" t="s">
        <v>8005</v>
      </c>
      <c r="G903" s="8">
        <v>45808</v>
      </c>
      <c r="H903" s="6">
        <v>13.55</v>
      </c>
      <c r="I903" s="6" cm="1">
        <f t="array" ref="I903">IFERROR(VALUE(TRIM(LEFT(E903,MIN(FIND({" ";"g";"k";"m";"o"},E903&amp;" gkmo"))-1))),0)</f>
        <v>250</v>
      </c>
      <c r="J903" s="6" t="str" cm="1">
        <f t="array" ref="J903">IFERROR(TRIM(MID(E903,MIN(FIND({" ";"g";"k";"m";"o"},E903&amp;" gkmo")),10)),"unknown")</f>
        <v>g</v>
      </c>
      <c r="K903" s="6" t="str">
        <f t="shared" si="56"/>
        <v>g</v>
      </c>
      <c r="L903" s="6" t="str">
        <f t="shared" si="57"/>
        <v>Rivercote</v>
      </c>
      <c r="M903" s="6" t="str">
        <f t="shared" si="58"/>
        <v>Scottish Rough Oatcakes</v>
      </c>
      <c r="N903" s="6" t="str">
        <f t="shared" si="59"/>
        <v>France,United Kingdom,United-Kingdom</v>
      </c>
    </row>
    <row r="904" spans="1:14" x14ac:dyDescent="0.25">
      <c r="A904" s="6" t="s">
        <v>2339</v>
      </c>
      <c r="B904" s="6">
        <v>10111</v>
      </c>
      <c r="C904" s="6" t="s">
        <v>7673</v>
      </c>
      <c r="D904" s="7" t="s">
        <v>7167</v>
      </c>
      <c r="E904" s="6" t="s">
        <v>151</v>
      </c>
      <c r="F904" s="6" t="s">
        <v>139</v>
      </c>
      <c r="G904" s="8">
        <v>45750</v>
      </c>
      <c r="H904" s="6">
        <v>16.25</v>
      </c>
      <c r="I904" s="6" cm="1">
        <f t="array" ref="I904">IFERROR(VALUE(TRIM(LEFT(E904,MIN(FIND({" ";"g";"k";"m";"o"},E904&amp;" gkmo"))-1))),0)</f>
        <v>200</v>
      </c>
      <c r="J904" s="6" t="str" cm="1">
        <f t="array" ref="J904">IFERROR(TRIM(MID(E904,MIN(FIND({" ";"g";"k";"m";"o"},E904&amp;" gkmo")),10)),"unknown")</f>
        <v>g</v>
      </c>
      <c r="K904" s="6" t="str">
        <f t="shared" si="56"/>
        <v>g</v>
      </c>
      <c r="L904" s="6" t="str">
        <f t="shared" si="57"/>
        <v>Nestlé, Menier</v>
      </c>
      <c r="M904" s="6" t="str">
        <f t="shared" si="58"/>
        <v>Menier Pà¢Tissier Tablette</v>
      </c>
      <c r="N904" s="6" t="str">
        <f t="shared" si="59"/>
        <v>France</v>
      </c>
    </row>
    <row r="905" spans="1:14" x14ac:dyDescent="0.25">
      <c r="A905" s="6" t="s">
        <v>2340</v>
      </c>
      <c r="B905" s="6">
        <v>5350</v>
      </c>
      <c r="C905" s="6" t="s">
        <v>7168</v>
      </c>
      <c r="D905" s="7" t="s">
        <v>7030</v>
      </c>
      <c r="E905" s="6"/>
      <c r="F905" s="6" t="s">
        <v>8232</v>
      </c>
      <c r="G905" s="8">
        <v>45462</v>
      </c>
      <c r="H905" s="6">
        <v>7.7</v>
      </c>
      <c r="I905" s="6" cm="1">
        <f t="array" ref="I905">IFERROR(VALUE(TRIM(LEFT(E905,MIN(FIND({" ";"g";"k";"m";"o"},E905&amp;" gkmo"))-1))),0)</f>
        <v>0</v>
      </c>
      <c r="J905" s="6" t="str" cm="1">
        <f t="array" ref="J905">IFERROR(TRIM(MID(E905,MIN(FIND({" ";"g";"k";"m";"o"},E905&amp;" gkmo")),10)),"unknown")</f>
        <v/>
      </c>
      <c r="K905" s="6" t="str">
        <f t="shared" si="56"/>
        <v>unknown</v>
      </c>
      <c r="L905" s="6" t="str">
        <f t="shared" si="57"/>
        <v>Gerblé</v>
      </c>
      <c r="M905" s="6" t="str">
        <f t="shared" si="58"/>
        <v>Gerblé - Sesame Chocolate Cookie, 200G (7.1Oz)</v>
      </c>
      <c r="N905" s="6" t="str">
        <f t="shared" si="59"/>
        <v>France,Martinica</v>
      </c>
    </row>
    <row r="906" spans="1:14" x14ac:dyDescent="0.25">
      <c r="A906" s="6" t="s">
        <v>2341</v>
      </c>
      <c r="B906" s="6">
        <v>5423</v>
      </c>
      <c r="C906" s="6" t="s">
        <v>2342</v>
      </c>
      <c r="D906" s="7" t="s">
        <v>7017</v>
      </c>
      <c r="E906" s="6" t="s">
        <v>2343</v>
      </c>
      <c r="F906" s="6" t="s">
        <v>139</v>
      </c>
      <c r="G906" s="8">
        <v>45870</v>
      </c>
      <c r="H906" s="6">
        <v>13.16</v>
      </c>
      <c r="I906" s="6" cm="1">
        <f t="array" ref="I906">IFERROR(VALUE(TRIM(LEFT(E906,MIN(FIND({" ";"g";"k";"m";"o"},E906&amp;" gkmo"))-1))),0)</f>
        <v>150</v>
      </c>
      <c r="J906" s="6" t="str" cm="1">
        <f t="array" ref="J906">IFERROR(TRIM(MID(E906,MIN(FIND({" ";"g";"k";"m";"o"},E906&amp;" gkmo")),10)),"unknown")</f>
        <v>g (6 x 25</v>
      </c>
      <c r="K906" s="6" t="str">
        <f t="shared" si="56"/>
        <v>g</v>
      </c>
      <c r="L906" s="6" t="str">
        <f t="shared" si="57"/>
        <v>Unknown</v>
      </c>
      <c r="M906" s="6" t="str">
        <f t="shared" si="58"/>
        <v>Barre Amande</v>
      </c>
      <c r="N906" s="6" t="str">
        <f t="shared" si="59"/>
        <v>France</v>
      </c>
    </row>
    <row r="907" spans="1:14" x14ac:dyDescent="0.25">
      <c r="A907" s="6" t="s">
        <v>2344</v>
      </c>
      <c r="B907" s="6">
        <v>5701</v>
      </c>
      <c r="C907" s="6" t="s">
        <v>2345</v>
      </c>
      <c r="D907" s="7" t="s">
        <v>2346</v>
      </c>
      <c r="E907" s="6" t="s">
        <v>151</v>
      </c>
      <c r="F907" s="6" t="s">
        <v>139</v>
      </c>
      <c r="G907" s="8">
        <v>45911</v>
      </c>
      <c r="H907" s="6">
        <v>21.41</v>
      </c>
      <c r="I907" s="6" cm="1">
        <f t="array" ref="I907">IFERROR(VALUE(TRIM(LEFT(E907,MIN(FIND({" ";"g";"k";"m";"o"},E907&amp;" gkmo"))-1))),0)</f>
        <v>200</v>
      </c>
      <c r="J907" s="6" t="str" cm="1">
        <f t="array" ref="J907">IFERROR(TRIM(MID(E907,MIN(FIND({" ";"g";"k";"m";"o"},E907&amp;" gkmo")),10)),"unknown")</f>
        <v>g</v>
      </c>
      <c r="K907" s="6" t="str">
        <f t="shared" si="56"/>
        <v>g</v>
      </c>
      <c r="L907" s="6" t="str">
        <f t="shared" si="57"/>
        <v>Daco Bello</v>
      </c>
      <c r="M907" s="6" t="str">
        <f t="shared" si="58"/>
        <v>Formule Boost</v>
      </c>
      <c r="N907" s="6" t="str">
        <f t="shared" si="59"/>
        <v>France</v>
      </c>
    </row>
    <row r="908" spans="1:14" x14ac:dyDescent="0.25">
      <c r="A908" s="6" t="s">
        <v>2347</v>
      </c>
      <c r="B908" s="6">
        <v>7388</v>
      </c>
      <c r="C908" s="6" t="s">
        <v>2348</v>
      </c>
      <c r="D908" s="7" t="s">
        <v>726</v>
      </c>
      <c r="E908" s="6" t="s">
        <v>2349</v>
      </c>
      <c r="F908" s="6" t="s">
        <v>177</v>
      </c>
      <c r="G908" s="8">
        <v>45911</v>
      </c>
      <c r="H908" s="6">
        <v>15.18</v>
      </c>
      <c r="I908" s="6" cm="1">
        <f t="array" ref="I908">IFERROR(VALUE(TRIM(LEFT(E908,MIN(FIND({" ";"g";"k";"m";"o"},E908&amp;" gkmo"))-1))),0)</f>
        <v>32.5</v>
      </c>
      <c r="J908" s="6" t="str" cm="1">
        <f t="array" ref="J908">IFERROR(TRIM(MID(E908,MIN(FIND({" ";"g";"k";"m";"o"},E908&amp;" gkmo")),10)),"unknown")</f>
        <v>g</v>
      </c>
      <c r="K908" s="6" t="str">
        <f t="shared" si="56"/>
        <v>g</v>
      </c>
      <c r="L908" s="6" t="str">
        <f t="shared" si="57"/>
        <v>Walkers</v>
      </c>
      <c r="M908" s="6" t="str">
        <f t="shared" si="58"/>
        <v>Walkers Salted</v>
      </c>
      <c r="N908" s="6" t="str">
        <f t="shared" si="59"/>
        <v>United Kingdom</v>
      </c>
    </row>
    <row r="909" spans="1:14" x14ac:dyDescent="0.25">
      <c r="A909" s="6" t="s">
        <v>2350</v>
      </c>
      <c r="B909" s="6">
        <v>8799</v>
      </c>
      <c r="C909" s="6" t="s">
        <v>2351</v>
      </c>
      <c r="D909" s="7" t="s">
        <v>2352</v>
      </c>
      <c r="E909" s="6" t="s">
        <v>2353</v>
      </c>
      <c r="F909" s="6" t="s">
        <v>400</v>
      </c>
      <c r="G909" s="8">
        <v>45738</v>
      </c>
      <c r="H909" s="6">
        <v>13.16</v>
      </c>
      <c r="I909" s="6" cm="1">
        <f t="array" ref="I909">IFERROR(VALUE(TRIM(LEFT(E909,MIN(FIND({" ";"g";"k";"m";"o"},E909&amp;" gkmo"))-1))),0)</f>
        <v>82.5</v>
      </c>
      <c r="J909" s="6" t="str" cm="1">
        <f t="array" ref="J909">IFERROR(TRIM(MID(E909,MIN(FIND({" ";"g";"k";"m";"o"},E909&amp;" gkmo")),10)),"unknown")</f>
        <v>g</v>
      </c>
      <c r="K909" s="6" t="str">
        <f t="shared" si="56"/>
        <v>g</v>
      </c>
      <c r="L909" s="6" t="str">
        <f t="shared" si="57"/>
        <v>Sensations, Walkers</v>
      </c>
      <c r="M909" s="6" t="str">
        <f t="shared" si="58"/>
        <v>Lime &amp; Coriander Chutney Poppadoms</v>
      </c>
      <c r="N909" s="6" t="str">
        <f t="shared" si="59"/>
        <v>France,United Kingdom</v>
      </c>
    </row>
    <row r="910" spans="1:14" x14ac:dyDescent="0.25">
      <c r="A910" s="6" t="s">
        <v>2354</v>
      </c>
      <c r="B910" s="6">
        <v>8992</v>
      </c>
      <c r="C910" s="6" t="s">
        <v>2355</v>
      </c>
      <c r="D910" s="7" t="s">
        <v>2356</v>
      </c>
      <c r="E910" s="6" t="s">
        <v>495</v>
      </c>
      <c r="F910" s="6" t="s">
        <v>48</v>
      </c>
      <c r="G910" s="8">
        <v>45687</v>
      </c>
      <c r="H910" s="6">
        <v>11.5</v>
      </c>
      <c r="I910" s="6" cm="1">
        <f t="array" ref="I910">IFERROR(VALUE(TRIM(LEFT(E910,MIN(FIND({" ";"g";"k";"m";"o"},E910&amp;" gkmo"))-1))),0)</f>
        <v>35</v>
      </c>
      <c r="J910" s="6" t="str" cm="1">
        <f t="array" ref="J910">IFERROR(TRIM(MID(E910,MIN(FIND({" ";"g";"k";"m";"o"},E910&amp;" gkmo")),10)),"unknown")</f>
        <v>g</v>
      </c>
      <c r="K910" s="6" t="str">
        <f t="shared" si="56"/>
        <v>g</v>
      </c>
      <c r="L910" s="6" t="str">
        <f t="shared" si="57"/>
        <v>Conikos</v>
      </c>
      <c r="M910" s="6" t="str">
        <f t="shared" si="58"/>
        <v>Conikos Fromage</v>
      </c>
      <c r="N910" s="6" t="str">
        <f t="shared" si="59"/>
        <v>Morocco</v>
      </c>
    </row>
    <row r="911" spans="1:14" x14ac:dyDescent="0.25">
      <c r="A911" s="6" t="s">
        <v>2357</v>
      </c>
      <c r="B911" s="6">
        <v>9396</v>
      </c>
      <c r="C911" s="6" t="s">
        <v>2358</v>
      </c>
      <c r="D911" s="7" t="s">
        <v>1172</v>
      </c>
      <c r="E911" s="6" t="s">
        <v>2359</v>
      </c>
      <c r="F911" s="6" t="s">
        <v>2360</v>
      </c>
      <c r="G911" s="8">
        <v>45480</v>
      </c>
      <c r="H911" s="6">
        <v>1.52</v>
      </c>
      <c r="I911" s="6" cm="1">
        <f t="array" ref="I911">IFERROR(VALUE(TRIM(LEFT(E911,MIN(FIND({" ";"g";"k";"m";"o"},E911&amp;" gkmo"))-1))),0)</f>
        <v>8</v>
      </c>
      <c r="J911" s="6" t="str" cm="1">
        <f t="array" ref="J911">IFERROR(TRIM(MID(E911,MIN(FIND({" ";"g";"k";"m";"o"},E911&amp;" gkmo")),10)),"unknown")</f>
        <v>x 42g</v>
      </c>
      <c r="K911" s="6" t="str">
        <f t="shared" si="56"/>
        <v>g</v>
      </c>
      <c r="L911" s="6" t="str">
        <f t="shared" si="57"/>
        <v>Barilla, Mulino Bianco</v>
      </c>
      <c r="M911" s="6" t="str">
        <f t="shared" si="58"/>
        <v>Pan Goccioli</v>
      </c>
      <c r="N911" s="6" t="str">
        <f t="shared" si="59"/>
        <v>Italy,Switzerland</v>
      </c>
    </row>
    <row r="912" spans="1:14" x14ac:dyDescent="0.25">
      <c r="A912" s="6" t="s">
        <v>2361</v>
      </c>
      <c r="B912" s="6">
        <v>8565</v>
      </c>
      <c r="C912" s="6" t="s">
        <v>2362</v>
      </c>
      <c r="D912" s="7" t="s">
        <v>2363</v>
      </c>
      <c r="E912" s="6">
        <v>7</v>
      </c>
      <c r="F912" s="6" t="s">
        <v>7926</v>
      </c>
      <c r="G912" s="8">
        <v>45742</v>
      </c>
      <c r="H912" s="6">
        <v>13.56</v>
      </c>
      <c r="I912" s="6" cm="1">
        <f t="array" ref="I912">IFERROR(VALUE(TRIM(LEFT(E912,MIN(FIND({" ";"g";"k";"m";"o"},E912&amp;" gkmo"))-1))),0)</f>
        <v>7</v>
      </c>
      <c r="J912" s="6" t="str" cm="1">
        <f t="array" ref="J912">IFERROR(TRIM(MID(E912,MIN(FIND({" ";"g";"k";"m";"o"},E912&amp;" gkmo")),10)),"unknown")</f>
        <v/>
      </c>
      <c r="K912" s="6" t="str">
        <f t="shared" si="56"/>
        <v>unknown</v>
      </c>
      <c r="L912" s="6" t="str">
        <f t="shared" si="57"/>
        <v>Penn State Snacks</v>
      </c>
      <c r="M912" s="6" t="str">
        <f t="shared" si="58"/>
        <v>Sour Cream &amp; Chive Flavour Wheat &amp; Potato Pretzel Knots</v>
      </c>
      <c r="N912" s="6" t="str">
        <f t="shared" si="59"/>
        <v>France, United-Kingdom</v>
      </c>
    </row>
    <row r="913" spans="1:14" x14ac:dyDescent="0.25">
      <c r="A913" s="6" t="s">
        <v>2364</v>
      </c>
      <c r="B913" s="6">
        <v>12527</v>
      </c>
      <c r="C913" s="6" t="s">
        <v>2365</v>
      </c>
      <c r="D913" s="7" t="s">
        <v>7017</v>
      </c>
      <c r="E913" s="6" t="s">
        <v>28</v>
      </c>
      <c r="F913" s="6" t="s">
        <v>2973</v>
      </c>
      <c r="G913" s="8">
        <v>45637</v>
      </c>
      <c r="H913" s="6">
        <v>3.48</v>
      </c>
      <c r="I913" s="6" cm="1">
        <f t="array" ref="I913">IFERROR(VALUE(TRIM(LEFT(E913,MIN(FIND({" ";"g";"k";"m";"o"},E913&amp;" gkmo"))-1))),0)</f>
        <v>125</v>
      </c>
      <c r="J913" s="6" t="str" cm="1">
        <f t="array" ref="J913">IFERROR(TRIM(MID(E913,MIN(FIND({" ";"g";"k";"m";"o"},E913&amp;" gkmo")),10)),"unknown")</f>
        <v>g</v>
      </c>
      <c r="K913" s="6" t="str">
        <f t="shared" si="56"/>
        <v>g</v>
      </c>
      <c r="L913" s="6" t="str">
        <f t="shared" si="57"/>
        <v>Unknown</v>
      </c>
      <c r="M913" s="6" t="str">
        <f t="shared" si="58"/>
        <v>Organic Cacao Nibs</v>
      </c>
      <c r="N913" s="6" t="str">
        <f t="shared" si="59"/>
        <v>Gb</v>
      </c>
    </row>
    <row r="914" spans="1:14" x14ac:dyDescent="0.25">
      <c r="A914" s="6" t="s">
        <v>2366</v>
      </c>
      <c r="B914" s="6">
        <v>11252</v>
      </c>
      <c r="C914" s="6" t="s">
        <v>2367</v>
      </c>
      <c r="D914" s="7" t="s">
        <v>2368</v>
      </c>
      <c r="E914" s="6" t="s">
        <v>2369</v>
      </c>
      <c r="F914" s="6" t="s">
        <v>48</v>
      </c>
      <c r="G914" s="8">
        <v>45814</v>
      </c>
      <c r="H914" s="6">
        <v>15.86</v>
      </c>
      <c r="I914" s="6" cm="1">
        <f t="array" ref="I914">IFERROR(VALUE(TRIM(LEFT(E914,MIN(FIND({" ";"g";"k";"m";"o"},E914&amp;" gkmo"))-1))),0)</f>
        <v>1</v>
      </c>
      <c r="J914" s="6" t="str" cm="1">
        <f t="array" ref="J914">IFERROR(TRIM(MID(E914,MIN(FIND({" ";"g";"k";"m";"o"},E914&amp;" gkmo")),10)),"unknown")</f>
        <v>et 40 g</v>
      </c>
      <c r="K914" s="6" t="str">
        <f t="shared" si="56"/>
        <v>g</v>
      </c>
      <c r="L914" s="6" t="str">
        <f t="shared" si="57"/>
        <v>Best Biscuits</v>
      </c>
      <c r="M914" s="6" t="str">
        <f t="shared" si="58"/>
        <v>Fluffy Milky</v>
      </c>
      <c r="N914" s="6" t="str">
        <f t="shared" si="59"/>
        <v>Morocco</v>
      </c>
    </row>
    <row r="915" spans="1:14" x14ac:dyDescent="0.25">
      <c r="A915" s="6" t="s">
        <v>2370</v>
      </c>
      <c r="B915" s="6">
        <v>8207</v>
      </c>
      <c r="C915" s="6" t="s">
        <v>2371</v>
      </c>
      <c r="D915" s="7" t="s">
        <v>7578</v>
      </c>
      <c r="E915" s="6" t="s">
        <v>64</v>
      </c>
      <c r="F915" s="6" t="s">
        <v>7960</v>
      </c>
      <c r="G915" s="8">
        <v>45438</v>
      </c>
      <c r="H915" s="6">
        <v>10.83</v>
      </c>
      <c r="I915" s="6" cm="1">
        <f t="array" ref="I915">IFERROR(VALUE(TRIM(LEFT(E915,MIN(FIND({" ";"g";"k";"m";"o"},E915&amp;" gkmo"))-1))),0)</f>
        <v>150</v>
      </c>
      <c r="J915" s="6" t="str" cm="1">
        <f t="array" ref="J915">IFERROR(TRIM(MID(E915,MIN(FIND({" ";"g";"k";"m";"o"},E915&amp;" gkmo")),10)),"unknown")</f>
        <v>g</v>
      </c>
      <c r="K915" s="6" t="str">
        <f t="shared" si="56"/>
        <v>g</v>
      </c>
      <c r="L915" s="6" t="str">
        <f t="shared" si="57"/>
        <v>Gullà³N</v>
      </c>
      <c r="M915" s="6" t="str">
        <f t="shared" si="58"/>
        <v>Gullon Zero Snack Choco</v>
      </c>
      <c r="N915" s="6" t="str">
        <f t="shared" si="59"/>
        <v>Spain, Morocco</v>
      </c>
    </row>
    <row r="916" spans="1:14" x14ac:dyDescent="0.25">
      <c r="A916" s="6" t="s">
        <v>2372</v>
      </c>
      <c r="B916" s="6">
        <v>5469</v>
      </c>
      <c r="C916" s="6" t="s">
        <v>2373</v>
      </c>
      <c r="D916" s="7" t="s">
        <v>630</v>
      </c>
      <c r="E916" s="6" t="s">
        <v>276</v>
      </c>
      <c r="F916" s="6" t="s">
        <v>48</v>
      </c>
      <c r="G916" s="8">
        <v>45686</v>
      </c>
      <c r="H916" s="6">
        <v>21.49</v>
      </c>
      <c r="I916" s="6" cm="1">
        <f t="array" ref="I916">IFERROR(VALUE(TRIM(LEFT(E916,MIN(FIND({" ";"g";"k";"m";"o"},E916&amp;" gkmo"))-1))),0)</f>
        <v>40</v>
      </c>
      <c r="J916" s="6" t="str" cm="1">
        <f t="array" ref="J916">IFERROR(TRIM(MID(E916,MIN(FIND({" ";"g";"k";"m";"o"},E916&amp;" gkmo")),10)),"unknown")</f>
        <v>g</v>
      </c>
      <c r="K916" s="6" t="str">
        <f t="shared" si="56"/>
        <v>g</v>
      </c>
      <c r="L916" s="6" t="str">
        <f t="shared" si="57"/>
        <v>Be</v>
      </c>
      <c r="M916" s="6" t="str">
        <f t="shared" si="58"/>
        <v>Browny</v>
      </c>
      <c r="N916" s="6" t="str">
        <f t="shared" si="59"/>
        <v>Morocco</v>
      </c>
    </row>
    <row r="917" spans="1:14" x14ac:dyDescent="0.25">
      <c r="A917" s="6" t="s">
        <v>2374</v>
      </c>
      <c r="B917" s="6">
        <v>7157</v>
      </c>
      <c r="C917" s="6" t="s">
        <v>2375</v>
      </c>
      <c r="D917" s="7" t="s">
        <v>2376</v>
      </c>
      <c r="E917" s="6" t="s">
        <v>436</v>
      </c>
      <c r="F917" s="6" t="s">
        <v>8306</v>
      </c>
      <c r="G917" s="8">
        <v>45878</v>
      </c>
      <c r="H917" s="6">
        <v>17.87</v>
      </c>
      <c r="I917" s="6" cm="1">
        <f t="array" ref="I917">IFERROR(VALUE(TRIM(LEFT(E917,MIN(FIND({" ";"g";"k";"m";"o"},E917&amp;" gkmo"))-1))),0)</f>
        <v>90</v>
      </c>
      <c r="J917" s="6" t="str" cm="1">
        <f t="array" ref="J917">IFERROR(TRIM(MID(E917,MIN(FIND({" ";"g";"k";"m";"o"},E917&amp;" gkmo")),10)),"unknown")</f>
        <v>g</v>
      </c>
      <c r="K917" s="6" t="str">
        <f t="shared" si="56"/>
        <v>g</v>
      </c>
      <c r="L917" s="6" t="str">
        <f t="shared" si="57"/>
        <v>Glico, Lumondelez, Mikado</v>
      </c>
      <c r="M917" s="6" t="str">
        <f t="shared" si="58"/>
        <v>Mikado Chocolat Au Lait</v>
      </c>
      <c r="N917" s="6" t="str">
        <f t="shared" si="59"/>
        <v>France, Switzerland, Belgium, Spain</v>
      </c>
    </row>
    <row r="918" spans="1:14" x14ac:dyDescent="0.25">
      <c r="A918" s="6" t="s">
        <v>2377</v>
      </c>
      <c r="B918" s="6">
        <v>11926</v>
      </c>
      <c r="C918" s="6" t="s">
        <v>2378</v>
      </c>
      <c r="D918" s="7" t="s">
        <v>199</v>
      </c>
      <c r="E918" s="6" t="s">
        <v>2045</v>
      </c>
      <c r="F918" s="6" t="s">
        <v>8006</v>
      </c>
      <c r="G918" s="8">
        <v>45874</v>
      </c>
      <c r="H918" s="6">
        <v>20.86</v>
      </c>
      <c r="I918" s="6" cm="1">
        <f t="array" ref="I918">IFERROR(VALUE(TRIM(LEFT(E918,MIN(FIND({" ";"g";"k";"m";"o"},E918&amp;" gkmo"))-1))),0)</f>
        <v>175</v>
      </c>
      <c r="J918" s="6" t="str" cm="1">
        <f t="array" ref="J918">IFERROR(TRIM(MID(E918,MIN(FIND({" ";"g";"k";"m";"o"},E918&amp;" gkmo")),10)),"unknown")</f>
        <v>g</v>
      </c>
      <c r="K918" s="6" t="str">
        <f t="shared" si="56"/>
        <v>g</v>
      </c>
      <c r="L918" s="6" t="str">
        <f t="shared" si="57"/>
        <v>Bn</v>
      </c>
      <c r="M918" s="6" t="str">
        <f t="shared" si="58"/>
        <v>Bn - Cookies - Mini Strawberry X 5, 175G (6.2Oz)</v>
      </c>
      <c r="N918" s="6" t="str">
        <f t="shared" si="59"/>
        <v>Belgium, France, Switzerland, Morocco</v>
      </c>
    </row>
    <row r="919" spans="1:14" x14ac:dyDescent="0.25">
      <c r="A919" s="6" t="s">
        <v>2379</v>
      </c>
      <c r="B919" s="6">
        <v>7955</v>
      </c>
      <c r="C919" s="6" t="s">
        <v>7169</v>
      </c>
      <c r="D919" s="7" t="s">
        <v>72</v>
      </c>
      <c r="E919" s="6" t="s">
        <v>14</v>
      </c>
      <c r="F919" s="6" t="s">
        <v>7919</v>
      </c>
      <c r="G919" s="8">
        <v>45714</v>
      </c>
      <c r="H919" s="6">
        <v>1.53</v>
      </c>
      <c r="I919" s="6" cm="1">
        <f t="array" ref="I919">IFERROR(VALUE(TRIM(LEFT(E919,MIN(FIND({" ";"g";"k";"m";"o"},E919&amp;" gkmo"))-1))),0)</f>
        <v>300</v>
      </c>
      <c r="J919" s="6" t="str" cm="1">
        <f t="array" ref="J919">IFERROR(TRIM(MID(E919,MIN(FIND({" ";"g";"k";"m";"o"},E919&amp;" gkmo")),10)),"unknown")</f>
        <v>g</v>
      </c>
      <c r="K919" s="6" t="str">
        <f t="shared" si="56"/>
        <v>g</v>
      </c>
      <c r="L919" s="6" t="str">
        <f t="shared" si="57"/>
        <v>Bjorg</v>
      </c>
      <c r="M919" s="6" t="str">
        <f t="shared" si="58"/>
        <v>Pain D'Épices Miel</v>
      </c>
      <c r="N919" s="6" t="str">
        <f t="shared" si="59"/>
        <v>France, Morocco</v>
      </c>
    </row>
    <row r="920" spans="1:14" x14ac:dyDescent="0.25">
      <c r="A920" s="6" t="s">
        <v>2380</v>
      </c>
      <c r="B920" s="6">
        <v>5932</v>
      </c>
      <c r="C920" s="6" t="s">
        <v>2381</v>
      </c>
      <c r="D920" s="7" t="s">
        <v>854</v>
      </c>
      <c r="E920" s="6" t="s">
        <v>2152</v>
      </c>
      <c r="F920" s="6" t="s">
        <v>2382</v>
      </c>
      <c r="G920" s="8">
        <v>45808</v>
      </c>
      <c r="H920" s="6">
        <v>13.16</v>
      </c>
      <c r="I920" s="6" cm="1">
        <f t="array" ref="I920">IFERROR(VALUE(TRIM(LEFT(E920,MIN(FIND({" ";"g";"k";"m";"o"},E920&amp;" gkmo"))-1))),0)</f>
        <v>167</v>
      </c>
      <c r="J920" s="6" t="str" cm="1">
        <f t="array" ref="J920">IFERROR(TRIM(MID(E920,MIN(FIND({" ";"g";"k";"m";"o"},E920&amp;" gkmo")),10)),"unknown")</f>
        <v>g</v>
      </c>
      <c r="K920" s="6" t="str">
        <f t="shared" si="56"/>
        <v>g</v>
      </c>
      <c r="L920" s="6" t="str">
        <f t="shared" si="57"/>
        <v>Carrefour</v>
      </c>
      <c r="M920" s="6" t="str">
        <f t="shared" si="58"/>
        <v>Galleta De Mantequilla</v>
      </c>
      <c r="N920" s="6" t="str">
        <f t="shared" si="59"/>
        <v>Belgium,France,Italy,Martinique,Morocco,Poland,Romania,Spain,Kenya</v>
      </c>
    </row>
    <row r="921" spans="1:14" x14ac:dyDescent="0.25">
      <c r="A921" s="6" t="s">
        <v>2383</v>
      </c>
      <c r="B921" s="6">
        <v>7037</v>
      </c>
      <c r="C921" s="6" t="s">
        <v>7170</v>
      </c>
      <c r="D921" s="7" t="s">
        <v>555</v>
      </c>
      <c r="E921" s="6" t="s">
        <v>10</v>
      </c>
      <c r="F921" s="6" t="s">
        <v>139</v>
      </c>
      <c r="G921" s="8">
        <v>45375</v>
      </c>
      <c r="H921" s="6">
        <v>2.11</v>
      </c>
      <c r="I921" s="6" cm="1">
        <f t="array" ref="I921">IFERROR(VALUE(TRIM(LEFT(E921,MIN(FIND({" ";"g";"k";"m";"o"},E921&amp;" gkmo"))-1))),0)</f>
        <v>100</v>
      </c>
      <c r="J921" s="6" t="str" cm="1">
        <f t="array" ref="J921">IFERROR(TRIM(MID(E921,MIN(FIND({" ";"g";"k";"m";"o"},E921&amp;" gkmo")),10)),"unknown")</f>
        <v>g</v>
      </c>
      <c r="K921" s="6" t="str">
        <f t="shared" si="56"/>
        <v>g</v>
      </c>
      <c r="L921" s="6" t="str">
        <f t="shared" si="57"/>
        <v>Alter Eco</v>
      </c>
      <c r="M921" s="6" t="str">
        <f t="shared" si="58"/>
        <v>Chocolat Noir Aux Écorces D'Orange</v>
      </c>
      <c r="N921" s="6" t="str">
        <f t="shared" si="59"/>
        <v>France</v>
      </c>
    </row>
    <row r="922" spans="1:14" x14ac:dyDescent="0.25">
      <c r="A922" s="6" t="s">
        <v>2384</v>
      </c>
      <c r="B922" s="6">
        <v>14930</v>
      </c>
      <c r="C922" s="6" t="s">
        <v>2385</v>
      </c>
      <c r="D922" s="7" t="s">
        <v>1434</v>
      </c>
      <c r="E922" s="6" t="s">
        <v>676</v>
      </c>
      <c r="F922" s="6" t="s">
        <v>400</v>
      </c>
      <c r="G922" s="8">
        <v>45429</v>
      </c>
      <c r="H922" s="6">
        <v>1.03</v>
      </c>
      <c r="I922" s="6" cm="1">
        <f t="array" ref="I922">IFERROR(VALUE(TRIM(LEFT(E922,MIN(FIND({" ";"g";"k";"m";"o"},E922&amp;" gkmo"))-1))),0)</f>
        <v>180</v>
      </c>
      <c r="J922" s="6" t="str" cm="1">
        <f t="array" ref="J922">IFERROR(TRIM(MID(E922,MIN(FIND({" ";"g";"k";"m";"o"},E922&amp;" gkmo")),10)),"unknown")</f>
        <v>g</v>
      </c>
      <c r="K922" s="6" t="str">
        <f t="shared" si="56"/>
        <v>g</v>
      </c>
      <c r="L922" s="6" t="str">
        <f t="shared" si="57"/>
        <v>Doritos</v>
      </c>
      <c r="M922" s="6" t="str">
        <f t="shared" si="58"/>
        <v>Doritos Cool Original 180G</v>
      </c>
      <c r="N922" s="6" t="str">
        <f t="shared" si="59"/>
        <v>France,United Kingdom</v>
      </c>
    </row>
    <row r="923" spans="1:14" x14ac:dyDescent="0.25">
      <c r="A923" s="6" t="s">
        <v>2386</v>
      </c>
      <c r="B923" s="6">
        <v>5432</v>
      </c>
      <c r="C923" s="6" t="s">
        <v>2387</v>
      </c>
      <c r="D923" s="7" t="s">
        <v>7171</v>
      </c>
      <c r="E923" s="6" t="s">
        <v>2388</v>
      </c>
      <c r="F923" s="6" t="s">
        <v>8258</v>
      </c>
      <c r="G923" s="8">
        <v>45393</v>
      </c>
      <c r="H923" s="6">
        <v>14.48</v>
      </c>
      <c r="I923" s="6" cm="1">
        <f t="array" ref="I923">IFERROR(VALUE(TRIM(LEFT(E923,MIN(FIND({" ";"g";"k";"m";"o"},E923&amp;" gkmo"))-1))),0)</f>
        <v>410</v>
      </c>
      <c r="J923" s="6" t="str" cm="1">
        <f t="array" ref="J923">IFERROR(TRIM(MID(E923,MIN(FIND({" ";"g";"k";"m";"o"},E923&amp;" gkmo")),10)),"unknown")</f>
        <v>g</v>
      </c>
      <c r="K923" s="6" t="str">
        <f t="shared" si="56"/>
        <v>g</v>
      </c>
      <c r="L923" s="6" t="str">
        <f t="shared" si="57"/>
        <v>Nestlé Dessert, Tablettes</v>
      </c>
      <c r="M923" s="6" t="str">
        <f t="shared" si="58"/>
        <v>Chocolat Nestle Dessert Noir 2X205G</v>
      </c>
      <c r="N923" s="6" t="str">
        <f t="shared" si="59"/>
        <v>Canada,France,Germany</v>
      </c>
    </row>
    <row r="924" spans="1:14" x14ac:dyDescent="0.25">
      <c r="A924" s="6" t="s">
        <v>2389</v>
      </c>
      <c r="B924" s="6">
        <v>12464</v>
      </c>
      <c r="C924" s="6" t="s">
        <v>2390</v>
      </c>
      <c r="D924" s="7" t="s">
        <v>433</v>
      </c>
      <c r="E924" s="6" t="s">
        <v>297</v>
      </c>
      <c r="F924" s="6" t="s">
        <v>8007</v>
      </c>
      <c r="G924" s="8">
        <v>45887</v>
      </c>
      <c r="H924" s="6">
        <v>13.16</v>
      </c>
      <c r="I924" s="6" cm="1">
        <f t="array" ref="I924">IFERROR(VALUE(TRIM(LEFT(E924,MIN(FIND({" ";"g";"k";"m";"o"},E924&amp;" gkmo"))-1))),0)</f>
        <v>360</v>
      </c>
      <c r="J924" s="6" t="str" cm="1">
        <f t="array" ref="J924">IFERROR(TRIM(MID(E924,MIN(FIND({" ";"g";"k";"m";"o"},E924&amp;" gkmo")),10)),"unknown")</f>
        <v>g</v>
      </c>
      <c r="K924" s="6" t="str">
        <f t="shared" si="56"/>
        <v>g</v>
      </c>
      <c r="L924" s="6" t="str">
        <f t="shared" si="57"/>
        <v>Toblerone</v>
      </c>
      <c r="M924" s="6" t="str">
        <f t="shared" si="58"/>
        <v>Milk Chocolate Large Bar</v>
      </c>
      <c r="N924" s="6" t="str">
        <f t="shared" si="59"/>
        <v>France, United States, United-Kingdom</v>
      </c>
    </row>
    <row r="925" spans="1:14" x14ac:dyDescent="0.25">
      <c r="A925" s="6" t="s">
        <v>2391</v>
      </c>
      <c r="B925" s="6">
        <v>11371</v>
      </c>
      <c r="C925" s="6" t="s">
        <v>2392</v>
      </c>
      <c r="D925" s="7" t="s">
        <v>2050</v>
      </c>
      <c r="E925" s="6" t="s">
        <v>10</v>
      </c>
      <c r="F925" s="6" t="s">
        <v>8320</v>
      </c>
      <c r="G925" s="8">
        <v>45479</v>
      </c>
      <c r="H925" s="6">
        <v>11.91</v>
      </c>
      <c r="I925" s="6" cm="1">
        <f t="array" ref="I925">IFERROR(VALUE(TRIM(LEFT(E925,MIN(FIND({" ";"g";"k";"m";"o"},E925&amp;" gkmo"))-1))),0)</f>
        <v>100</v>
      </c>
      <c r="J925" s="6" t="str" cm="1">
        <f t="array" ref="J925">IFERROR(TRIM(MID(E925,MIN(FIND({" ";"g";"k";"m";"o"},E925&amp;" gkmo")),10)),"unknown")</f>
        <v>g</v>
      </c>
      <c r="K925" s="6" t="str">
        <f t="shared" si="56"/>
        <v>g</v>
      </c>
      <c r="L925" s="6" t="str">
        <f t="shared" si="57"/>
        <v>Milka,Mondelez</v>
      </c>
      <c r="M925" s="6" t="str">
        <f t="shared" si="58"/>
        <v>Caramelo</v>
      </c>
      <c r="N925" s="6" t="str">
        <f t="shared" si="59"/>
        <v>Belgium,France,Italia,Marruecos,Paà­Ses Bajos,Portugal,Espaà±A</v>
      </c>
    </row>
    <row r="926" spans="1:14" x14ac:dyDescent="0.25">
      <c r="A926" s="6" t="s">
        <v>2393</v>
      </c>
      <c r="B926" s="6">
        <v>8263</v>
      </c>
      <c r="C926" s="6" t="s">
        <v>2394</v>
      </c>
      <c r="D926" s="7" t="s">
        <v>2395</v>
      </c>
      <c r="E926" s="6" t="s">
        <v>2396</v>
      </c>
      <c r="F926" s="6" t="s">
        <v>601</v>
      </c>
      <c r="G926" s="8">
        <v>45876</v>
      </c>
      <c r="H926" s="6">
        <v>1.68</v>
      </c>
      <c r="I926" s="6" cm="1">
        <f t="array" ref="I926">IFERROR(VALUE(TRIM(LEFT(E926,MIN(FIND({" ";"g";"k";"m";"o"},E926&amp;" gkmo"))-1))),0)</f>
        <v>200</v>
      </c>
      <c r="J926" s="6" t="str" cm="1">
        <f t="array" ref="J926">IFERROR(TRIM(MID(E926,MIN(FIND({" ";"g";"k";"m";"o"},E926&amp;" gkmo")),10)),"unknown")</f>
        <v>g (16 bar</v>
      </c>
      <c r="K926" s="6" t="str">
        <f t="shared" si="56"/>
        <v>g</v>
      </c>
      <c r="L926" s="6" t="str">
        <f t="shared" si="57"/>
        <v>Kinder, Mixte</v>
      </c>
      <c r="M926" s="6" t="str">
        <f t="shared" si="58"/>
        <v>Tablette Kinder Chocolat Chocolat Au Lait X16 -200G</v>
      </c>
      <c r="N926" s="6" t="str">
        <f t="shared" si="59"/>
        <v>France,Spain</v>
      </c>
    </row>
    <row r="927" spans="1:14" x14ac:dyDescent="0.25">
      <c r="A927" s="6" t="s">
        <v>2397</v>
      </c>
      <c r="B927" s="6">
        <v>6449</v>
      </c>
      <c r="C927" s="6" t="s">
        <v>7674</v>
      </c>
      <c r="D927" s="7" t="s">
        <v>2398</v>
      </c>
      <c r="E927" s="6" t="s">
        <v>2399</v>
      </c>
      <c r="F927" s="6" t="s">
        <v>8008</v>
      </c>
      <c r="G927" s="8">
        <v>45938</v>
      </c>
      <c r="H927" s="6">
        <v>3.51</v>
      </c>
      <c r="I927" s="6" cm="1">
        <f t="array" ref="I927">IFERROR(VALUE(TRIM(LEFT(E927,MIN(FIND({" ";"g";"k";"m";"o"},E927&amp;" gkmo"))-1))),0)</f>
        <v>330</v>
      </c>
      <c r="J927" s="6" t="str" cm="1">
        <f t="array" ref="J927">IFERROR(TRIM(MID(E927,MIN(FIND({" ";"g";"k";"m";"o"},E927&amp;" gkmo")),10)),"unknown")</f>
        <v>g (6 x 55</v>
      </c>
      <c r="K927" s="6" t="str">
        <f t="shared" si="56"/>
        <v>g</v>
      </c>
      <c r="L927" s="6" t="str">
        <f t="shared" si="57"/>
        <v>Galbusera</v>
      </c>
      <c r="M927" s="6" t="str">
        <f t="shared" si="58"/>
        <v>Pià¹ Integrali</v>
      </c>
      <c r="N927" s="6" t="str">
        <f t="shared" si="59"/>
        <v>Italy, France</v>
      </c>
    </row>
    <row r="928" spans="1:14" x14ac:dyDescent="0.25">
      <c r="A928" s="6" t="s">
        <v>2400</v>
      </c>
      <c r="B928" s="6">
        <v>12965</v>
      </c>
      <c r="C928" s="6" t="s">
        <v>2401</v>
      </c>
      <c r="D928" s="7" t="s">
        <v>7017</v>
      </c>
      <c r="E928" s="6" t="s">
        <v>495</v>
      </c>
      <c r="F928" s="6" t="s">
        <v>7926</v>
      </c>
      <c r="G928" s="8">
        <v>45603</v>
      </c>
      <c r="H928" s="6">
        <v>8.3699999999999992</v>
      </c>
      <c r="I928" s="6" cm="1">
        <f t="array" ref="I928">IFERROR(VALUE(TRIM(LEFT(E928,MIN(FIND({" ";"g";"k";"m";"o"},E928&amp;" gkmo"))-1))),0)</f>
        <v>35</v>
      </c>
      <c r="J928" s="6" t="str" cm="1">
        <f t="array" ref="J928">IFERROR(TRIM(MID(E928,MIN(FIND({" ";"g";"k";"m";"o"},E928&amp;" gkmo")),10)),"unknown")</f>
        <v>g</v>
      </c>
      <c r="K928" s="6" t="str">
        <f t="shared" si="56"/>
        <v>g</v>
      </c>
      <c r="L928" s="6" t="str">
        <f t="shared" si="57"/>
        <v>Unknown</v>
      </c>
      <c r="M928" s="6" t="str">
        <f t="shared" si="58"/>
        <v>Raw Fruit &amp; Nut Bar</v>
      </c>
      <c r="N928" s="6" t="str">
        <f t="shared" si="59"/>
        <v>France, United-Kingdom</v>
      </c>
    </row>
    <row r="929" spans="1:14" x14ac:dyDescent="0.25">
      <c r="A929" s="6" t="s">
        <v>2402</v>
      </c>
      <c r="B929" s="6">
        <v>12563</v>
      </c>
      <c r="C929" s="6" t="s">
        <v>2403</v>
      </c>
      <c r="D929" s="7" t="s">
        <v>7172</v>
      </c>
      <c r="E929" s="6" t="s">
        <v>228</v>
      </c>
      <c r="F929" s="6" t="s">
        <v>139</v>
      </c>
      <c r="G929" s="8">
        <v>45624</v>
      </c>
      <c r="H929" s="6">
        <v>24.52</v>
      </c>
      <c r="I929" s="6" cm="1">
        <f t="array" ref="I929">IFERROR(VALUE(TRIM(LEFT(E929,MIN(FIND({" ";"g";"k";"m";"o"},E929&amp;" gkmo"))-1))),0)</f>
        <v>350</v>
      </c>
      <c r="J929" s="6" t="str" cm="1">
        <f t="array" ref="J929">IFERROR(TRIM(MID(E929,MIN(FIND({" ";"g";"k";"m";"o"},E929&amp;" gkmo")),10)),"unknown")</f>
        <v>g</v>
      </c>
      <c r="K929" s="6" t="str">
        <f t="shared" si="56"/>
        <v>g</v>
      </c>
      <c r="L929" s="6" t="str">
        <f t="shared" si="57"/>
        <v>La Fournée Dorée</v>
      </c>
      <c r="M929" s="6" t="str">
        <f t="shared" si="58"/>
        <v>Pancakes</v>
      </c>
      <c r="N929" s="6" t="str">
        <f t="shared" si="59"/>
        <v>France</v>
      </c>
    </row>
    <row r="930" spans="1:14" x14ac:dyDescent="0.25">
      <c r="A930" s="6" t="s">
        <v>2404</v>
      </c>
      <c r="B930" s="6">
        <v>5742</v>
      </c>
      <c r="C930" s="6" t="s">
        <v>2405</v>
      </c>
      <c r="D930" s="7" t="s">
        <v>7017</v>
      </c>
      <c r="E930" s="6" t="s">
        <v>2406</v>
      </c>
      <c r="F930" s="6" t="s">
        <v>5759</v>
      </c>
      <c r="G930" s="8">
        <v>45747</v>
      </c>
      <c r="H930" s="6">
        <v>8.2899999999999991</v>
      </c>
      <c r="I930" s="6" cm="1">
        <f t="array" ref="I930">IFERROR(VALUE(TRIM(LEFT(E930,MIN(FIND({" ";"g";"k";"m";"o"},E930&amp;" gkmo"))-1))),0)</f>
        <v>8</v>
      </c>
      <c r="J930" s="6" t="str" cm="1">
        <f t="array" ref="J930">IFERROR(TRIM(MID(E930,MIN(FIND({" ";"g";"k";"m";"o"},E930&amp;" gkmo")),10)),"unknown")</f>
        <v>x 37,5g</v>
      </c>
      <c r="K930" s="6" t="str">
        <f t="shared" si="56"/>
        <v>g</v>
      </c>
      <c r="L930" s="6" t="str">
        <f t="shared" si="57"/>
        <v>Unknown</v>
      </c>
      <c r="M930" s="6" t="str">
        <f t="shared" si="58"/>
        <v>Brioche Chocolat</v>
      </c>
      <c r="N930" s="6" t="str">
        <f t="shared" si="59"/>
        <v>Fr</v>
      </c>
    </row>
    <row r="931" spans="1:14" x14ac:dyDescent="0.25">
      <c r="A931" s="6" t="s">
        <v>2407</v>
      </c>
      <c r="B931" s="6">
        <v>8575</v>
      </c>
      <c r="C931" s="6" t="s">
        <v>2408</v>
      </c>
      <c r="D931" s="7" t="s">
        <v>7033</v>
      </c>
      <c r="E931" s="6" t="s">
        <v>2409</v>
      </c>
      <c r="F931" s="6" t="s">
        <v>8009</v>
      </c>
      <c r="G931" s="8">
        <v>45519</v>
      </c>
      <c r="H931" s="6">
        <v>7.05</v>
      </c>
      <c r="I931" s="6" cm="1">
        <f t="array" ref="I931">IFERROR(VALUE(TRIM(LEFT(E931,MIN(FIND({" ";"g";"k";"m";"o"},E931&amp;" gkmo"))-1))),0)</f>
        <v>600</v>
      </c>
      <c r="J931" s="6" t="str" cm="1">
        <f t="array" ref="J931">IFERROR(TRIM(MID(E931,MIN(FIND({" ";"g";"k";"m";"o"},E931&amp;" gkmo")),10)),"unknown")</f>
        <v>gm</v>
      </c>
      <c r="K931" s="6" t="str">
        <f t="shared" si="56"/>
        <v>g</v>
      </c>
      <c r="L931" s="6" t="str">
        <f t="shared" si="57"/>
        <v>Nestlé</v>
      </c>
      <c r="M931" s="6" t="str">
        <f t="shared" si="58"/>
        <v>Quality Street</v>
      </c>
      <c r="N931" s="6" t="str">
        <f t="shared" si="59"/>
        <v>Belgium, France, United Kingdom, Morocco</v>
      </c>
    </row>
    <row r="932" spans="1:14" x14ac:dyDescent="0.25">
      <c r="A932" s="6" t="s">
        <v>2410</v>
      </c>
      <c r="B932" s="6">
        <v>6801</v>
      </c>
      <c r="C932" s="6" t="s">
        <v>2411</v>
      </c>
      <c r="D932" s="7" t="s">
        <v>1307</v>
      </c>
      <c r="E932" s="6" t="s">
        <v>809</v>
      </c>
      <c r="F932" s="6" t="s">
        <v>2973</v>
      </c>
      <c r="G932" s="8">
        <v>45836</v>
      </c>
      <c r="H932" s="6">
        <v>3.02</v>
      </c>
      <c r="I932" s="6" cm="1">
        <f t="array" ref="I932">IFERROR(VALUE(TRIM(LEFT(E932,MIN(FIND({" ";"g";"k";"m";"o"},E932&amp;" gkmo"))-1))),0)</f>
        <v>4</v>
      </c>
      <c r="J932" s="6" t="str" cm="1">
        <f t="array" ref="J932">IFERROR(TRIM(MID(E932,MIN(FIND({" ";"g";"k";"m";"o"},E932&amp;" gkmo")),10)),"unknown")</f>
        <v>x 30g</v>
      </c>
      <c r="K932" s="6" t="str">
        <f t="shared" si="56"/>
        <v>g</v>
      </c>
      <c r="L932" s="6" t="str">
        <f t="shared" si="57"/>
        <v>Graze</v>
      </c>
      <c r="M932" s="6" t="str">
        <f t="shared" si="58"/>
        <v>Peanut Butter Bars</v>
      </c>
      <c r="N932" s="6" t="str">
        <f t="shared" si="59"/>
        <v>Gb</v>
      </c>
    </row>
    <row r="933" spans="1:14" x14ac:dyDescent="0.25">
      <c r="A933" s="6" t="s">
        <v>2412</v>
      </c>
      <c r="B933" s="6">
        <v>10117</v>
      </c>
      <c r="C933" s="6" t="s">
        <v>2413</v>
      </c>
      <c r="D933" s="7" t="s">
        <v>1703</v>
      </c>
      <c r="E933" s="6" t="s">
        <v>1312</v>
      </c>
      <c r="F933" s="6" t="s">
        <v>139</v>
      </c>
      <c r="G933" s="8">
        <v>45671</v>
      </c>
      <c r="H933" s="6">
        <v>13.19</v>
      </c>
      <c r="I933" s="6" cm="1">
        <f t="array" ref="I933">IFERROR(VALUE(TRIM(LEFT(E933,MIN(FIND({" ";"g";"k";"m";"o"},E933&amp;" gkmo"))-1))),0)</f>
        <v>50</v>
      </c>
      <c r="J933" s="6" t="str" cm="1">
        <f t="array" ref="J933">IFERROR(TRIM(MID(E933,MIN(FIND({" ";"g";"k";"m";"o"},E933&amp;" gkmo")),10)),"unknown")</f>
        <v>g</v>
      </c>
      <c r="K933" s="6" t="str">
        <f t="shared" si="56"/>
        <v>g</v>
      </c>
      <c r="L933" s="6" t="str">
        <f t="shared" si="57"/>
        <v>Ricola</v>
      </c>
      <c r="M933" s="6" t="str">
        <f t="shared" si="58"/>
        <v>50G Ricola Framboise Melisse</v>
      </c>
      <c r="N933" s="6" t="str">
        <f t="shared" si="59"/>
        <v>France</v>
      </c>
    </row>
    <row r="934" spans="1:14" x14ac:dyDescent="0.25">
      <c r="A934" s="6" t="s">
        <v>2414</v>
      </c>
      <c r="B934" s="6">
        <v>11492</v>
      </c>
      <c r="C934" s="6" t="s">
        <v>2415</v>
      </c>
      <c r="D934" s="7" t="s">
        <v>1273</v>
      </c>
      <c r="E934" s="6"/>
      <c r="F934" s="6" t="s">
        <v>177</v>
      </c>
      <c r="G934" s="8">
        <v>45702</v>
      </c>
      <c r="H934" s="6">
        <v>24.12</v>
      </c>
      <c r="I934" s="6" cm="1">
        <f t="array" ref="I934">IFERROR(VALUE(TRIM(LEFT(E934,MIN(FIND({" ";"g";"k";"m";"o"},E934&amp;" gkmo"))-1))),0)</f>
        <v>0</v>
      </c>
      <c r="J934" s="6" t="str" cm="1">
        <f t="array" ref="J934">IFERROR(TRIM(MID(E934,MIN(FIND({" ";"g";"k";"m";"o"},E934&amp;" gkmo")),10)),"unknown")</f>
        <v/>
      </c>
      <c r="K934" s="6" t="str">
        <f t="shared" si="56"/>
        <v>unknown</v>
      </c>
      <c r="L934" s="6" t="str">
        <f t="shared" si="57"/>
        <v>Eat Real</v>
      </c>
      <c r="M934" s="6" t="str">
        <f t="shared" si="58"/>
        <v>Veggie Straws</v>
      </c>
      <c r="N934" s="6" t="str">
        <f t="shared" si="59"/>
        <v>United Kingdom</v>
      </c>
    </row>
    <row r="935" spans="1:14" x14ac:dyDescent="0.25">
      <c r="A935" s="6" t="s">
        <v>2416</v>
      </c>
      <c r="B935" s="6">
        <v>10649</v>
      </c>
      <c r="C935" s="6" t="s">
        <v>7173</v>
      </c>
      <c r="D935" s="7" t="s">
        <v>7017</v>
      </c>
      <c r="E935" s="6" t="s">
        <v>2417</v>
      </c>
      <c r="F935" s="6" t="s">
        <v>1181</v>
      </c>
      <c r="G935" s="8">
        <v>45443</v>
      </c>
      <c r="H935" s="6">
        <v>12.85</v>
      </c>
      <c r="I935" s="6" cm="1">
        <f t="array" ref="I935">IFERROR(VALUE(TRIM(LEFT(E935,MIN(FIND({" ";"g";"k";"m";"o"},E935&amp;" gkmo"))-1))),0)</f>
        <v>250</v>
      </c>
      <c r="J935" s="6" t="str" cm="1">
        <f t="array" ref="J935">IFERROR(TRIM(MID(E935,MIN(FIND({" ";"g";"k";"m";"o"},E935&amp;" gkmo")),10)),"unknown")</f>
        <v>g e</v>
      </c>
      <c r="K935" s="6" t="str">
        <f t="shared" si="56"/>
        <v>g</v>
      </c>
      <c r="L935" s="6" t="str">
        <f t="shared" si="57"/>
        <v>Unknown</v>
      </c>
      <c r="M935" s="6" t="str">
        <f t="shared" si="58"/>
        <v>Sablé Des Flandres</v>
      </c>
      <c r="N935" s="6" t="str">
        <f t="shared" si="59"/>
        <v>France,Switzerland</v>
      </c>
    </row>
    <row r="936" spans="1:14" x14ac:dyDescent="0.25">
      <c r="A936" s="6" t="s">
        <v>2418</v>
      </c>
      <c r="B936" s="6">
        <v>9986</v>
      </c>
      <c r="C936" s="6" t="s">
        <v>2419</v>
      </c>
      <c r="D936" s="7" t="s">
        <v>2420</v>
      </c>
      <c r="E936" s="6" t="s">
        <v>73</v>
      </c>
      <c r="F936" s="6" t="s">
        <v>139</v>
      </c>
      <c r="G936" s="8">
        <v>45441</v>
      </c>
      <c r="H936" s="6">
        <v>17.55</v>
      </c>
      <c r="I936" s="6" cm="1">
        <f t="array" ref="I936">IFERROR(VALUE(TRIM(LEFT(E936,MIN(FIND({" ";"g";"k";"m";"o"},E936&amp;" gkmo"))-1))),0)</f>
        <v>225</v>
      </c>
      <c r="J936" s="6" t="str" cm="1">
        <f t="array" ref="J936">IFERROR(TRIM(MID(E936,MIN(FIND({" ";"g";"k";"m";"o"},E936&amp;" gkmo")),10)),"unknown")</f>
        <v>g</v>
      </c>
      <c r="K936" s="6" t="str">
        <f t="shared" si="56"/>
        <v>g</v>
      </c>
      <c r="L936" s="6" t="str">
        <f t="shared" si="57"/>
        <v>Kango, Lu</v>
      </c>
      <c r="M936" s="6" t="str">
        <f t="shared" si="58"/>
        <v>Kango</v>
      </c>
      <c r="N936" s="6" t="str">
        <f t="shared" si="59"/>
        <v>France</v>
      </c>
    </row>
    <row r="937" spans="1:14" x14ac:dyDescent="0.25">
      <c r="A937" s="6" t="s">
        <v>2421</v>
      </c>
      <c r="B937" s="6">
        <v>8506</v>
      </c>
      <c r="C937" s="6" t="s">
        <v>7174</v>
      </c>
      <c r="D937" s="7" t="s">
        <v>2422</v>
      </c>
      <c r="E937" s="6" t="s">
        <v>1293</v>
      </c>
      <c r="F937" s="6" t="s">
        <v>139</v>
      </c>
      <c r="G937" s="8">
        <v>45894</v>
      </c>
      <c r="H937" s="6">
        <v>22.48</v>
      </c>
      <c r="I937" s="6" cm="1">
        <f t="array" ref="I937">IFERROR(VALUE(TRIM(LEFT(E937,MIN(FIND({" ";"g";"k";"m";"o"},E937&amp;" gkmo"))-1))),0)</f>
        <v>600</v>
      </c>
      <c r="J937" s="6" t="str" cm="1">
        <f t="array" ref="J937">IFERROR(TRIM(MID(E937,MIN(FIND({" ";"g";"k";"m";"o"},E937&amp;" gkmo")),10)),"unknown")</f>
        <v>g e</v>
      </c>
      <c r="K937" s="6" t="str">
        <f t="shared" si="56"/>
        <v>g</v>
      </c>
      <c r="L937" s="6" t="str">
        <f t="shared" si="57"/>
        <v>Belvita, Lu, Mondelez</v>
      </c>
      <c r="M937" s="6" t="str">
        <f t="shared" si="58"/>
        <v>Belvita Petit Déjeuner</v>
      </c>
      <c r="N937" s="6" t="str">
        <f t="shared" si="59"/>
        <v>France</v>
      </c>
    </row>
    <row r="938" spans="1:14" x14ac:dyDescent="0.25">
      <c r="A938" s="6" t="s">
        <v>2423</v>
      </c>
      <c r="B938" s="6">
        <v>8365</v>
      </c>
      <c r="C938" s="6" t="s">
        <v>2424</v>
      </c>
      <c r="D938" s="7" t="s">
        <v>2425</v>
      </c>
      <c r="E938" s="6" t="s">
        <v>10</v>
      </c>
      <c r="F938" s="6" t="s">
        <v>8233</v>
      </c>
      <c r="G938" s="8">
        <v>45427</v>
      </c>
      <c r="H938" s="6">
        <v>13.16</v>
      </c>
      <c r="I938" s="6" cm="1">
        <f t="array" ref="I938">IFERROR(VALUE(TRIM(LEFT(E938,MIN(FIND({" ";"g";"k";"m";"o"},E938&amp;" gkmo"))-1))),0)</f>
        <v>100</v>
      </c>
      <c r="J938" s="6" t="str" cm="1">
        <f t="array" ref="J938">IFERROR(TRIM(MID(E938,MIN(FIND({" ";"g";"k";"m";"o"},E938&amp;" gkmo")),10)),"unknown")</f>
        <v>g</v>
      </c>
      <c r="K938" s="6" t="str">
        <f t="shared" si="56"/>
        <v>g</v>
      </c>
      <c r="L938" s="6" t="str">
        <f t="shared" si="57"/>
        <v>Milka,Oreo,Mondelez</v>
      </c>
      <c r="M938" s="6" t="str">
        <f t="shared" si="58"/>
        <v>Chocolate Con Leche Oreo</v>
      </c>
      <c r="N938" s="6" t="str">
        <f t="shared" si="59"/>
        <v>France,Italia,Marruecos,Portugal,Espaà±A</v>
      </c>
    </row>
    <row r="939" spans="1:14" x14ac:dyDescent="0.25">
      <c r="A939" s="6" t="s">
        <v>2426</v>
      </c>
      <c r="B939" s="6">
        <v>5945</v>
      </c>
      <c r="C939" s="6" t="s">
        <v>2427</v>
      </c>
      <c r="D939" s="7" t="s">
        <v>1172</v>
      </c>
      <c r="E939" s="6"/>
      <c r="F939" s="6" t="s">
        <v>8010</v>
      </c>
      <c r="G939" s="8">
        <v>45976</v>
      </c>
      <c r="H939" s="6">
        <v>13.16</v>
      </c>
      <c r="I939" s="6" cm="1">
        <f t="array" ref="I939">IFERROR(VALUE(TRIM(LEFT(E939,MIN(FIND({" ";"g";"k";"m";"o"},E939&amp;" gkmo"))-1))),0)</f>
        <v>0</v>
      </c>
      <c r="J939" s="6" t="str" cm="1">
        <f t="array" ref="J939">IFERROR(TRIM(MID(E939,MIN(FIND({" ";"g";"k";"m";"o"},E939&amp;" gkmo")),10)),"unknown")</f>
        <v/>
      </c>
      <c r="K939" s="6" t="str">
        <f t="shared" si="56"/>
        <v>unknown</v>
      </c>
      <c r="L939" s="6" t="str">
        <f t="shared" si="57"/>
        <v>Barilla, Mulino Bianco</v>
      </c>
      <c r="M939" s="6" t="str">
        <f t="shared" si="58"/>
        <v>Buongrano Integrale</v>
      </c>
      <c r="N939" s="6" t="str">
        <f t="shared" si="59"/>
        <v>France,Italy,Switzerland,Switzerland</v>
      </c>
    </row>
    <row r="940" spans="1:14" x14ac:dyDescent="0.25">
      <c r="A940" s="6" t="s">
        <v>2428</v>
      </c>
      <c r="B940" s="6">
        <v>11126</v>
      </c>
      <c r="C940" s="6" t="s">
        <v>2429</v>
      </c>
      <c r="D940" s="7" t="s">
        <v>2430</v>
      </c>
      <c r="E940" s="6" t="s">
        <v>2431</v>
      </c>
      <c r="F940" s="6" t="s">
        <v>7949</v>
      </c>
      <c r="G940" s="8">
        <v>45447</v>
      </c>
      <c r="H940" s="6">
        <v>20.71</v>
      </c>
      <c r="I940" s="6" cm="1">
        <f t="array" ref="I940">IFERROR(VALUE(TRIM(LEFT(E940,MIN(FIND({" ";"g";"k";"m";"o"},E940&amp;" gkmo"))-1))),0)</f>
        <v>0</v>
      </c>
      <c r="J940" s="6" t="str" cm="1">
        <f t="array" ref="J940">IFERROR(TRIM(MID(E940,MIN(FIND({" ";"g";"k";"m";"o"},E940&amp;" gkmo")),10)),"unknown")</f>
        <v>ok</v>
      </c>
      <c r="K940" s="6" t="str">
        <f t="shared" si="56"/>
        <v>unknown</v>
      </c>
      <c r="L940" s="6" t="str">
        <f t="shared" si="57"/>
        <v>Mejora</v>
      </c>
      <c r="M940" s="6" t="str">
        <f t="shared" si="58"/>
        <v>Mejora</v>
      </c>
      <c r="N940" s="6" t="str">
        <f t="shared" si="59"/>
        <v>Morocco</v>
      </c>
    </row>
    <row r="941" spans="1:14" x14ac:dyDescent="0.25">
      <c r="A941" s="6" t="s">
        <v>2432</v>
      </c>
      <c r="B941" s="6">
        <v>6739</v>
      </c>
      <c r="C941" s="6" t="s">
        <v>7675</v>
      </c>
      <c r="D941" s="7" t="s">
        <v>2433</v>
      </c>
      <c r="E941" s="6"/>
      <c r="F941" s="6" t="s">
        <v>139</v>
      </c>
      <c r="G941" s="8">
        <v>45373</v>
      </c>
      <c r="H941" s="6">
        <v>17.350000000000001</v>
      </c>
      <c r="I941" s="6" cm="1">
        <f t="array" ref="I941">IFERROR(VALUE(TRIM(LEFT(E941,MIN(FIND({" ";"g";"k";"m";"o"},E941&amp;" gkmo"))-1))),0)</f>
        <v>0</v>
      </c>
      <c r="J941" s="6" t="str" cm="1">
        <f t="array" ref="J941">IFERROR(TRIM(MID(E941,MIN(FIND({" ";"g";"k";"m";"o"},E941&amp;" gkmo")),10)),"unknown")</f>
        <v/>
      </c>
      <c r="K941" s="6" t="str">
        <f t="shared" si="56"/>
        <v>unknown</v>
      </c>
      <c r="L941" s="6" t="str">
        <f t="shared" si="57"/>
        <v>Alsa</v>
      </c>
      <c r="M941" s="6" t="str">
        <f t="shared" si="58"/>
        <v>Flan Pà¢Tissier</v>
      </c>
      <c r="N941" s="6" t="str">
        <f t="shared" si="59"/>
        <v>France</v>
      </c>
    </row>
    <row r="942" spans="1:14" x14ac:dyDescent="0.25">
      <c r="A942" s="6" t="s">
        <v>2434</v>
      </c>
      <c r="B942" s="6">
        <v>14940</v>
      </c>
      <c r="C942" s="6" t="s">
        <v>2435</v>
      </c>
      <c r="D942" s="7" t="s">
        <v>2436</v>
      </c>
      <c r="E942" s="6" t="s">
        <v>2437</v>
      </c>
      <c r="F942" s="6" t="s">
        <v>8011</v>
      </c>
      <c r="G942" s="8">
        <v>45329</v>
      </c>
      <c r="H942" s="6">
        <v>17.899999999999999</v>
      </c>
      <c r="I942" s="6" cm="1">
        <f t="array" ref="I942">IFERROR(VALUE(TRIM(LEFT(E942,MIN(FIND({" ";"g";"k";"m";"o"},E942&amp;" gkmo"))-1))),0)</f>
        <v>3</v>
      </c>
      <c r="J942" s="6" t="str" cm="1">
        <f t="array" ref="J942">IFERROR(TRIM(MID(E942,MIN(FIND({" ";"g";"k";"m";"o"},E942&amp;" gkmo")),10)),"unknown")</f>
        <v>x 23 g</v>
      </c>
      <c r="K942" s="6" t="str">
        <f t="shared" si="56"/>
        <v>g</v>
      </c>
      <c r="L942" s="6" t="str">
        <f t="shared" si="57"/>
        <v>Vitalia</v>
      </c>
      <c r="M942" s="6" t="str">
        <f t="shared" si="58"/>
        <v>Granola Bar Vanilla &amp; White Cream</v>
      </c>
      <c r="N942" s="6" t="str">
        <f t="shared" si="59"/>
        <v>Netherlands, France</v>
      </c>
    </row>
    <row r="943" spans="1:14" x14ac:dyDescent="0.25">
      <c r="A943" s="6" t="s">
        <v>2438</v>
      </c>
      <c r="B943" s="6">
        <v>11261</v>
      </c>
      <c r="C943" s="6" t="s">
        <v>7175</v>
      </c>
      <c r="D943" s="7" t="s">
        <v>2439</v>
      </c>
      <c r="E943" s="6" t="s">
        <v>774</v>
      </c>
      <c r="F943" s="6" t="s">
        <v>1181</v>
      </c>
      <c r="G943" s="8">
        <v>45918</v>
      </c>
      <c r="H943" s="6">
        <v>24.7</v>
      </c>
      <c r="I943" s="6" cm="1">
        <f t="array" ref="I943">IFERROR(VALUE(TRIM(LEFT(E943,MIN(FIND({" ";"g";"k";"m";"o"},E943&amp;" gkmo"))-1))),0)</f>
        <v>132</v>
      </c>
      <c r="J943" s="6" t="str" cm="1">
        <f t="array" ref="J943">IFERROR(TRIM(MID(E943,MIN(FIND({" ";"g";"k";"m";"o"},E943&amp;" gkmo")),10)),"unknown")</f>
        <v>g, 3 sach</v>
      </c>
      <c r="K943" s="6" t="str">
        <f t="shared" si="56"/>
        <v>g</v>
      </c>
      <c r="L943" s="6" t="str">
        <f t="shared" si="57"/>
        <v>Cereal Bio</v>
      </c>
      <c r="M943" s="6" t="str">
        <f t="shared" si="58"/>
        <v>Sablés Sésame &amp; Pavot</v>
      </c>
      <c r="N943" s="6" t="str">
        <f t="shared" si="59"/>
        <v>France,Switzerland</v>
      </c>
    </row>
    <row r="944" spans="1:14" x14ac:dyDescent="0.25">
      <c r="A944" s="6" t="s">
        <v>2440</v>
      </c>
      <c r="B944" s="6">
        <v>7355</v>
      </c>
      <c r="C944" s="6" t="s">
        <v>7176</v>
      </c>
      <c r="D944" s="7" t="s">
        <v>7017</v>
      </c>
      <c r="E944" s="6" t="s">
        <v>291</v>
      </c>
      <c r="F944" s="6" t="s">
        <v>8338</v>
      </c>
      <c r="G944" s="8">
        <v>45795</v>
      </c>
      <c r="H944" s="6">
        <v>24.79</v>
      </c>
      <c r="I944" s="6" cm="1">
        <f t="array" ref="I944">IFERROR(VALUE(TRIM(LEFT(E944,MIN(FIND({" ";"g";"k";"m";"o"},E944&amp;" gkmo"))-1))),0)</f>
        <v>140</v>
      </c>
      <c r="J944" s="6" t="str" cm="1">
        <f t="array" ref="J944">IFERROR(TRIM(MID(E944,MIN(FIND({" ";"g";"k";"m";"o"},E944&amp;" gkmo")),10)),"unknown")</f>
        <v>g</v>
      </c>
      <c r="K944" s="6" t="str">
        <f t="shared" si="56"/>
        <v>g</v>
      </c>
      <c r="L944" s="6" t="str">
        <f t="shared" si="57"/>
        <v>Unknown</v>
      </c>
      <c r="M944" s="6" t="str">
        <f t="shared" si="58"/>
        <v>Sablés Myrtilles Germes De Riz</v>
      </c>
      <c r="N944" s="6" t="str">
        <f t="shared" si="59"/>
        <v>France,Switzerland,France</v>
      </c>
    </row>
    <row r="945" spans="1:14" x14ac:dyDescent="0.25">
      <c r="A945" s="6" t="s">
        <v>2441</v>
      </c>
      <c r="B945" s="6">
        <v>8149</v>
      </c>
      <c r="C945" s="6" t="s">
        <v>2442</v>
      </c>
      <c r="D945" s="7" t="s">
        <v>488</v>
      </c>
      <c r="E945" s="6" t="s">
        <v>335</v>
      </c>
      <c r="F945" s="6" t="s">
        <v>139</v>
      </c>
      <c r="G945" s="8">
        <v>45961</v>
      </c>
      <c r="H945" s="6">
        <v>11.43</v>
      </c>
      <c r="I945" s="6" cm="1">
        <f t="array" ref="I945">IFERROR(VALUE(TRIM(LEFT(E945,MIN(FIND({" ";"g";"k";"m";"o"},E945&amp;" gkmo"))-1))),0)</f>
        <v>250</v>
      </c>
      <c r="J945" s="6" t="str" cm="1">
        <f t="array" ref="J945">IFERROR(TRIM(MID(E945,MIN(FIND({" ";"g";"k";"m";"o"},E945&amp;" gkmo")),10)),"unknown")</f>
        <v>g</v>
      </c>
      <c r="K945" s="6" t="str">
        <f t="shared" si="56"/>
        <v>g</v>
      </c>
      <c r="L945" s="6" t="str">
        <f t="shared" si="57"/>
        <v>Bonne Maman</v>
      </c>
      <c r="M945" s="6" t="str">
        <f t="shared" si="58"/>
        <v>Financiers Amandes</v>
      </c>
      <c r="N945" s="6" t="str">
        <f t="shared" si="59"/>
        <v>France</v>
      </c>
    </row>
    <row r="946" spans="1:14" x14ac:dyDescent="0.25">
      <c r="A946" s="6" t="s">
        <v>2443</v>
      </c>
      <c r="B946" s="6">
        <v>12111</v>
      </c>
      <c r="C946" s="6" t="s">
        <v>2444</v>
      </c>
      <c r="D946" s="7" t="s">
        <v>854</v>
      </c>
      <c r="E946" s="6" t="s">
        <v>151</v>
      </c>
      <c r="F946" s="6" t="s">
        <v>8281</v>
      </c>
      <c r="G946" s="8">
        <v>45630</v>
      </c>
      <c r="H946" s="6">
        <v>1.48</v>
      </c>
      <c r="I946" s="6" cm="1">
        <f t="array" ref="I946">IFERROR(VALUE(TRIM(LEFT(E946,MIN(FIND({" ";"g";"k";"m";"o"},E946&amp;" gkmo"))-1))),0)</f>
        <v>200</v>
      </c>
      <c r="J946" s="6" t="str" cm="1">
        <f t="array" ref="J946">IFERROR(TRIM(MID(E946,MIN(FIND({" ";"g";"k";"m";"o"},E946&amp;" gkmo")),10)),"unknown")</f>
        <v>g</v>
      </c>
      <c r="K946" s="6" t="str">
        <f t="shared" si="56"/>
        <v>g</v>
      </c>
      <c r="L946" s="6" t="str">
        <f t="shared" si="57"/>
        <v>Carrefour</v>
      </c>
      <c r="M946" s="6" t="str">
        <f t="shared" si="58"/>
        <v>Toetilla Chips Nature</v>
      </c>
      <c r="N946" s="6" t="str">
        <f t="shared" si="59"/>
        <v>Belgium,France,Morocco, Italie, Spain, Pologne, Roumanie</v>
      </c>
    </row>
    <row r="947" spans="1:14" x14ac:dyDescent="0.25">
      <c r="A947" s="6" t="s">
        <v>2445</v>
      </c>
      <c r="B947" s="6">
        <v>7828</v>
      </c>
      <c r="C947" s="6" t="s">
        <v>7177</v>
      </c>
      <c r="D947" s="7" t="s">
        <v>7676</v>
      </c>
      <c r="E947" s="6" t="s">
        <v>2417</v>
      </c>
      <c r="F947" s="6" t="s">
        <v>139</v>
      </c>
      <c r="G947" s="8">
        <v>45405</v>
      </c>
      <c r="H947" s="6">
        <v>13.16</v>
      </c>
      <c r="I947" s="6" cm="1">
        <f t="array" ref="I947">IFERROR(VALUE(TRIM(LEFT(E947,MIN(FIND({" ";"g";"k";"m";"o"},E947&amp;" gkmo"))-1))),0)</f>
        <v>250</v>
      </c>
      <c r="J947" s="6" t="str" cm="1">
        <f t="array" ref="J947">IFERROR(TRIM(MID(E947,MIN(FIND({" ";"g";"k";"m";"o"},E947&amp;" gkmo")),10)),"unknown")</f>
        <v>g e</v>
      </c>
      <c r="K947" s="6" t="str">
        <f t="shared" si="56"/>
        <v>g</v>
      </c>
      <c r="L947" s="6" t="str">
        <f t="shared" si="57"/>
        <v>Maà®Tre Prunille</v>
      </c>
      <c r="M947" s="6" t="str">
        <f t="shared" si="58"/>
        <v>Mélange Japonais</v>
      </c>
      <c r="N947" s="6" t="str">
        <f t="shared" si="59"/>
        <v>France</v>
      </c>
    </row>
    <row r="948" spans="1:14" x14ac:dyDescent="0.25">
      <c r="A948" s="6" t="s">
        <v>2446</v>
      </c>
      <c r="B948" s="6">
        <v>9468</v>
      </c>
      <c r="C948" s="6" t="s">
        <v>7017</v>
      </c>
      <c r="D948" s="7" t="s">
        <v>81</v>
      </c>
      <c r="E948" s="6" t="s">
        <v>335</v>
      </c>
      <c r="F948" s="6" t="s">
        <v>4092</v>
      </c>
      <c r="G948" s="8">
        <v>45829</v>
      </c>
      <c r="H948" s="6">
        <v>13.16</v>
      </c>
      <c r="I948" s="6" cm="1">
        <f t="array" ref="I948">IFERROR(VALUE(TRIM(LEFT(E948,MIN(FIND({" ";"g";"k";"m";"o"},E948&amp;" gkmo"))-1))),0)</f>
        <v>250</v>
      </c>
      <c r="J948" s="6" t="str" cm="1">
        <f t="array" ref="J948">IFERROR(TRIM(MID(E948,MIN(FIND({" ";"g";"k";"m";"o"},E948&amp;" gkmo")),10)),"unknown")</f>
        <v>g</v>
      </c>
      <c r="K948" s="6" t="str">
        <f t="shared" si="56"/>
        <v>g</v>
      </c>
      <c r="L948" s="6" t="str">
        <f t="shared" si="57"/>
        <v>Wasa</v>
      </c>
      <c r="M948" s="6" t="str">
        <f t="shared" si="58"/>
        <v>Unknown</v>
      </c>
      <c r="N948" s="6" t="str">
        <f t="shared" si="59"/>
        <v>Belgium,France,Netherlands</v>
      </c>
    </row>
    <row r="949" spans="1:14" x14ac:dyDescent="0.25">
      <c r="A949" s="6" t="s">
        <v>2447</v>
      </c>
      <c r="B949" s="6">
        <v>9867</v>
      </c>
      <c r="C949" s="6" t="s">
        <v>645</v>
      </c>
      <c r="D949" s="7" t="s">
        <v>7033</v>
      </c>
      <c r="E949" s="6"/>
      <c r="F949" s="6" t="s">
        <v>8219</v>
      </c>
      <c r="G949" s="8">
        <v>45663</v>
      </c>
      <c r="H949" s="6">
        <v>1.06</v>
      </c>
      <c r="I949" s="6" cm="1">
        <f t="array" ref="I949">IFERROR(VALUE(TRIM(LEFT(E949,MIN(FIND({" ";"g";"k";"m";"o"},E949&amp;" gkmo"))-1))),0)</f>
        <v>0</v>
      </c>
      <c r="J949" s="6" t="str" cm="1">
        <f t="array" ref="J949">IFERROR(TRIM(MID(E949,MIN(FIND({" ";"g";"k";"m";"o"},E949&amp;" gkmo")),10)),"unknown")</f>
        <v/>
      </c>
      <c r="K949" s="6" t="str">
        <f t="shared" si="56"/>
        <v>unknown</v>
      </c>
      <c r="L949" s="6" t="str">
        <f t="shared" si="57"/>
        <v>Nestlé</v>
      </c>
      <c r="M949" s="6" t="str">
        <f t="shared" si="58"/>
        <v>Chocolate Negro</v>
      </c>
      <c r="N949" s="6" t="str">
        <f t="shared" si="59"/>
        <v>France,Marruecos,Espaà±A</v>
      </c>
    </row>
    <row r="950" spans="1:14" x14ac:dyDescent="0.25">
      <c r="A950" s="6" t="s">
        <v>2448</v>
      </c>
      <c r="B950" s="6">
        <v>5884</v>
      </c>
      <c r="C950" s="6" t="s">
        <v>2449</v>
      </c>
      <c r="D950" s="7" t="s">
        <v>2450</v>
      </c>
      <c r="E950" s="6" t="s">
        <v>2451</v>
      </c>
      <c r="F950" s="6" t="s">
        <v>8374</v>
      </c>
      <c r="G950" s="8">
        <v>45498</v>
      </c>
      <c r="H950" s="6">
        <v>1.66</v>
      </c>
      <c r="I950" s="6" cm="1">
        <f t="array" ref="I950">IFERROR(VALUE(TRIM(LEFT(E950,MIN(FIND({" ";"g";"k";"m";"o"},E950&amp;" gkmo"))-1))),0)</f>
        <v>245</v>
      </c>
      <c r="J950" s="6" t="str" cm="1">
        <f t="array" ref="J950">IFERROR(TRIM(MID(E950,MIN(FIND({" ";"g";"k";"m";"o"},E950&amp;" gkmo")),10)),"unknown")</f>
        <v>g</v>
      </c>
      <c r="K950" s="6" t="str">
        <f t="shared" si="56"/>
        <v>g</v>
      </c>
      <c r="L950" s="6" t="str">
        <f t="shared" si="57"/>
        <v>Charbonnel Et Walker, Ginbis, Mondelez, Oreo, Oreo - Mondelä“Z International</v>
      </c>
      <c r="M950" s="6" t="str">
        <f t="shared" si="58"/>
        <v>Oreo Enrobed White Imp</v>
      </c>
      <c r="N950" s="6" t="str">
        <f t="shared" si="59"/>
        <v>Belgium,France,Germany,Italie,Morocco,United Kingdom</v>
      </c>
    </row>
    <row r="951" spans="1:14" x14ac:dyDescent="0.25">
      <c r="A951" s="6" t="s">
        <v>2452</v>
      </c>
      <c r="B951" s="6">
        <v>10329</v>
      </c>
      <c r="C951" s="6" t="s">
        <v>2453</v>
      </c>
      <c r="D951" s="7" t="s">
        <v>2454</v>
      </c>
      <c r="E951" s="6" t="s">
        <v>1831</v>
      </c>
      <c r="F951" s="6" t="s">
        <v>8012</v>
      </c>
      <c r="G951" s="8">
        <v>45984</v>
      </c>
      <c r="H951" s="6">
        <v>22.22</v>
      </c>
      <c r="I951" s="6" cm="1">
        <f t="array" ref="I951">IFERROR(VALUE(TRIM(LEFT(E951,MIN(FIND({" ";"g";"k";"m";"o"},E951&amp;" gkmo"))-1))),0)</f>
        <v>55</v>
      </c>
      <c r="J951" s="6" t="str" cm="1">
        <f t="array" ref="J951">IFERROR(TRIM(MID(E951,MIN(FIND({" ";"g";"k";"m";"o"},E951&amp;" gkmo")),10)),"unknown")</f>
        <v>g</v>
      </c>
      <c r="K951" s="6" t="str">
        <f t="shared" si="56"/>
        <v>g</v>
      </c>
      <c r="L951" s="6" t="str">
        <f t="shared" si="57"/>
        <v>Fulfil</v>
      </c>
      <c r="M951" s="6" t="str">
        <f t="shared" si="58"/>
        <v>Chocolate Salted Caramel Flavour Vitamin &amp; Protein Bar</v>
      </c>
      <c r="N951" s="6" t="str">
        <f t="shared" si="59"/>
        <v>France, Spain, United Kingdom, Belgium</v>
      </c>
    </row>
    <row r="952" spans="1:14" x14ac:dyDescent="0.25">
      <c r="A952" s="6" t="s">
        <v>2455</v>
      </c>
      <c r="B952" s="6">
        <v>12924</v>
      </c>
      <c r="C952" s="6" t="s">
        <v>2456</v>
      </c>
      <c r="D952" s="7" t="s">
        <v>1088</v>
      </c>
      <c r="E952" s="6">
        <v>24</v>
      </c>
      <c r="F952" s="6" t="s">
        <v>400</v>
      </c>
      <c r="G952" s="8">
        <v>45535</v>
      </c>
      <c r="H952" s="6">
        <v>1.78</v>
      </c>
      <c r="I952" s="6" cm="1">
        <f t="array" ref="I952">IFERROR(VALUE(TRIM(LEFT(E952,MIN(FIND({" ";"g";"k";"m";"o"},E952&amp;" gkmo"))-1))),0)</f>
        <v>24</v>
      </c>
      <c r="J952" s="6" t="str" cm="1">
        <f t="array" ref="J952">IFERROR(TRIM(MID(E952,MIN(FIND({" ";"g";"k";"m";"o"},E952&amp;" gkmo")),10)),"unknown")</f>
        <v/>
      </c>
      <c r="K952" s="6" t="str">
        <f t="shared" si="56"/>
        <v>unknown</v>
      </c>
      <c r="L952" s="6" t="str">
        <f t="shared" si="57"/>
        <v>Waitrose</v>
      </c>
      <c r="M952" s="6" t="str">
        <f t="shared" si="58"/>
        <v>Essential Waitrose Wholewheat Biscuits</v>
      </c>
      <c r="N952" s="6" t="str">
        <f t="shared" si="59"/>
        <v>France,United Kingdom</v>
      </c>
    </row>
    <row r="953" spans="1:14" x14ac:dyDescent="0.25">
      <c r="A953" s="6" t="s">
        <v>2457</v>
      </c>
      <c r="B953" s="6">
        <v>8195</v>
      </c>
      <c r="C953" s="6" t="s">
        <v>2458</v>
      </c>
      <c r="D953" s="7" t="s">
        <v>209</v>
      </c>
      <c r="E953" s="6" t="s">
        <v>265</v>
      </c>
      <c r="F953" s="6" t="s">
        <v>139</v>
      </c>
      <c r="G953" s="8">
        <v>45909</v>
      </c>
      <c r="H953" s="6">
        <v>3.86</v>
      </c>
      <c r="I953" s="6" cm="1">
        <f t="array" ref="I953">IFERROR(VALUE(TRIM(LEFT(E953,MIN(FIND({" ";"g";"k";"m";"o"},E953&amp;" gkmo"))-1))),0)</f>
        <v>485</v>
      </c>
      <c r="J953" s="6" t="str" cm="1">
        <f t="array" ref="J953">IFERROR(TRIM(MID(E953,MIN(FIND({" ";"g";"k";"m";"o"},E953&amp;" gkmo")),10)),"unknown")</f>
        <v>g</v>
      </c>
      <c r="K953" s="6" t="str">
        <f t="shared" si="56"/>
        <v>g</v>
      </c>
      <c r="L953" s="6" t="str">
        <f t="shared" si="57"/>
        <v>Harrys</v>
      </c>
      <c r="M953" s="6" t="str">
        <f t="shared" si="58"/>
        <v>Harrys Brioche Tranchee Farine Complete Sans Additif 485G</v>
      </c>
      <c r="N953" s="6" t="str">
        <f t="shared" si="59"/>
        <v>France</v>
      </c>
    </row>
    <row r="954" spans="1:14" x14ac:dyDescent="0.25">
      <c r="A954" s="6" t="s">
        <v>2459</v>
      </c>
      <c r="B954" s="6">
        <v>13185</v>
      </c>
      <c r="C954" s="6" t="s">
        <v>7178</v>
      </c>
      <c r="D954" s="7" t="s">
        <v>646</v>
      </c>
      <c r="E954" s="6"/>
      <c r="F954" s="6" t="s">
        <v>8282</v>
      </c>
      <c r="G954" s="8">
        <v>45710</v>
      </c>
      <c r="H954" s="6">
        <v>16.940000000000001</v>
      </c>
      <c r="I954" s="6" cm="1">
        <f t="array" ref="I954">IFERROR(VALUE(TRIM(LEFT(E954,MIN(FIND({" ";"g";"k";"m";"o"},E954&amp;" gkmo"))-1))),0)</f>
        <v>0</v>
      </c>
      <c r="J954" s="6" t="str" cm="1">
        <f t="array" ref="J954">IFERROR(TRIM(MID(E954,MIN(FIND({" ";"g";"k";"m";"o"},E954&amp;" gkmo")),10)),"unknown")</f>
        <v/>
      </c>
      <c r="K954" s="6" t="str">
        <f t="shared" si="56"/>
        <v>unknown</v>
      </c>
      <c r="L954" s="6" t="str">
        <f t="shared" si="57"/>
        <v>Carrefour Bio, Carrefour</v>
      </c>
      <c r="M954" s="6" t="str">
        <f t="shared" si="58"/>
        <v>Barres Céréales Fraise</v>
      </c>
      <c r="N954" s="6" t="str">
        <f t="shared" si="59"/>
        <v>Belgium,France, Italie, Spain</v>
      </c>
    </row>
    <row r="955" spans="1:14" x14ac:dyDescent="0.25">
      <c r="A955" s="6" t="s">
        <v>2460</v>
      </c>
      <c r="B955" s="6">
        <v>6734</v>
      </c>
      <c r="C955" s="6" t="s">
        <v>2307</v>
      </c>
      <c r="D955" s="7" t="s">
        <v>733</v>
      </c>
      <c r="E955" s="6" t="s">
        <v>2461</v>
      </c>
      <c r="F955" s="6" t="s">
        <v>2973</v>
      </c>
      <c r="G955" s="8">
        <v>45508</v>
      </c>
      <c r="H955" s="6">
        <v>18.82</v>
      </c>
      <c r="I955" s="6" cm="1">
        <f t="array" ref="I955">IFERROR(VALUE(TRIM(LEFT(E955,MIN(FIND({" ";"g";"k";"m";"o"},E955&amp;" gkmo"))-1))),0)</f>
        <v>3</v>
      </c>
      <c r="J955" s="6" t="str" cm="1">
        <f t="array" ref="J955">IFERROR(TRIM(MID(E955,MIN(FIND({" ";"g";"k";"m";"o"},E955&amp;" gkmo")),10)),"unknown")</f>
        <v>x 42g (12</v>
      </c>
      <c r="K955" s="6" t="str">
        <f t="shared" si="56"/>
        <v>g</v>
      </c>
      <c r="L955" s="6" t="str">
        <f t="shared" si="57"/>
        <v>Kind</v>
      </c>
      <c r="M955" s="6" t="str">
        <f t="shared" si="58"/>
        <v>Protein Bar</v>
      </c>
      <c r="N955" s="6" t="str">
        <f t="shared" si="59"/>
        <v>Gb</v>
      </c>
    </row>
    <row r="956" spans="1:14" x14ac:dyDescent="0.25">
      <c r="A956" s="6" t="s">
        <v>2462</v>
      </c>
      <c r="B956" s="6">
        <v>13099</v>
      </c>
      <c r="C956" s="6" t="s">
        <v>2463</v>
      </c>
      <c r="D956" s="7" t="s">
        <v>180</v>
      </c>
      <c r="E956" s="6"/>
      <c r="F956" s="6" t="s">
        <v>7926</v>
      </c>
      <c r="G956" s="8">
        <v>45993</v>
      </c>
      <c r="H956" s="6">
        <v>5.56</v>
      </c>
      <c r="I956" s="6" cm="1">
        <f t="array" ref="I956">IFERROR(VALUE(TRIM(LEFT(E956,MIN(FIND({" ";"g";"k";"m";"o"},E956&amp;" gkmo"))-1))),0)</f>
        <v>0</v>
      </c>
      <c r="J956" s="6" t="str" cm="1">
        <f t="array" ref="J956">IFERROR(TRIM(MID(E956,MIN(FIND({" ";"g";"k";"m";"o"},E956&amp;" gkmo")),10)),"unknown")</f>
        <v/>
      </c>
      <c r="K956" s="6" t="str">
        <f t="shared" si="56"/>
        <v>unknown</v>
      </c>
      <c r="L956" s="6" t="str">
        <f t="shared" si="57"/>
        <v>Kettle</v>
      </c>
      <c r="M956" s="6" t="str">
        <f t="shared" si="58"/>
        <v>Sweet Chilli &amp; Sour Cream Potato Chips</v>
      </c>
      <c r="N956" s="6" t="str">
        <f t="shared" si="59"/>
        <v>France, United-Kingdom</v>
      </c>
    </row>
    <row r="957" spans="1:14" x14ac:dyDescent="0.25">
      <c r="A957" s="6" t="s">
        <v>2464</v>
      </c>
      <c r="B957" s="6">
        <v>10022</v>
      </c>
      <c r="C957" s="6" t="s">
        <v>2465</v>
      </c>
      <c r="D957" s="7" t="s">
        <v>2466</v>
      </c>
      <c r="E957" s="6" t="s">
        <v>138</v>
      </c>
      <c r="F957" s="6" t="s">
        <v>113</v>
      </c>
      <c r="G957" s="8">
        <v>45461</v>
      </c>
      <c r="H957" s="6">
        <v>15.38</v>
      </c>
      <c r="I957" s="6" cm="1">
        <f t="array" ref="I957">IFERROR(VALUE(TRIM(LEFT(E957,MIN(FIND({" ";"g";"k";"m";"o"},E957&amp;" gkmo"))-1))),0)</f>
        <v>400</v>
      </c>
      <c r="J957" s="6" t="str" cm="1">
        <f t="array" ref="J957">IFERROR(TRIM(MID(E957,MIN(FIND({" ";"g";"k";"m";"o"},E957&amp;" gkmo")),10)),"unknown")</f>
        <v>g</v>
      </c>
      <c r="K957" s="6" t="str">
        <f t="shared" si="56"/>
        <v>g</v>
      </c>
      <c r="L957" s="6" t="str">
        <f t="shared" si="57"/>
        <v>Misura</v>
      </c>
      <c r="M957" s="6" t="str">
        <f t="shared" si="58"/>
        <v>Biscotti Allo Yogurt Dolcesenza</v>
      </c>
      <c r="N957" s="6" t="str">
        <f t="shared" si="59"/>
        <v>Italia</v>
      </c>
    </row>
    <row r="958" spans="1:14" x14ac:dyDescent="0.25">
      <c r="A958" s="6" t="s">
        <v>2467</v>
      </c>
      <c r="B958" s="6">
        <v>14086</v>
      </c>
      <c r="C958" s="6" t="s">
        <v>7474</v>
      </c>
      <c r="D958" s="7" t="s">
        <v>854</v>
      </c>
      <c r="E958" s="6" t="s">
        <v>2468</v>
      </c>
      <c r="F958" s="6" t="s">
        <v>2469</v>
      </c>
      <c r="G958" s="8">
        <v>46005</v>
      </c>
      <c r="H958" s="6">
        <v>13.25</v>
      </c>
      <c r="I958" s="6" cm="1">
        <f t="array" ref="I958">IFERROR(VALUE(TRIM(LEFT(E958,MIN(FIND({" ";"g";"k";"m";"o"},E958&amp;" gkmo"))-1))),0)</f>
        <v>250</v>
      </c>
      <c r="J958" s="6" t="str" cm="1">
        <f t="array" ref="J958">IFERROR(TRIM(MID(E958,MIN(FIND({" ";"g";"k";"m";"o"},E958&amp;" gkmo")),10)),"unknown")</f>
        <v>g (2 x 12</v>
      </c>
      <c r="K958" s="6" t="str">
        <f t="shared" si="56"/>
        <v>g</v>
      </c>
      <c r="L958" s="6" t="str">
        <f t="shared" si="57"/>
        <v>Carrefour</v>
      </c>
      <c r="M958" s="6" t="str">
        <f t="shared" si="58"/>
        <v>Toast Crock' Céréales Complètes</v>
      </c>
      <c r="N958" s="6" t="str">
        <f t="shared" si="59"/>
        <v>France,Italy,Poland,Romania,Spain</v>
      </c>
    </row>
    <row r="959" spans="1:14" x14ac:dyDescent="0.25">
      <c r="A959" s="6" t="s">
        <v>2470</v>
      </c>
      <c r="B959" s="6">
        <v>11291</v>
      </c>
      <c r="C959" s="6" t="s">
        <v>2471</v>
      </c>
      <c r="D959" s="7" t="s">
        <v>116</v>
      </c>
      <c r="E959" s="6" t="s">
        <v>117</v>
      </c>
      <c r="F959" s="6" t="s">
        <v>2472</v>
      </c>
      <c r="G959" s="8">
        <v>45948</v>
      </c>
      <c r="H959" s="6">
        <v>9.7799999999999994</v>
      </c>
      <c r="I959" s="6" cm="1">
        <f t="array" ref="I959">IFERROR(VALUE(TRIM(LEFT(E959,MIN(FIND({" ";"g";"k";"m";"o"},E959&amp;" gkmo"))-1))),0)</f>
        <v>42</v>
      </c>
      <c r="J959" s="6" t="str" cm="1">
        <f t="array" ref="J959">IFERROR(TRIM(MID(E959,MIN(FIND({" ";"g";"k";"m";"o"},E959&amp;" gkmo")),10)),"unknown")</f>
        <v>g</v>
      </c>
      <c r="K959" s="6" t="str">
        <f t="shared" si="56"/>
        <v>g</v>
      </c>
      <c r="L959" s="6" t="str">
        <f t="shared" si="57"/>
        <v>Nature Valley</v>
      </c>
      <c r="M959" s="6" t="str">
        <f t="shared" si="58"/>
        <v>Crunchy Oats &amp; Honey</v>
      </c>
      <c r="N959" s="6" t="str">
        <f t="shared" si="59"/>
        <v>France,Switzerland,United Kingdom</v>
      </c>
    </row>
    <row r="960" spans="1:14" x14ac:dyDescent="0.25">
      <c r="A960" s="6" t="s">
        <v>2473</v>
      </c>
      <c r="B960" s="6">
        <v>12672</v>
      </c>
      <c r="C960" s="6" t="s">
        <v>2474</v>
      </c>
      <c r="D960" s="7" t="s">
        <v>72</v>
      </c>
      <c r="E960" s="6" t="s">
        <v>197</v>
      </c>
      <c r="F960" s="6" t="s">
        <v>139</v>
      </c>
      <c r="G960" s="8">
        <v>45597</v>
      </c>
      <c r="H960" s="6">
        <v>22.53</v>
      </c>
      <c r="I960" s="6" cm="1">
        <f t="array" ref="I960">IFERROR(VALUE(TRIM(LEFT(E960,MIN(FIND({" ";"g";"k";"m";"o"},E960&amp;" gkmo"))-1))),0)</f>
        <v>130</v>
      </c>
      <c r="J960" s="6" t="str" cm="1">
        <f t="array" ref="J960">IFERROR(TRIM(MID(E960,MIN(FIND({" ";"g";"k";"m";"o"},E960&amp;" gkmo")),10)),"unknown")</f>
        <v>g</v>
      </c>
      <c r="K960" s="6" t="str">
        <f t="shared" si="56"/>
        <v>g</v>
      </c>
      <c r="L960" s="6" t="str">
        <f t="shared" si="57"/>
        <v>Bjorg</v>
      </c>
      <c r="M960" s="6" t="str">
        <f t="shared" si="58"/>
        <v>Avoine Citron Ðÿ‹ Graines De Chia</v>
      </c>
      <c r="N960" s="6" t="str">
        <f t="shared" si="59"/>
        <v>France</v>
      </c>
    </row>
    <row r="961" spans="1:14" x14ac:dyDescent="0.25">
      <c r="A961" s="6" t="s">
        <v>2475</v>
      </c>
      <c r="B961" s="6">
        <v>6040</v>
      </c>
      <c r="C961" s="6" t="s">
        <v>7179</v>
      </c>
      <c r="D961" s="7" t="s">
        <v>555</v>
      </c>
      <c r="E961" s="6" t="s">
        <v>10</v>
      </c>
      <c r="F961" s="6" t="s">
        <v>139</v>
      </c>
      <c r="G961" s="8">
        <v>45864</v>
      </c>
      <c r="H961" s="6">
        <v>5.52</v>
      </c>
      <c r="I961" s="6" cm="1">
        <f t="array" ref="I961">IFERROR(VALUE(TRIM(LEFT(E961,MIN(FIND({" ";"g";"k";"m";"o"},E961&amp;" gkmo"))-1))),0)</f>
        <v>100</v>
      </c>
      <c r="J961" s="6" t="str" cm="1">
        <f t="array" ref="J961">IFERROR(TRIM(MID(E961,MIN(FIND({" ";"g";"k";"m";"o"},E961&amp;" gkmo")),10)),"unknown")</f>
        <v>g</v>
      </c>
      <c r="K961" s="6" t="str">
        <f t="shared" si="56"/>
        <v>g</v>
      </c>
      <c r="L961" s="6" t="str">
        <f t="shared" si="57"/>
        <v>Alter Eco</v>
      </c>
      <c r="M961" s="6" t="str">
        <f t="shared" si="58"/>
        <v>70% Équateur</v>
      </c>
      <c r="N961" s="6" t="str">
        <f t="shared" si="59"/>
        <v>France</v>
      </c>
    </row>
    <row r="962" spans="1:14" x14ac:dyDescent="0.25">
      <c r="A962" s="6" t="s">
        <v>2476</v>
      </c>
      <c r="B962" s="6">
        <v>13864</v>
      </c>
      <c r="C962" s="6" t="s">
        <v>2477</v>
      </c>
      <c r="D962" s="7" t="s">
        <v>2478</v>
      </c>
      <c r="E962" s="6"/>
      <c r="F962" s="6" t="s">
        <v>400</v>
      </c>
      <c r="G962" s="8">
        <v>46016</v>
      </c>
      <c r="H962" s="6">
        <v>1.29</v>
      </c>
      <c r="I962" s="6" cm="1">
        <f t="array" ref="I962">IFERROR(VALUE(TRIM(LEFT(E962,MIN(FIND({" ";"g";"k";"m";"o"},E962&amp;" gkmo"))-1))),0)</f>
        <v>0</v>
      </c>
      <c r="J962" s="6" t="str" cm="1">
        <f t="array" ref="J962">IFERROR(TRIM(MID(E962,MIN(FIND({" ";"g";"k";"m";"o"},E962&amp;" gkmo")),10)),"unknown")</f>
        <v/>
      </c>
      <c r="K962" s="6" t="str">
        <f t="shared" si="56"/>
        <v>unknown</v>
      </c>
      <c r="L962" s="6" t="str">
        <f t="shared" si="57"/>
        <v>Pipers,Pepsico</v>
      </c>
      <c r="M962" s="6" t="str">
        <f t="shared" si="58"/>
        <v>Pipers Anglesey Sea Salt Crisps</v>
      </c>
      <c r="N962" s="6" t="str">
        <f t="shared" si="59"/>
        <v>France,United Kingdom</v>
      </c>
    </row>
    <row r="963" spans="1:14" x14ac:dyDescent="0.25">
      <c r="A963" s="6" t="s">
        <v>2479</v>
      </c>
      <c r="B963" s="6">
        <v>8079</v>
      </c>
      <c r="C963" s="6" t="s">
        <v>2480</v>
      </c>
      <c r="D963" s="7" t="s">
        <v>2481</v>
      </c>
      <c r="E963" s="6" t="s">
        <v>1312</v>
      </c>
      <c r="F963" s="6" t="s">
        <v>400</v>
      </c>
      <c r="G963" s="8">
        <v>45339</v>
      </c>
      <c r="H963" s="6">
        <v>10.53</v>
      </c>
      <c r="I963" s="6" cm="1">
        <f t="array" ref="I963">IFERROR(VALUE(TRIM(LEFT(E963,MIN(FIND({" ";"g";"k";"m";"o"},E963&amp;" gkmo"))-1))),0)</f>
        <v>50</v>
      </c>
      <c r="J963" s="6" t="str" cm="1">
        <f t="array" ref="J963">IFERROR(TRIM(MID(E963,MIN(FIND({" ";"g";"k";"m";"o"},E963&amp;" gkmo")),10)),"unknown")</f>
        <v>g</v>
      </c>
      <c r="K963" s="6" t="str">
        <f t="shared" ref="K963:K1026" si="60">IF(E963="","unknown",IF(OR(J963="g",LEFT(J963,1)="g"),"g",IF(OR(LEFT(J963,2)="kg",LEFT(J963,2)="ki"),"kg",IF(OR(LEFT(J963,2)="ml",LEFT(J963,1)="m"),"ml",IF(LEFT(J963,1)="l","l",IF(ISNUMBER(SEARCH("g",E963)),"g",IF(ISNUMBER(SEARCH("kg",E963)),"kg",IF(ISNUMBER(SEARCH("ml",E963)),"ml","unknown"))))))))</f>
        <v>g</v>
      </c>
      <c r="L963" s="6" t="str">
        <f t="shared" ref="L963:L1026" si="61">IF(D963="","Unknown",PROPER(TRIM(D963)))</f>
        <v>Eat Natural</v>
      </c>
      <c r="M963" s="6" t="str">
        <f t="shared" ref="M963:M1026" si="62">IF(C963="Unknown","Unknown",PROPER(TRIM(C963)))</f>
        <v>Almond And Apricot With A Yoghurt Coating Fruit And Nut Bar</v>
      </c>
      <c r="N963" s="6" t="str">
        <f t="shared" ref="N963:N1026" si="63">IF(F963="","Unknown",PROPER(TRIM(F963)))</f>
        <v>France,United Kingdom</v>
      </c>
    </row>
    <row r="964" spans="1:14" x14ac:dyDescent="0.25">
      <c r="A964" s="6" t="s">
        <v>2482</v>
      </c>
      <c r="B964" s="6">
        <v>12112</v>
      </c>
      <c r="C964" s="6" t="s">
        <v>7180</v>
      </c>
      <c r="D964" s="7" t="s">
        <v>7677</v>
      </c>
      <c r="E964" s="6" t="s">
        <v>10</v>
      </c>
      <c r="F964" s="6" t="s">
        <v>8424</v>
      </c>
      <c r="G964" s="8">
        <v>45807</v>
      </c>
      <c r="H964" s="6">
        <v>24.22</v>
      </c>
      <c r="I964" s="6" cm="1">
        <f t="array" ref="I964">IFERROR(VALUE(TRIM(LEFT(E964,MIN(FIND({" ";"g";"k";"m";"o"},E964&amp;" gkmo"))-1))),0)</f>
        <v>100</v>
      </c>
      <c r="J964" s="6" t="str" cm="1">
        <f t="array" ref="J964">IFERROR(TRIM(MID(E964,MIN(FIND({" ";"g";"k";"m";"o"},E964&amp;" gkmo")),10)),"unknown")</f>
        <v>g</v>
      </c>
      <c r="K964" s="6" t="str">
        <f t="shared" si="60"/>
        <v>g</v>
      </c>
      <c r="L964" s="6" t="str">
        <f t="shared" si="61"/>
        <v>Maestro,Saà¯Da</v>
      </c>
      <c r="M964" s="6" t="str">
        <f t="shared" si="62"/>
        <v>Dégustation - Chocolat Noir 72% Cacao</v>
      </c>
      <c r="N964" s="6" t="str">
        <f t="shared" si="63"/>
        <v>France,Tunisia</v>
      </c>
    </row>
    <row r="965" spans="1:14" x14ac:dyDescent="0.25">
      <c r="A965" s="6" t="s">
        <v>2483</v>
      </c>
      <c r="B965" s="6">
        <v>5148</v>
      </c>
      <c r="C965" s="6" t="s">
        <v>2484</v>
      </c>
      <c r="D965" s="7" t="s">
        <v>60</v>
      </c>
      <c r="E965" s="6" t="s">
        <v>2485</v>
      </c>
      <c r="F965" s="6" t="s">
        <v>177</v>
      </c>
      <c r="G965" s="8">
        <v>46052</v>
      </c>
      <c r="H965" s="6">
        <v>21.03</v>
      </c>
      <c r="I965" s="6" cm="1">
        <f t="array" ref="I965">IFERROR(VALUE(TRIM(LEFT(E965,MIN(FIND({" ";"g";"k";"m";"o"},E965&amp;" gkmo"))-1))),0)</f>
        <v>150</v>
      </c>
      <c r="J965" s="6" t="str" cm="1">
        <f t="array" ref="J965">IFERROR(TRIM(MID(E965,MIN(FIND({" ";"g";"k";"m";"o"},E965&amp;" gkmo")),10)),"unknown")</f>
        <v>gr</v>
      </c>
      <c r="K965" s="6" t="str">
        <f t="shared" si="60"/>
        <v>g</v>
      </c>
      <c r="L965" s="6" t="str">
        <f t="shared" si="61"/>
        <v>Lindt</v>
      </c>
      <c r="M965" s="6" t="str">
        <f t="shared" si="62"/>
        <v>Les Grandes 34% Hazelnut Dark</v>
      </c>
      <c r="N965" s="6" t="str">
        <f t="shared" si="63"/>
        <v>United Kingdom</v>
      </c>
    </row>
    <row r="966" spans="1:14" x14ac:dyDescent="0.25">
      <c r="A966" s="6" t="s">
        <v>2486</v>
      </c>
      <c r="B966" s="6">
        <v>11778</v>
      </c>
      <c r="C966" s="6" t="s">
        <v>2487</v>
      </c>
      <c r="D966" s="7" t="s">
        <v>7017</v>
      </c>
      <c r="E966" s="6" t="s">
        <v>1228</v>
      </c>
      <c r="F966" s="6" t="s">
        <v>8013</v>
      </c>
      <c r="G966" s="8">
        <v>45888</v>
      </c>
      <c r="H966" s="6">
        <v>15.6</v>
      </c>
      <c r="I966" s="6" cm="1">
        <f t="array" ref="I966">IFERROR(VALUE(TRIM(LEFT(E966,MIN(FIND({" ";"g";"k";"m";"o"},E966&amp;" gkmo"))-1))),0)</f>
        <v>60</v>
      </c>
      <c r="J966" s="6" t="str" cm="1">
        <f t="array" ref="J966">IFERROR(TRIM(MID(E966,MIN(FIND({" ";"g";"k";"m";"o"},E966&amp;" gkmo")),10)),"unknown")</f>
        <v>g</v>
      </c>
      <c r="K966" s="6" t="str">
        <f t="shared" si="60"/>
        <v>g</v>
      </c>
      <c r="L966" s="6" t="str">
        <f t="shared" si="61"/>
        <v>Unknown</v>
      </c>
      <c r="M966" s="6" t="str">
        <f t="shared" si="62"/>
        <v>Salinis</v>
      </c>
      <c r="N966" s="6" t="str">
        <f t="shared" si="63"/>
        <v>France, Germany, Hungary, Luxembourg, United Kingdom, Italy</v>
      </c>
    </row>
    <row r="967" spans="1:14" x14ac:dyDescent="0.25">
      <c r="A967" s="6" t="s">
        <v>2488</v>
      </c>
      <c r="B967" s="6">
        <v>6306</v>
      </c>
      <c r="C967" s="6" t="s">
        <v>2489</v>
      </c>
      <c r="D967" s="7" t="s">
        <v>7017</v>
      </c>
      <c r="E967" s="6"/>
      <c r="F967" s="6" t="s">
        <v>7595</v>
      </c>
      <c r="G967" s="8">
        <v>45660</v>
      </c>
      <c r="H967" s="6">
        <v>1.99</v>
      </c>
      <c r="I967" s="6" cm="1">
        <f t="array" ref="I967">IFERROR(VALUE(TRIM(LEFT(E967,MIN(FIND({" ";"g";"k";"m";"o"},E967&amp;" gkmo"))-1))),0)</f>
        <v>0</v>
      </c>
      <c r="J967" s="6" t="str" cm="1">
        <f t="array" ref="J967">IFERROR(TRIM(MID(E967,MIN(FIND({" ";"g";"k";"m";"o"},E967&amp;" gkmo")),10)),"unknown")</f>
        <v/>
      </c>
      <c r="K967" s="6" t="str">
        <f t="shared" si="60"/>
        <v>unknown</v>
      </c>
      <c r="L967" s="6" t="str">
        <f t="shared" si="61"/>
        <v>Unknown</v>
      </c>
      <c r="M967" s="6" t="str">
        <f t="shared" si="62"/>
        <v>Galletas Cereales &amp; Fibra</v>
      </c>
      <c r="N967" s="6" t="str">
        <f t="shared" si="63"/>
        <v>Espaà±A</v>
      </c>
    </row>
    <row r="968" spans="1:14" x14ac:dyDescent="0.25">
      <c r="A968" s="6" t="s">
        <v>2490</v>
      </c>
      <c r="B968" s="6">
        <v>8234</v>
      </c>
      <c r="C968" s="6" t="s">
        <v>2491</v>
      </c>
      <c r="D968" s="7" t="s">
        <v>2492</v>
      </c>
      <c r="E968" s="6"/>
      <c r="F968" s="6" t="s">
        <v>7926</v>
      </c>
      <c r="G968" s="8">
        <v>45703</v>
      </c>
      <c r="H968" s="6">
        <v>1.92</v>
      </c>
      <c r="I968" s="6" cm="1">
        <f t="array" ref="I968">IFERROR(VALUE(TRIM(LEFT(E968,MIN(FIND({" ";"g";"k";"m";"o"},E968&amp;" gkmo"))-1))),0)</f>
        <v>0</v>
      </c>
      <c r="J968" s="6" t="str" cm="1">
        <f t="array" ref="J968">IFERROR(TRIM(MID(E968,MIN(FIND({" ";"g";"k";"m";"o"},E968&amp;" gkmo")),10)),"unknown")</f>
        <v/>
      </c>
      <c r="K968" s="6" t="str">
        <f t="shared" si="60"/>
        <v>unknown</v>
      </c>
      <c r="L968" s="6" t="str">
        <f t="shared" si="61"/>
        <v>Doves Farm</v>
      </c>
      <c r="M968" s="6" t="str">
        <f t="shared" si="62"/>
        <v>Organic Wholemeal Digestive Biscuits</v>
      </c>
      <c r="N968" s="6" t="str">
        <f t="shared" si="63"/>
        <v>France, United-Kingdom</v>
      </c>
    </row>
    <row r="969" spans="1:14" x14ac:dyDescent="0.25">
      <c r="A969" s="6" t="s">
        <v>2493</v>
      </c>
      <c r="B969" s="6">
        <v>6916</v>
      </c>
      <c r="C969" s="6" t="s">
        <v>2494</v>
      </c>
      <c r="D969" s="7" t="s">
        <v>2495</v>
      </c>
      <c r="E969" s="6" t="s">
        <v>10</v>
      </c>
      <c r="F969" s="6" t="s">
        <v>139</v>
      </c>
      <c r="G969" s="8">
        <v>45548</v>
      </c>
      <c r="H969" s="6">
        <v>11.35</v>
      </c>
      <c r="I969" s="6" cm="1">
        <f t="array" ref="I969">IFERROR(VALUE(TRIM(LEFT(E969,MIN(FIND({" ";"g";"k";"m";"o"},E969&amp;" gkmo"))-1))),0)</f>
        <v>100</v>
      </c>
      <c r="J969" s="6" t="str" cm="1">
        <f t="array" ref="J969">IFERROR(TRIM(MID(E969,MIN(FIND({" ";"g";"k";"m";"o"},E969&amp;" gkmo")),10)),"unknown")</f>
        <v>g</v>
      </c>
      <c r="K969" s="6" t="str">
        <f t="shared" si="60"/>
        <v>g</v>
      </c>
      <c r="L969" s="6" t="str">
        <f t="shared" si="61"/>
        <v>Scholetta</v>
      </c>
      <c r="M969" s="6" t="str">
        <f t="shared" si="62"/>
        <v>Chocolat Noir</v>
      </c>
      <c r="N969" s="6" t="str">
        <f t="shared" si="63"/>
        <v>France</v>
      </c>
    </row>
    <row r="970" spans="1:14" x14ac:dyDescent="0.25">
      <c r="A970" s="6" t="s">
        <v>2496</v>
      </c>
      <c r="B970" s="6">
        <v>14585</v>
      </c>
      <c r="C970" s="6" t="s">
        <v>7017</v>
      </c>
      <c r="D970" s="7" t="s">
        <v>681</v>
      </c>
      <c r="E970" s="6" t="s">
        <v>528</v>
      </c>
      <c r="F970" s="6" t="s">
        <v>2497</v>
      </c>
      <c r="G970" s="8">
        <v>45846</v>
      </c>
      <c r="H970" s="6">
        <v>13.16</v>
      </c>
      <c r="I970" s="6" cm="1">
        <f t="array" ref="I970">IFERROR(VALUE(TRIM(LEFT(E970,MIN(FIND({" ";"g";"k";"m";"o"},E970&amp;" gkmo"))-1))),0)</f>
        <v>200</v>
      </c>
      <c r="J970" s="6" t="str" cm="1">
        <f t="array" ref="J970">IFERROR(TRIM(MID(E970,MIN(FIND({" ";"g";"k";"m";"o"},E970&amp;" gkmo")),10)),"unknown")</f>
        <v>g</v>
      </c>
      <c r="K970" s="6" t="str">
        <f t="shared" si="60"/>
        <v>g</v>
      </c>
      <c r="L970" s="6" t="str">
        <f t="shared" si="61"/>
        <v>Storck</v>
      </c>
      <c r="M970" s="6" t="str">
        <f t="shared" si="62"/>
        <v>Unknown</v>
      </c>
      <c r="N970" s="6" t="str">
        <f t="shared" si="63"/>
        <v>Belgium,France,Germany</v>
      </c>
    </row>
    <row r="971" spans="1:14" x14ac:dyDescent="0.25">
      <c r="A971" s="6" t="s">
        <v>2498</v>
      </c>
      <c r="B971" s="6">
        <v>14698</v>
      </c>
      <c r="C971" s="6" t="s">
        <v>969</v>
      </c>
      <c r="D971" s="7" t="s">
        <v>452</v>
      </c>
      <c r="E971" s="6"/>
      <c r="F971" s="6" t="s">
        <v>7573</v>
      </c>
      <c r="G971" s="8">
        <v>45542</v>
      </c>
      <c r="H971" s="6">
        <v>22.6</v>
      </c>
      <c r="I971" s="6" cm="1">
        <f t="array" ref="I971">IFERROR(VALUE(TRIM(LEFT(E971,MIN(FIND({" ";"g";"k";"m";"o"},E971&amp;" gkmo"))-1))),0)</f>
        <v>0</v>
      </c>
      <c r="J971" s="6" t="str" cm="1">
        <f t="array" ref="J971">IFERROR(TRIM(MID(E971,MIN(FIND({" ";"g";"k";"m";"o"},E971&amp;" gkmo")),10)),"unknown")</f>
        <v/>
      </c>
      <c r="K971" s="6" t="str">
        <f t="shared" si="60"/>
        <v>unknown</v>
      </c>
      <c r="L971" s="6" t="str">
        <f t="shared" si="61"/>
        <v>Hacendado</v>
      </c>
      <c r="M971" s="6" t="str">
        <f t="shared" si="62"/>
        <v>Digestive 0%</v>
      </c>
      <c r="N971" s="6" t="str">
        <f t="shared" si="63"/>
        <v>Portugal,Espaà±A</v>
      </c>
    </row>
    <row r="972" spans="1:14" x14ac:dyDescent="0.25">
      <c r="A972" s="6" t="s">
        <v>2499</v>
      </c>
      <c r="B972" s="6">
        <v>8901</v>
      </c>
      <c r="C972" s="6" t="s">
        <v>2500</v>
      </c>
      <c r="D972" s="7" t="s">
        <v>630</v>
      </c>
      <c r="E972" s="6">
        <v>40</v>
      </c>
      <c r="F972" s="6" t="s">
        <v>48</v>
      </c>
      <c r="G972" s="8">
        <v>45504</v>
      </c>
      <c r="H972" s="6">
        <v>23.49</v>
      </c>
      <c r="I972" s="6" cm="1">
        <f t="array" ref="I972">IFERROR(VALUE(TRIM(LEFT(E972,MIN(FIND({" ";"g";"k";"m";"o"},E972&amp;" gkmo"))-1))),0)</f>
        <v>40</v>
      </c>
      <c r="J972" s="6" t="str" cm="1">
        <f t="array" ref="J972">IFERROR(TRIM(MID(E972,MIN(FIND({" ";"g";"k";"m";"o"},E972&amp;" gkmo")),10)),"unknown")</f>
        <v/>
      </c>
      <c r="K972" s="6" t="str">
        <f t="shared" si="60"/>
        <v>unknown</v>
      </c>
      <c r="L972" s="6" t="str">
        <f t="shared" si="61"/>
        <v>Be</v>
      </c>
      <c r="M972" s="6" t="str">
        <f t="shared" si="62"/>
        <v>Fluffy</v>
      </c>
      <c r="N972" s="6" t="str">
        <f t="shared" si="63"/>
        <v>Morocco</v>
      </c>
    </row>
    <row r="973" spans="1:14" x14ac:dyDescent="0.25">
      <c r="A973" s="6" t="s">
        <v>2501</v>
      </c>
      <c r="B973" s="6">
        <v>11572</v>
      </c>
      <c r="C973" s="6" t="s">
        <v>2502</v>
      </c>
      <c r="D973" s="7" t="s">
        <v>7017</v>
      </c>
      <c r="E973" s="6"/>
      <c r="F973" s="6" t="s">
        <v>177</v>
      </c>
      <c r="G973" s="8">
        <v>45801</v>
      </c>
      <c r="H973" s="6">
        <v>7.98</v>
      </c>
      <c r="I973" s="6" cm="1">
        <f t="array" ref="I973">IFERROR(VALUE(TRIM(LEFT(E973,MIN(FIND({" ";"g";"k";"m";"o"},E973&amp;" gkmo"))-1))),0)</f>
        <v>0</v>
      </c>
      <c r="J973" s="6" t="str" cm="1">
        <f t="array" ref="J973">IFERROR(TRIM(MID(E973,MIN(FIND({" ";"g";"k";"m";"o"},E973&amp;" gkmo")),10)),"unknown")</f>
        <v/>
      </c>
      <c r="K973" s="6" t="str">
        <f t="shared" si="60"/>
        <v>unknown</v>
      </c>
      <c r="L973" s="6" t="str">
        <f t="shared" si="61"/>
        <v>Unknown</v>
      </c>
      <c r="M973" s="6" t="str">
        <f t="shared" si="62"/>
        <v>Tortilla Chips</v>
      </c>
      <c r="N973" s="6" t="str">
        <f t="shared" si="63"/>
        <v>United Kingdom</v>
      </c>
    </row>
    <row r="974" spans="1:14" x14ac:dyDescent="0.25">
      <c r="A974" s="6" t="s">
        <v>2503</v>
      </c>
      <c r="B974" s="6">
        <v>10649</v>
      </c>
      <c r="C974" s="6" t="s">
        <v>2504</v>
      </c>
      <c r="D974" s="7" t="s">
        <v>47</v>
      </c>
      <c r="E974" s="6" t="s">
        <v>1711</v>
      </c>
      <c r="F974" s="6" t="s">
        <v>860</v>
      </c>
      <c r="G974" s="8">
        <v>45965</v>
      </c>
      <c r="H974" s="6">
        <v>24.31</v>
      </c>
      <c r="I974" s="6" cm="1">
        <f t="array" ref="I974">IFERROR(VALUE(TRIM(LEFT(E974,MIN(FIND({" ";"g";"k";"m";"o"},E974&amp;" gkmo"))-1))),0)</f>
        <v>26</v>
      </c>
      <c r="J974" s="6" t="str" cm="1">
        <f t="array" ref="J974">IFERROR(TRIM(MID(E974,MIN(FIND({" ";"g";"k";"m";"o"},E974&amp;" gkmo")),10)),"unknown")</f>
        <v>g</v>
      </c>
      <c r="K974" s="6" t="str">
        <f t="shared" si="60"/>
        <v>g</v>
      </c>
      <c r="L974" s="6" t="str">
        <f t="shared" si="61"/>
        <v>Excelo</v>
      </c>
      <c r="M974" s="6" t="str">
        <f t="shared" si="62"/>
        <v>Silvia Duo Cacao</v>
      </c>
      <c r="N974" s="6" t="str">
        <f t="shared" si="63"/>
        <v>Ma</v>
      </c>
    </row>
    <row r="975" spans="1:14" x14ac:dyDescent="0.25">
      <c r="A975" s="6" t="s">
        <v>2505</v>
      </c>
      <c r="B975" s="6">
        <v>14418</v>
      </c>
      <c r="C975" s="6" t="s">
        <v>7017</v>
      </c>
      <c r="D975" s="7" t="s">
        <v>2506</v>
      </c>
      <c r="E975" s="6" t="s">
        <v>2507</v>
      </c>
      <c r="F975" s="6" t="s">
        <v>8014</v>
      </c>
      <c r="G975" s="8">
        <v>45546</v>
      </c>
      <c r="H975" s="6">
        <v>13.16</v>
      </c>
      <c r="I975" s="6" cm="1">
        <f t="array" ref="I975">IFERROR(VALUE(TRIM(LEFT(E975,MIN(FIND({" ";"g";"k";"m";"o"},E975&amp;" gkmo"))-1))),0)</f>
        <v>3</v>
      </c>
      <c r="J975" s="6" t="str" cm="1">
        <f t="array" ref="J975">IFERROR(TRIM(MID(E975,MIN(FIND({" ";"g";"k";"m";"o"},E975&amp;" gkmo")),10)),"unknown")</f>
        <v>07z (85g)</v>
      </c>
      <c r="K975" s="6" t="str">
        <f t="shared" si="60"/>
        <v>g</v>
      </c>
      <c r="L975" s="6" t="str">
        <f t="shared" si="61"/>
        <v>Roshen</v>
      </c>
      <c r="M975" s="6" t="str">
        <f t="shared" si="62"/>
        <v>Unknown</v>
      </c>
      <c r="N975" s="6" t="str">
        <f t="shared" si="63"/>
        <v>Bulgaria, Georgia, Latvia, Lithuania, Ukraine, Romania</v>
      </c>
    </row>
    <row r="976" spans="1:14" x14ac:dyDescent="0.25">
      <c r="A976" s="6" t="s">
        <v>2508</v>
      </c>
      <c r="B976" s="6">
        <v>14035</v>
      </c>
      <c r="C976" s="6" t="s">
        <v>2509</v>
      </c>
      <c r="D976" s="7" t="s">
        <v>2510</v>
      </c>
      <c r="E976" s="6" t="s">
        <v>2511</v>
      </c>
      <c r="F976" s="6" t="s">
        <v>8280</v>
      </c>
      <c r="G976" s="8">
        <v>45760</v>
      </c>
      <c r="H976" s="6">
        <v>21.72</v>
      </c>
      <c r="I976" s="6" cm="1">
        <f t="array" ref="I976">IFERROR(VALUE(TRIM(LEFT(E976,MIN(FIND({" ";"g";"k";"m";"o"},E976&amp;" gkmo"))-1))),0)</f>
        <v>130</v>
      </c>
      <c r="J976" s="6" t="str" cm="1">
        <f t="array" ref="J976">IFERROR(TRIM(MID(E976,MIN(FIND({" ";"g";"k";"m";"o"},E976&amp;" gkmo")),10)),"unknown")</f>
        <v>g (3 x 43</v>
      </c>
      <c r="K976" s="6" t="str">
        <f t="shared" si="60"/>
        <v>g</v>
      </c>
      <c r="L976" s="6" t="str">
        <f t="shared" si="61"/>
        <v>Carrefour Bio,Carrefour</v>
      </c>
      <c r="M976" s="6" t="str">
        <f t="shared" si="62"/>
        <v>Biscuits Avoine Chocolat</v>
      </c>
      <c r="N976" s="6" t="str">
        <f t="shared" si="63"/>
        <v>France,Italie,Spain</v>
      </c>
    </row>
    <row r="977" spans="1:14" x14ac:dyDescent="0.25">
      <c r="A977" s="6" t="s">
        <v>2512</v>
      </c>
      <c r="B977" s="6">
        <v>7970</v>
      </c>
      <c r="C977" s="6" t="s">
        <v>2513</v>
      </c>
      <c r="D977" s="7" t="s">
        <v>2514</v>
      </c>
      <c r="E977" s="6" t="s">
        <v>2515</v>
      </c>
      <c r="F977" s="6" t="s">
        <v>2516</v>
      </c>
      <c r="G977" s="8">
        <v>45687</v>
      </c>
      <c r="H977" s="6">
        <v>8.6</v>
      </c>
      <c r="I977" s="6" cm="1">
        <f t="array" ref="I977">IFERROR(VALUE(TRIM(LEFT(E977,MIN(FIND({" ";"g";"k";"m";"o"},E977&amp;" gkmo"))-1))),0)</f>
        <v>1</v>
      </c>
      <c r="J977" s="6" t="str" cm="1">
        <f t="array" ref="J977">IFERROR(TRIM(MID(E977,MIN(FIND({" ";"g";"k";"m";"o"},E977&amp;" gkmo")),10)),"unknown")</f>
        <v>kg</v>
      </c>
      <c r="K977" s="6" t="str">
        <f t="shared" si="60"/>
        <v>kg</v>
      </c>
      <c r="L977" s="6" t="str">
        <f t="shared" si="61"/>
        <v>Favorina</v>
      </c>
      <c r="M977" s="6" t="str">
        <f t="shared" si="62"/>
        <v>Panettone Classico</v>
      </c>
      <c r="N977" s="6" t="str">
        <f t="shared" si="63"/>
        <v>Spagna</v>
      </c>
    </row>
    <row r="978" spans="1:14" x14ac:dyDescent="0.25">
      <c r="A978" s="6" t="s">
        <v>2517</v>
      </c>
      <c r="B978" s="6">
        <v>12690</v>
      </c>
      <c r="C978" s="6" t="s">
        <v>2518</v>
      </c>
      <c r="D978" s="7" t="s">
        <v>150</v>
      </c>
      <c r="E978" s="6" t="s">
        <v>151</v>
      </c>
      <c r="F978" s="6" t="s">
        <v>2519</v>
      </c>
      <c r="G978" s="8">
        <v>45509</v>
      </c>
      <c r="H978" s="6">
        <v>16.440000000000001</v>
      </c>
      <c r="I978" s="6" cm="1">
        <f t="array" ref="I978">IFERROR(VALUE(TRIM(LEFT(E978,MIN(FIND({" ";"g";"k";"m";"o"},E978&amp;" gkmo"))-1))),0)</f>
        <v>200</v>
      </c>
      <c r="J978" s="6" t="str" cm="1">
        <f t="array" ref="J978">IFERROR(TRIM(MID(E978,MIN(FIND({" ";"g";"k";"m";"o"},E978&amp;" gkmo")),10)),"unknown")</f>
        <v>g</v>
      </c>
      <c r="K978" s="6" t="str">
        <f t="shared" si="60"/>
        <v>g</v>
      </c>
      <c r="L978" s="6" t="str">
        <f t="shared" si="61"/>
        <v>Alesto</v>
      </c>
      <c r="M978" s="6" t="str">
        <f t="shared" si="62"/>
        <v>Snack Mix</v>
      </c>
      <c r="N978" s="6" t="str">
        <f t="shared" si="63"/>
        <v>Frankrijk,Duitsland</v>
      </c>
    </row>
    <row r="979" spans="1:14" x14ac:dyDescent="0.25">
      <c r="A979" s="6" t="s">
        <v>2520</v>
      </c>
      <c r="B979" s="6">
        <v>8659</v>
      </c>
      <c r="C979" s="6" t="s">
        <v>2521</v>
      </c>
      <c r="D979" s="7" t="s">
        <v>961</v>
      </c>
      <c r="E979" s="6"/>
      <c r="F979" s="6" t="s">
        <v>139</v>
      </c>
      <c r="G979" s="8">
        <v>45609</v>
      </c>
      <c r="H979" s="6">
        <v>18.079999999999998</v>
      </c>
      <c r="I979" s="6" cm="1">
        <f t="array" ref="I979">IFERROR(VALUE(TRIM(LEFT(E979,MIN(FIND({" ";"g";"k";"m";"o"},E979&amp;" gkmo"))-1))),0)</f>
        <v>0</v>
      </c>
      <c r="J979" s="6" t="str" cm="1">
        <f t="array" ref="J979">IFERROR(TRIM(MID(E979,MIN(FIND({" ";"g";"k";"m";"o"},E979&amp;" gkmo")),10)),"unknown")</f>
        <v/>
      </c>
      <c r="K979" s="6" t="str">
        <f t="shared" si="60"/>
        <v>unknown</v>
      </c>
      <c r="L979" s="6" t="str">
        <f t="shared" si="61"/>
        <v>Sondey</v>
      </c>
      <c r="M979" s="6" t="str">
        <f t="shared" si="62"/>
        <v>Madeleines Coquilles</v>
      </c>
      <c r="N979" s="6" t="str">
        <f t="shared" si="63"/>
        <v>France</v>
      </c>
    </row>
    <row r="980" spans="1:14" x14ac:dyDescent="0.25">
      <c r="A980" s="6" t="s">
        <v>2522</v>
      </c>
      <c r="B980" s="6">
        <v>13562</v>
      </c>
      <c r="C980" s="6" t="s">
        <v>2523</v>
      </c>
      <c r="D980" s="7" t="s">
        <v>1699</v>
      </c>
      <c r="E980" s="6" t="s">
        <v>653</v>
      </c>
      <c r="F980" s="6" t="s">
        <v>1181</v>
      </c>
      <c r="G980" s="8">
        <v>45407</v>
      </c>
      <c r="H980" s="6">
        <v>2.78</v>
      </c>
      <c r="I980" s="6" cm="1">
        <f t="array" ref="I980">IFERROR(VALUE(TRIM(LEFT(E980,MIN(FIND({" ";"g";"k";"m";"o"},E980&amp;" gkmo"))-1))),0)</f>
        <v>310</v>
      </c>
      <c r="J980" s="6" t="str" cm="1">
        <f t="array" ref="J980">IFERROR(TRIM(MID(E980,MIN(FIND({" ";"g";"k";"m";"o"},E980&amp;" gkmo")),10)),"unknown")</f>
        <v>g</v>
      </c>
      <c r="K980" s="6" t="str">
        <f t="shared" si="60"/>
        <v>g</v>
      </c>
      <c r="L980" s="6" t="str">
        <f t="shared" si="61"/>
        <v>Brioche Pasquier</v>
      </c>
      <c r="M980" s="6" t="str">
        <f t="shared" si="62"/>
        <v>Pitch</v>
      </c>
      <c r="N980" s="6" t="str">
        <f t="shared" si="63"/>
        <v>France,Switzerland</v>
      </c>
    </row>
    <row r="981" spans="1:14" x14ac:dyDescent="0.25">
      <c r="A981" s="6" t="s">
        <v>2524</v>
      </c>
      <c r="B981" s="6">
        <v>5559</v>
      </c>
      <c r="C981" s="6" t="s">
        <v>7181</v>
      </c>
      <c r="D981" s="7" t="s">
        <v>7106</v>
      </c>
      <c r="E981" s="6" t="s">
        <v>1044</v>
      </c>
      <c r="F981" s="6" t="s">
        <v>139</v>
      </c>
      <c r="G981" s="8">
        <v>45570</v>
      </c>
      <c r="H981" s="6">
        <v>18.41</v>
      </c>
      <c r="I981" s="6" cm="1">
        <f t="array" ref="I981">IFERROR(VALUE(TRIM(LEFT(E981,MIN(FIND({" ";"g";"k";"m";"o"},E981&amp;" gkmo"))-1))),0)</f>
        <v>500</v>
      </c>
      <c r="J981" s="6" t="str" cm="1">
        <f t="array" ref="J981">IFERROR(TRIM(MID(E981,MIN(FIND({" ";"g";"k";"m";"o"},E981&amp;" gkmo")),10)),"unknown")</f>
        <v>g e</v>
      </c>
      <c r="K981" s="6" t="str">
        <f t="shared" si="60"/>
        <v>g</v>
      </c>
      <c r="L981" s="6" t="str">
        <f t="shared" si="61"/>
        <v>Ker Cadélac</v>
      </c>
      <c r="M981" s="6" t="str">
        <f t="shared" si="62"/>
        <v>Ker Cadélac - Marble Cake, 500G (17.6Oz)</v>
      </c>
      <c r="N981" s="6" t="str">
        <f t="shared" si="63"/>
        <v>France</v>
      </c>
    </row>
    <row r="982" spans="1:14" x14ac:dyDescent="0.25">
      <c r="A982" s="6" t="s">
        <v>2525</v>
      </c>
      <c r="B982" s="6">
        <v>12389</v>
      </c>
      <c r="C982" s="6" t="s">
        <v>2526</v>
      </c>
      <c r="D982" s="7" t="s">
        <v>646</v>
      </c>
      <c r="E982" s="6"/>
      <c r="F982" s="6" t="s">
        <v>8307</v>
      </c>
      <c r="G982" s="8">
        <v>45420</v>
      </c>
      <c r="H982" s="6">
        <v>14.9</v>
      </c>
      <c r="I982" s="6" cm="1">
        <f t="array" ref="I982">IFERROR(VALUE(TRIM(LEFT(E982,MIN(FIND({" ";"g";"k";"m";"o"},E982&amp;" gkmo"))-1))),0)</f>
        <v>0</v>
      </c>
      <c r="J982" s="6" t="str" cm="1">
        <f t="array" ref="J982">IFERROR(TRIM(MID(E982,MIN(FIND({" ";"g";"k";"m";"o"},E982&amp;" gkmo")),10)),"unknown")</f>
        <v/>
      </c>
      <c r="K982" s="6" t="str">
        <f t="shared" si="60"/>
        <v>unknown</v>
      </c>
      <c r="L982" s="6" t="str">
        <f t="shared" si="61"/>
        <v>Carrefour Bio, Carrefour</v>
      </c>
      <c r="M982" s="6" t="str">
        <f t="shared" si="62"/>
        <v>Petit Beurre Tablette Chocolat Noir</v>
      </c>
      <c r="N982" s="6" t="str">
        <f t="shared" si="63"/>
        <v>Belgium,France,Polynésie Franà§Aise,Guadeloupe,Italie,Pologne,Roumanie,Spain,France</v>
      </c>
    </row>
    <row r="983" spans="1:14" x14ac:dyDescent="0.25">
      <c r="A983" s="6" t="s">
        <v>2527</v>
      </c>
      <c r="B983" s="6">
        <v>14283</v>
      </c>
      <c r="C983" s="6" t="s">
        <v>2528</v>
      </c>
      <c r="D983" s="7" t="s">
        <v>2529</v>
      </c>
      <c r="E983" s="6" t="s">
        <v>1389</v>
      </c>
      <c r="F983" s="6" t="s">
        <v>2202</v>
      </c>
      <c r="G983" s="8">
        <v>45842</v>
      </c>
      <c r="H983" s="6">
        <v>13.16</v>
      </c>
      <c r="I983" s="6" cm="1">
        <f t="array" ref="I983">IFERROR(VALUE(TRIM(LEFT(E983,MIN(FIND({" ";"g";"k";"m";"o"},E983&amp;" gkmo"))-1))),0)</f>
        <v>40</v>
      </c>
      <c r="J983" s="6" t="str" cm="1">
        <f t="array" ref="J983">IFERROR(TRIM(MID(E983,MIN(FIND({" ";"g";"k";"m";"o"},E983&amp;" gkmo")),10)),"unknown")</f>
        <v>g</v>
      </c>
      <c r="K983" s="6" t="str">
        <f t="shared" si="60"/>
        <v>g</v>
      </c>
      <c r="L983" s="6" t="str">
        <f t="shared" si="61"/>
        <v>N.A! Nature Addicts</v>
      </c>
      <c r="M983" s="6" t="str">
        <f t="shared" si="62"/>
        <v>Fruit Sticks</v>
      </c>
      <c r="N983" s="6" t="str">
        <f t="shared" si="63"/>
        <v>Frankreich,Schweiz</v>
      </c>
    </row>
    <row r="984" spans="1:14" x14ac:dyDescent="0.25">
      <c r="A984" s="6" t="s">
        <v>2530</v>
      </c>
      <c r="B984" s="6">
        <v>8646</v>
      </c>
      <c r="C984" s="6" t="s">
        <v>2531</v>
      </c>
      <c r="D984" s="7" t="s">
        <v>248</v>
      </c>
      <c r="E984" s="6" t="s">
        <v>2532</v>
      </c>
      <c r="F984" s="6" t="s">
        <v>2533</v>
      </c>
      <c r="G984" s="8">
        <v>45350</v>
      </c>
      <c r="H984" s="6">
        <v>20</v>
      </c>
      <c r="I984" s="6" cm="1">
        <f t="array" ref="I984">IFERROR(VALUE(TRIM(LEFT(E984,MIN(FIND({" ";"g";"k";"m";"o"},E984&amp;" gkmo"))-1))),0)</f>
        <v>296</v>
      </c>
      <c r="J984" s="6" t="str" cm="1">
        <f t="array" ref="J984">IFERROR(TRIM(MID(E984,MIN(FIND({" ";"g";"k";"m";"o"},E984&amp;" gkmo")),10)),"unknown")</f>
        <v>g</v>
      </c>
      <c r="K984" s="6" t="str">
        <f t="shared" si="60"/>
        <v>g</v>
      </c>
      <c r="L984" s="6" t="str">
        <f t="shared" si="61"/>
        <v>Tesco</v>
      </c>
      <c r="M984" s="6" t="str">
        <f t="shared" si="62"/>
        <v>Bourbon Creams</v>
      </c>
      <c r="N984" s="6" t="str">
        <f t="shared" si="63"/>
        <v>France,Germany,United Kingdom,Ireland</v>
      </c>
    </row>
    <row r="985" spans="1:14" x14ac:dyDescent="0.25">
      <c r="A985" s="6" t="s">
        <v>2534</v>
      </c>
      <c r="B985" s="6">
        <v>5083</v>
      </c>
      <c r="C985" s="6" t="s">
        <v>7678</v>
      </c>
      <c r="D985" s="7" t="s">
        <v>2535</v>
      </c>
      <c r="E985" s="6"/>
      <c r="F985" s="6" t="s">
        <v>8339</v>
      </c>
      <c r="G985" s="8">
        <v>46025</v>
      </c>
      <c r="H985" s="6">
        <v>24.01</v>
      </c>
      <c r="I985" s="6" cm="1">
        <f t="array" ref="I985">IFERROR(VALUE(TRIM(LEFT(E985,MIN(FIND({" ";"g";"k";"m";"o"},E985&amp;" gkmo"))-1))),0)</f>
        <v>0</v>
      </c>
      <c r="J985" s="6" t="str" cm="1">
        <f t="array" ref="J985">IFERROR(TRIM(MID(E985,MIN(FIND({" ";"g";"k";"m";"o"},E985&amp;" gkmo")),10)),"unknown")</f>
        <v/>
      </c>
      <c r="K985" s="6" t="str">
        <f t="shared" si="60"/>
        <v>unknown</v>
      </c>
      <c r="L985" s="6" t="str">
        <f t="shared" si="61"/>
        <v>Lu, Mondelez, Prince</v>
      </c>
      <c r="M985" s="6" t="str">
        <f t="shared" si="62"/>
        <v>Prince Goà»T Chocolat</v>
      </c>
      <c r="N985" s="6" t="str">
        <f t="shared" si="63"/>
        <v>Belgium,France,Guadeloupe,Luxembourg,Martinique,Switzerland</v>
      </c>
    </row>
    <row r="986" spans="1:14" x14ac:dyDescent="0.25">
      <c r="A986" s="6" t="s">
        <v>2536</v>
      </c>
      <c r="B986" s="6">
        <v>8104</v>
      </c>
      <c r="C986" s="6" t="s">
        <v>2537</v>
      </c>
      <c r="D986" s="7" t="s">
        <v>2538</v>
      </c>
      <c r="E986" s="6" t="s">
        <v>423</v>
      </c>
      <c r="F986" s="6" t="s">
        <v>139</v>
      </c>
      <c r="G986" s="8">
        <v>45804</v>
      </c>
      <c r="H986" s="6">
        <v>7.12</v>
      </c>
      <c r="I986" s="6" cm="1">
        <f t="array" ref="I986">IFERROR(VALUE(TRIM(LEFT(E986,MIN(FIND({" ";"g";"k";"m";"o"},E986&amp;" gkmo"))-1))),0)</f>
        <v>125</v>
      </c>
      <c r="J986" s="6" t="str" cm="1">
        <f t="array" ref="J986">IFERROR(TRIM(MID(E986,MIN(FIND({" ";"g";"k";"m";"o"},E986&amp;" gkmo")),10)),"unknown")</f>
        <v>g</v>
      </c>
      <c r="K986" s="6" t="str">
        <f t="shared" si="60"/>
        <v>g</v>
      </c>
      <c r="L986" s="6" t="str">
        <f t="shared" si="61"/>
        <v>Kambly</v>
      </c>
      <c r="M986" s="6" t="str">
        <f t="shared" si="62"/>
        <v>Flutes Aux 3 Graines</v>
      </c>
      <c r="N986" s="6" t="str">
        <f t="shared" si="63"/>
        <v>France</v>
      </c>
    </row>
    <row r="987" spans="1:14" x14ac:dyDescent="0.25">
      <c r="A987" s="6" t="s">
        <v>2539</v>
      </c>
      <c r="B987" s="6">
        <v>12242</v>
      </c>
      <c r="C987" s="6" t="s">
        <v>2540</v>
      </c>
      <c r="D987" s="7" t="s">
        <v>1370</v>
      </c>
      <c r="E987" s="6" t="s">
        <v>2541</v>
      </c>
      <c r="F987" s="6" t="s">
        <v>7923</v>
      </c>
      <c r="G987" s="8">
        <v>45648</v>
      </c>
      <c r="H987" s="6">
        <v>21.46</v>
      </c>
      <c r="I987" s="6" cm="1">
        <f t="array" ref="I987">IFERROR(VALUE(TRIM(LEFT(E987,MIN(FIND({" ";"g";"k";"m";"o"},E987&amp;" gkmo"))-1))),0)</f>
        <v>0</v>
      </c>
      <c r="J987" s="6" t="str" cm="1">
        <f t="array" ref="J987">IFERROR(TRIM(MID(E987,MIN(FIND({" ";"g";"k";"m";"o"},E987&amp;" gkmo")),10)),"unknown")</f>
        <v/>
      </c>
      <c r="K987" s="6" t="str">
        <f t="shared" si="60"/>
        <v>unknown</v>
      </c>
      <c r="L987" s="6" t="str">
        <f t="shared" si="61"/>
        <v>Belvita</v>
      </c>
      <c r="M987" s="6" t="str">
        <f t="shared" si="62"/>
        <v>Soft Bakes Choc Chip</v>
      </c>
      <c r="N987" s="6" t="str">
        <f t="shared" si="63"/>
        <v>France, United Kingdom, Ireland</v>
      </c>
    </row>
    <row r="988" spans="1:14" x14ac:dyDescent="0.25">
      <c r="A988" s="6" t="s">
        <v>2542</v>
      </c>
      <c r="B988" s="6">
        <v>13163</v>
      </c>
      <c r="C988" s="6" t="s">
        <v>2543</v>
      </c>
      <c r="D988" s="7" t="s">
        <v>7017</v>
      </c>
      <c r="E988" s="6" t="s">
        <v>2544</v>
      </c>
      <c r="F988" s="6" t="s">
        <v>2545</v>
      </c>
      <c r="G988" s="8">
        <v>45519</v>
      </c>
      <c r="H988" s="6">
        <v>13.16</v>
      </c>
      <c r="I988" s="6" cm="1">
        <f t="array" ref="I988">IFERROR(VALUE(TRIM(LEFT(E988,MIN(FIND({" ";"g";"k";"m";"o"},E988&amp;" gkmo"))-1))),0)</f>
        <v>700</v>
      </c>
      <c r="J988" s="6" t="str" cm="1">
        <f t="array" ref="J988">IFERROR(TRIM(MID(E988,MIN(FIND({" ";"g";"k";"m";"o"},E988&amp;" gkmo")),10)),"unknown")</f>
        <v>g</v>
      </c>
      <c r="K988" s="6" t="str">
        <f t="shared" si="60"/>
        <v>g</v>
      </c>
      <c r="L988" s="6" t="str">
        <f t="shared" si="61"/>
        <v>Unknown</v>
      </c>
      <c r="M988" s="6" t="str">
        <f t="shared" si="62"/>
        <v>Cruschelle</v>
      </c>
      <c r="N988" s="6" t="str">
        <f t="shared" si="63"/>
        <v>France,Italy</v>
      </c>
    </row>
    <row r="989" spans="1:14" x14ac:dyDescent="0.25">
      <c r="A989" s="6" t="s">
        <v>2546</v>
      </c>
      <c r="B989" s="6">
        <v>12609</v>
      </c>
      <c r="C989" s="6" t="s">
        <v>2547</v>
      </c>
      <c r="D989" s="7" t="s">
        <v>1773</v>
      </c>
      <c r="E989" s="6"/>
      <c r="F989" s="6" t="s">
        <v>2973</v>
      </c>
      <c r="G989" s="8">
        <v>45493</v>
      </c>
      <c r="H989" s="6">
        <v>18.920000000000002</v>
      </c>
      <c r="I989" s="6" cm="1">
        <f t="array" ref="I989">IFERROR(VALUE(TRIM(LEFT(E989,MIN(FIND({" ";"g";"k";"m";"o"},E989&amp;" gkmo"))-1))),0)</f>
        <v>0</v>
      </c>
      <c r="J989" s="6" t="str" cm="1">
        <f t="array" ref="J989">IFERROR(TRIM(MID(E989,MIN(FIND({" ";"g";"k";"m";"o"},E989&amp;" gkmo")),10)),"unknown")</f>
        <v/>
      </c>
      <c r="K989" s="6" t="str">
        <f t="shared" si="60"/>
        <v>unknown</v>
      </c>
      <c r="L989" s="6" t="str">
        <f t="shared" si="61"/>
        <v>Aldi</v>
      </c>
      <c r="M989" s="6" t="str">
        <f t="shared" si="62"/>
        <v>Thins - Multiseed Flatbreads</v>
      </c>
      <c r="N989" s="6" t="str">
        <f t="shared" si="63"/>
        <v>Gb</v>
      </c>
    </row>
    <row r="990" spans="1:14" x14ac:dyDescent="0.25">
      <c r="A990" s="6" t="s">
        <v>2548</v>
      </c>
      <c r="B990" s="6">
        <v>8957</v>
      </c>
      <c r="C990" s="6" t="s">
        <v>7679</v>
      </c>
      <c r="D990" s="7" t="s">
        <v>7578</v>
      </c>
      <c r="E990" s="6" t="s">
        <v>2549</v>
      </c>
      <c r="F990" s="6" t="s">
        <v>7599</v>
      </c>
      <c r="G990" s="8">
        <v>46011</v>
      </c>
      <c r="H990" s="6">
        <v>2.4700000000000002</v>
      </c>
      <c r="I990" s="6" cm="1">
        <f t="array" ref="I990">IFERROR(VALUE(TRIM(LEFT(E990,MIN(FIND({" ";"g";"k";"m";"o"},E990&amp;" gkmo"))-1))),0)</f>
        <v>275</v>
      </c>
      <c r="J990" s="6" t="str" cm="1">
        <f t="array" ref="J990">IFERROR(TRIM(MID(E990,MIN(FIND({" ";"g";"k";"m";"o"},E990&amp;" gkmo")),10)),"unknown")</f>
        <v>g</v>
      </c>
      <c r="K990" s="6" t="str">
        <f t="shared" si="60"/>
        <v>g</v>
      </c>
      <c r="L990" s="6" t="str">
        <f t="shared" si="61"/>
        <v>Gullà³N</v>
      </c>
      <c r="M990" s="6" t="str">
        <f t="shared" si="62"/>
        <v>Avena Con Chocolate Negro - Sin Azàºcares Aà±Adidos</v>
      </c>
      <c r="N990" s="6" t="str">
        <f t="shared" si="63"/>
        <v>Marruecos,Espaà±A</v>
      </c>
    </row>
    <row r="991" spans="1:14" x14ac:dyDescent="0.25">
      <c r="A991" s="6" t="s">
        <v>2550</v>
      </c>
      <c r="B991" s="6">
        <v>12062</v>
      </c>
      <c r="C991" s="6" t="s">
        <v>2551</v>
      </c>
      <c r="D991" s="7" t="s">
        <v>2552</v>
      </c>
      <c r="E991" s="6" t="s">
        <v>2553</v>
      </c>
      <c r="F991" s="6" t="s">
        <v>2973</v>
      </c>
      <c r="G991" s="8">
        <v>45663</v>
      </c>
      <c r="H991" s="6">
        <v>8.64</v>
      </c>
      <c r="I991" s="6" cm="1">
        <f t="array" ref="I991">IFERROR(VALUE(TRIM(LEFT(E991,MIN(FIND({" ";"g";"k";"m";"o"},E991&amp;" gkmo"))-1))),0)</f>
        <v>1.7</v>
      </c>
      <c r="J991" s="6" t="str" cm="1">
        <f t="array" ref="J991">IFERROR(TRIM(MID(E991,MIN(FIND({" ";"g";"k";"m";"o"},E991&amp;" gkmo")),10)),"unknown")</f>
        <v>kg</v>
      </c>
      <c r="K991" s="6" t="str">
        <f t="shared" si="60"/>
        <v>kg</v>
      </c>
      <c r="L991" s="6" t="str">
        <f t="shared" si="61"/>
        <v>Mccain</v>
      </c>
      <c r="M991" s="6" t="str">
        <f t="shared" si="62"/>
        <v>Naked Oven Chips</v>
      </c>
      <c r="N991" s="6" t="str">
        <f t="shared" si="63"/>
        <v>Gb</v>
      </c>
    </row>
    <row r="992" spans="1:14" x14ac:dyDescent="0.25">
      <c r="A992" s="6" t="s">
        <v>2554</v>
      </c>
      <c r="B992" s="6">
        <v>9873</v>
      </c>
      <c r="C992" s="6" t="s">
        <v>384</v>
      </c>
      <c r="D992" s="7" t="s">
        <v>1205</v>
      </c>
      <c r="E992" s="6" t="s">
        <v>1309</v>
      </c>
      <c r="F992" s="6" t="s">
        <v>7940</v>
      </c>
      <c r="G992" s="8">
        <v>45480</v>
      </c>
      <c r="H992" s="6">
        <v>13.95</v>
      </c>
      <c r="I992" s="6" cm="1">
        <f t="array" ref="I992">IFERROR(VALUE(TRIM(LEFT(E992,MIN(FIND({" ";"g";"k";"m";"o"},E992&amp;" gkmo"))-1))),0)</f>
        <v>300</v>
      </c>
      <c r="J992" s="6" t="str" cm="1">
        <f t="array" ref="J992">IFERROR(TRIM(MID(E992,MIN(FIND({" ";"g";"k";"m";"o"},E992&amp;" gkmo")),10)),"unknown")</f>
        <v>g</v>
      </c>
      <c r="K992" s="6" t="str">
        <f t="shared" si="60"/>
        <v>g</v>
      </c>
      <c r="L992" s="6" t="str">
        <f t="shared" si="61"/>
        <v>Savour Bakes</v>
      </c>
      <c r="M992" s="6" t="str">
        <f t="shared" si="62"/>
        <v>Cream Crackers</v>
      </c>
      <c r="N992" s="6" t="str">
        <f t="shared" si="63"/>
        <v>Ireland, United-Kingdom</v>
      </c>
    </row>
    <row r="993" spans="1:14" x14ac:dyDescent="0.25">
      <c r="A993" s="6" t="s">
        <v>2555</v>
      </c>
      <c r="B993" s="6">
        <v>12726</v>
      </c>
      <c r="C993" s="6" t="s">
        <v>2556</v>
      </c>
      <c r="D993" s="7" t="s">
        <v>2557</v>
      </c>
      <c r="E993" s="6" t="s">
        <v>138</v>
      </c>
      <c r="F993" s="6" t="s">
        <v>8015</v>
      </c>
      <c r="G993" s="8">
        <v>46006</v>
      </c>
      <c r="H993" s="6">
        <v>22.36</v>
      </c>
      <c r="I993" s="6" cm="1">
        <f t="array" ref="I993">IFERROR(VALUE(TRIM(LEFT(E993,MIN(FIND({" ";"g";"k";"m";"o"},E993&amp;" gkmo"))-1))),0)</f>
        <v>400</v>
      </c>
      <c r="J993" s="6" t="str" cm="1">
        <f t="array" ref="J993">IFERROR(TRIM(MID(E993,MIN(FIND({" ";"g";"k";"m";"o"},E993&amp;" gkmo")),10)),"unknown")</f>
        <v>g</v>
      </c>
      <c r="K993" s="6" t="str">
        <f t="shared" si="60"/>
        <v>g</v>
      </c>
      <c r="L993" s="6" t="str">
        <f t="shared" si="61"/>
        <v>Debeukelaer</v>
      </c>
      <c r="M993" s="6" t="str">
        <f t="shared" si="62"/>
        <v>Prinzenrolle</v>
      </c>
      <c r="N993" s="6" t="str">
        <f t="shared" si="63"/>
        <v>Germany, Austria</v>
      </c>
    </row>
    <row r="994" spans="1:14" x14ac:dyDescent="0.25">
      <c r="A994" s="6" t="s">
        <v>2558</v>
      </c>
      <c r="B994" s="6">
        <v>13105</v>
      </c>
      <c r="C994" s="6" t="s">
        <v>2559</v>
      </c>
      <c r="D994" s="7" t="s">
        <v>1105</v>
      </c>
      <c r="E994" s="6"/>
      <c r="F994" s="6" t="s">
        <v>5759</v>
      </c>
      <c r="G994" s="8">
        <v>45582</v>
      </c>
      <c r="H994" s="6">
        <v>7.69</v>
      </c>
      <c r="I994" s="6" cm="1">
        <f t="array" ref="I994">IFERROR(VALUE(TRIM(LEFT(E994,MIN(FIND({" ";"g";"k";"m";"o"},E994&amp;" gkmo"))-1))),0)</f>
        <v>0</v>
      </c>
      <c r="J994" s="6" t="str" cm="1">
        <f t="array" ref="J994">IFERROR(TRIM(MID(E994,MIN(FIND({" ";"g";"k";"m";"o"},E994&amp;" gkmo")),10)),"unknown")</f>
        <v/>
      </c>
      <c r="K994" s="6" t="str">
        <f t="shared" si="60"/>
        <v>unknown</v>
      </c>
      <c r="L994" s="6" t="str">
        <f t="shared" si="61"/>
        <v>Vico</v>
      </c>
      <c r="M994" s="6" t="str">
        <f t="shared" si="62"/>
        <v>Monster Munch Crazy Original</v>
      </c>
      <c r="N994" s="6" t="str">
        <f t="shared" si="63"/>
        <v>Fr</v>
      </c>
    </row>
    <row r="995" spans="1:14" x14ac:dyDescent="0.25">
      <c r="A995" s="6" t="s">
        <v>2560</v>
      </c>
      <c r="B995" s="6">
        <v>7364</v>
      </c>
      <c r="C995" s="6" t="s">
        <v>2561</v>
      </c>
      <c r="D995" s="7" t="s">
        <v>726</v>
      </c>
      <c r="E995" s="6" t="s">
        <v>295</v>
      </c>
      <c r="F995" s="6" t="s">
        <v>177</v>
      </c>
      <c r="G995" s="8">
        <v>45331</v>
      </c>
      <c r="H995" s="6">
        <v>13.95</v>
      </c>
      <c r="I995" s="6" cm="1">
        <f t="array" ref="I995">IFERROR(VALUE(TRIM(LEFT(E995,MIN(FIND({" ";"g";"k";"m";"o"},E995&amp;" gkmo"))-1))),0)</f>
        <v>22</v>
      </c>
      <c r="J995" s="6" t="str" cm="1">
        <f t="array" ref="J995">IFERROR(TRIM(MID(E995,MIN(FIND({" ";"g";"k";"m";"o"},E995&amp;" gkmo")),10)),"unknown")</f>
        <v>g</v>
      </c>
      <c r="K995" s="6" t="str">
        <f t="shared" si="60"/>
        <v>g</v>
      </c>
      <c r="L995" s="6" t="str">
        <f t="shared" si="61"/>
        <v>Walkers</v>
      </c>
      <c r="M995" s="6" t="str">
        <f t="shared" si="62"/>
        <v>Walkers Baked</v>
      </c>
      <c r="N995" s="6" t="str">
        <f t="shared" si="63"/>
        <v>United Kingdom</v>
      </c>
    </row>
    <row r="996" spans="1:14" x14ac:dyDescent="0.25">
      <c r="A996" s="6" t="s">
        <v>2562</v>
      </c>
      <c r="B996" s="6">
        <v>14919</v>
      </c>
      <c r="C996" s="6" t="s">
        <v>1283</v>
      </c>
      <c r="D996" s="7" t="s">
        <v>1283</v>
      </c>
      <c r="E996" s="6" t="s">
        <v>18</v>
      </c>
      <c r="F996" s="6" t="s">
        <v>48</v>
      </c>
      <c r="G996" s="8">
        <v>45592</v>
      </c>
      <c r="H996" s="6">
        <v>13.16</v>
      </c>
      <c r="I996" s="6" cm="1">
        <f t="array" ref="I996">IFERROR(VALUE(TRIM(LEFT(E996,MIN(FIND({" ";"g";"k";"m";"o"},E996&amp;" gkmo"))-1))),0)</f>
        <v>100</v>
      </c>
      <c r="J996" s="6" t="str" cm="1">
        <f t="array" ref="J996">IFERROR(TRIM(MID(E996,MIN(FIND({" ";"g";"k";"m";"o"},E996&amp;" gkmo")),10)),"unknown")</f>
        <v>g</v>
      </c>
      <c r="K996" s="6" t="str">
        <f t="shared" si="60"/>
        <v>g</v>
      </c>
      <c r="L996" s="6" t="str">
        <f t="shared" si="61"/>
        <v>Tobigo</v>
      </c>
      <c r="M996" s="6" t="str">
        <f t="shared" si="62"/>
        <v>Tobigo</v>
      </c>
      <c r="N996" s="6" t="str">
        <f t="shared" si="63"/>
        <v>Morocco</v>
      </c>
    </row>
    <row r="997" spans="1:14" x14ac:dyDescent="0.25">
      <c r="A997" s="6" t="s">
        <v>2563</v>
      </c>
      <c r="B997" s="6">
        <v>12437</v>
      </c>
      <c r="C997" s="6" t="s">
        <v>2564</v>
      </c>
      <c r="D997" s="7" t="s">
        <v>2565</v>
      </c>
      <c r="E997" s="6" t="s">
        <v>335</v>
      </c>
      <c r="F997" s="6" t="s">
        <v>8016</v>
      </c>
      <c r="G997" s="8">
        <v>45981</v>
      </c>
      <c r="H997" s="6">
        <v>21.89</v>
      </c>
      <c r="I997" s="6" cm="1">
        <f t="array" ref="I997">IFERROR(VALUE(TRIM(LEFT(E997,MIN(FIND({" ";"g";"k";"m";"o"},E997&amp;" gkmo"))-1))),0)</f>
        <v>250</v>
      </c>
      <c r="J997" s="6" t="str" cm="1">
        <f t="array" ref="J997">IFERROR(TRIM(MID(E997,MIN(FIND({" ";"g";"k";"m";"o"},E997&amp;" gkmo")),10)),"unknown")</f>
        <v>g</v>
      </c>
      <c r="K997" s="6" t="str">
        <f t="shared" si="60"/>
        <v>g</v>
      </c>
      <c r="L997" s="6" t="str">
        <f t="shared" si="61"/>
        <v>Twix, Mars</v>
      </c>
      <c r="M997" s="6" t="str">
        <f t="shared" si="62"/>
        <v>Twix 5X2</v>
      </c>
      <c r="N997" s="6" t="str">
        <f t="shared" si="63"/>
        <v>Germany, Switzerland, France</v>
      </c>
    </row>
    <row r="998" spans="1:14" x14ac:dyDescent="0.25">
      <c r="A998" s="6" t="s">
        <v>2566</v>
      </c>
      <c r="B998" s="6">
        <v>11612</v>
      </c>
      <c r="C998" s="6" t="s">
        <v>2567</v>
      </c>
      <c r="D998" s="7" t="s">
        <v>1213</v>
      </c>
      <c r="E998" s="6" t="s">
        <v>14</v>
      </c>
      <c r="F998" s="6" t="s">
        <v>7680</v>
      </c>
      <c r="G998" s="8">
        <v>45931</v>
      </c>
      <c r="H998" s="6">
        <v>10.85</v>
      </c>
      <c r="I998" s="6" cm="1">
        <f t="array" ref="I998">IFERROR(VALUE(TRIM(LEFT(E998,MIN(FIND({" ";"g";"k";"m";"o"},E998&amp;" gkmo"))-1))),0)</f>
        <v>300</v>
      </c>
      <c r="J998" s="6" t="str" cm="1">
        <f t="array" ref="J998">IFERROR(TRIM(MID(E998,MIN(FIND({" ";"g";"k";"m";"o"},E998&amp;" gkmo")),10)),"unknown")</f>
        <v>g</v>
      </c>
      <c r="K998" s="6" t="str">
        <f t="shared" si="60"/>
        <v>g</v>
      </c>
      <c r="L998" s="6" t="str">
        <f t="shared" si="61"/>
        <v>Tower Gate</v>
      </c>
      <c r="M998" s="6" t="str">
        <f t="shared" si="62"/>
        <v>Jaffa Cakes</v>
      </c>
      <c r="N998" s="6" t="str">
        <f t="shared" si="63"/>
        <v>Finlà¢Ndia,Franà§A,Alemanha,Repàºblica Da Irlanda,Estados Unidos</v>
      </c>
    </row>
    <row r="999" spans="1:14" x14ac:dyDescent="0.25">
      <c r="A999" s="6" t="s">
        <v>2568</v>
      </c>
      <c r="B999" s="6">
        <v>13664</v>
      </c>
      <c r="C999" s="6" t="s">
        <v>7681</v>
      </c>
      <c r="D999" s="7" t="s">
        <v>7017</v>
      </c>
      <c r="E999" s="6" t="s">
        <v>786</v>
      </c>
      <c r="F999" s="6" t="s">
        <v>2569</v>
      </c>
      <c r="G999" s="8">
        <v>45330</v>
      </c>
      <c r="H999" s="6">
        <v>2.56</v>
      </c>
      <c r="I999" s="6" cm="1">
        <f t="array" ref="I999">IFERROR(VALUE(TRIM(LEFT(E999,MIN(FIND({" ";"g";"k";"m";"o"},E999&amp;" gkmo"))-1))),0)</f>
        <v>130</v>
      </c>
      <c r="J999" s="6" t="str" cm="1">
        <f t="array" ref="J999">IFERROR(TRIM(MID(E999,MIN(FIND({" ";"g";"k";"m";"o"},E999&amp;" gkmo")),10)),"unknown")</f>
        <v>g</v>
      </c>
      <c r="K999" s="6" t="str">
        <f t="shared" si="60"/>
        <v>g</v>
      </c>
      <c r="L999" s="6" t="str">
        <f t="shared" si="61"/>
        <v>Unknown</v>
      </c>
      <c r="M999" s="6" t="str">
        <f t="shared" si="62"/>
        <v>Tortitas De Maà­Z</v>
      </c>
      <c r="N999" s="6" t="str">
        <f t="shared" si="63"/>
        <v>Alemanha,Portugal,Espanha</v>
      </c>
    </row>
    <row r="1000" spans="1:14" x14ac:dyDescent="0.25">
      <c r="A1000" s="6" t="s">
        <v>2570</v>
      </c>
      <c r="B1000" s="6">
        <v>8970</v>
      </c>
      <c r="C1000" s="6" t="s">
        <v>2571</v>
      </c>
      <c r="D1000" s="7" t="s">
        <v>1606</v>
      </c>
      <c r="E1000" s="6" t="s">
        <v>1487</v>
      </c>
      <c r="F1000" s="6" t="s">
        <v>8304</v>
      </c>
      <c r="G1000" s="8">
        <v>45589</v>
      </c>
      <c r="H1000" s="6">
        <v>13.16</v>
      </c>
      <c r="I1000" s="6" cm="1">
        <f t="array" ref="I1000">IFERROR(VALUE(TRIM(LEFT(E1000,MIN(FIND({" ";"g";"k";"m";"o"},E1000&amp;" gkmo"))-1))),0)</f>
        <v>320</v>
      </c>
      <c r="J1000" s="6" t="str" cm="1">
        <f t="array" ref="J1000">IFERROR(TRIM(MID(E1000,MIN(FIND({" ";"g";"k";"m";"o"},E1000&amp;" gkmo")),10)),"unknown")</f>
        <v>g</v>
      </c>
      <c r="K1000" s="6" t="str">
        <f t="shared" si="60"/>
        <v>g</v>
      </c>
      <c r="L1000" s="6" t="str">
        <f t="shared" si="61"/>
        <v>Bonduelle</v>
      </c>
      <c r="M1000" s="6" t="str">
        <f t="shared" si="62"/>
        <v>Coleslaw 320G</v>
      </c>
      <c r="N1000" s="6" t="str">
        <f t="shared" si="63"/>
        <v>France, Belgium, Luxembourg</v>
      </c>
    </row>
    <row r="1001" spans="1:14" x14ac:dyDescent="0.25">
      <c r="A1001" s="6" t="s">
        <v>2572</v>
      </c>
      <c r="B1001" s="6">
        <v>6362</v>
      </c>
      <c r="C1001" s="6" t="s">
        <v>7682</v>
      </c>
      <c r="D1001" s="7" t="s">
        <v>7030</v>
      </c>
      <c r="E1001" s="6" t="s">
        <v>528</v>
      </c>
      <c r="F1001" s="6" t="s">
        <v>7683</v>
      </c>
      <c r="G1001" s="8">
        <v>45642</v>
      </c>
      <c r="H1001" s="6">
        <v>21.36</v>
      </c>
      <c r="I1001" s="6" cm="1">
        <f t="array" ref="I1001">IFERROR(VALUE(TRIM(LEFT(E1001,MIN(FIND({" ";"g";"k";"m";"o"},E1001&amp;" gkmo"))-1))),0)</f>
        <v>200</v>
      </c>
      <c r="J1001" s="6" t="str" cm="1">
        <f t="array" ref="J1001">IFERROR(TRIM(MID(E1001,MIN(FIND({" ";"g";"k";"m";"o"},E1001&amp;" gkmo")),10)),"unknown")</f>
        <v>g</v>
      </c>
      <c r="K1001" s="6" t="str">
        <f t="shared" si="60"/>
        <v>g</v>
      </c>
      <c r="L1001" s="6" t="str">
        <f t="shared" si="61"/>
        <v>Gerblé</v>
      </c>
      <c r="M1001" s="6" t="str">
        <f t="shared" si="62"/>
        <v>Gerble - Miel Chà¢Taigne Graines De Lin</v>
      </c>
      <c r="N1001" s="6" t="str">
        <f t="shared" si="63"/>
        <v>France,Polynésie Franà§Aise,États-Unis</v>
      </c>
    </row>
    <row r="1002" spans="1:14" x14ac:dyDescent="0.25">
      <c r="A1002" s="6" t="s">
        <v>2573</v>
      </c>
      <c r="B1002" s="6">
        <v>9026</v>
      </c>
      <c r="C1002" s="6" t="s">
        <v>7017</v>
      </c>
      <c r="D1002" s="7" t="s">
        <v>488</v>
      </c>
      <c r="E1002" s="6" t="s">
        <v>39</v>
      </c>
      <c r="F1002" s="6" t="s">
        <v>8006</v>
      </c>
      <c r="G1002" s="8">
        <v>46038</v>
      </c>
      <c r="H1002" s="6">
        <v>13.16</v>
      </c>
      <c r="I1002" s="6" cm="1">
        <f t="array" ref="I1002">IFERROR(VALUE(TRIM(LEFT(E1002,MIN(FIND({" ";"g";"k";"m";"o"},E1002&amp;" gkmo"))-1))),0)</f>
        <v>150</v>
      </c>
      <c r="J1002" s="6" t="str" cm="1">
        <f t="array" ref="J1002">IFERROR(TRIM(MID(E1002,MIN(FIND({" ";"g";"k";"m";"o"},E1002&amp;" gkmo")),10)),"unknown")</f>
        <v>g</v>
      </c>
      <c r="K1002" s="6" t="str">
        <f t="shared" si="60"/>
        <v>g</v>
      </c>
      <c r="L1002" s="6" t="str">
        <f t="shared" si="61"/>
        <v>Bonne Maman</v>
      </c>
      <c r="M1002" s="6" t="str">
        <f t="shared" si="62"/>
        <v>Unknown</v>
      </c>
      <c r="N1002" s="6" t="str">
        <f t="shared" si="63"/>
        <v>Belgium, France, Switzerland, Morocco</v>
      </c>
    </row>
    <row r="1003" spans="1:14" x14ac:dyDescent="0.25">
      <c r="A1003" s="6" t="s">
        <v>2574</v>
      </c>
      <c r="B1003" s="6">
        <v>14658</v>
      </c>
      <c r="C1003" s="6" t="s">
        <v>2575</v>
      </c>
      <c r="D1003" s="7" t="s">
        <v>310</v>
      </c>
      <c r="E1003" s="6" t="s">
        <v>284</v>
      </c>
      <c r="F1003" s="6" t="s">
        <v>139</v>
      </c>
      <c r="G1003" s="8">
        <v>45369</v>
      </c>
      <c r="H1003" s="6">
        <v>1.71</v>
      </c>
      <c r="I1003" s="6" cm="1">
        <f t="array" ref="I1003">IFERROR(VALUE(TRIM(LEFT(E1003,MIN(FIND({" ";"g";"k";"m";"o"},E1003&amp;" gkmo"))-1))),0)</f>
        <v>180</v>
      </c>
      <c r="J1003" s="6" t="str" cm="1">
        <f t="array" ref="J1003">IFERROR(TRIM(MID(E1003,MIN(FIND({" ";"g";"k";"m";"o"},E1003&amp;" gkmo")),10)),"unknown")</f>
        <v>g</v>
      </c>
      <c r="K1003" s="6" t="str">
        <f t="shared" si="60"/>
        <v>g</v>
      </c>
      <c r="L1003" s="6" t="str">
        <f t="shared" si="61"/>
        <v>St Michel</v>
      </c>
      <c r="M1003" s="6" t="str">
        <f t="shared" si="62"/>
        <v>Doonuts</v>
      </c>
      <c r="N1003" s="6" t="str">
        <f t="shared" si="63"/>
        <v>France</v>
      </c>
    </row>
    <row r="1004" spans="1:14" x14ac:dyDescent="0.25">
      <c r="A1004" s="6" t="s">
        <v>2576</v>
      </c>
      <c r="B1004" s="6">
        <v>11143</v>
      </c>
      <c r="C1004" s="6" t="s">
        <v>2577</v>
      </c>
      <c r="D1004" s="7" t="s">
        <v>2578</v>
      </c>
      <c r="E1004" s="6" t="s">
        <v>653</v>
      </c>
      <c r="F1004" s="6" t="s">
        <v>8001</v>
      </c>
      <c r="G1004" s="8">
        <v>45962</v>
      </c>
      <c r="H1004" s="6">
        <v>17.93</v>
      </c>
      <c r="I1004" s="6" cm="1">
        <f t="array" ref="I1004">IFERROR(VALUE(TRIM(LEFT(E1004,MIN(FIND({" ";"g";"k";"m";"o"},E1004&amp;" gkmo"))-1))),0)</f>
        <v>310</v>
      </c>
      <c r="J1004" s="6" t="str" cm="1">
        <f t="array" ref="J1004">IFERROR(TRIM(MID(E1004,MIN(FIND({" ";"g";"k";"m";"o"},E1004&amp;" gkmo")),10)),"unknown")</f>
        <v>g</v>
      </c>
      <c r="K1004" s="6" t="str">
        <f t="shared" si="60"/>
        <v>g</v>
      </c>
      <c r="L1004" s="6" t="str">
        <f t="shared" si="61"/>
        <v>Brioche Pasquier, Pasquier</v>
      </c>
      <c r="M1004" s="6" t="str">
        <f t="shared" si="62"/>
        <v>Pitch Choco X 8</v>
      </c>
      <c r="N1004" s="6" t="str">
        <f t="shared" si="63"/>
        <v>France,France</v>
      </c>
    </row>
    <row r="1005" spans="1:14" x14ac:dyDescent="0.25">
      <c r="A1005" s="6" t="s">
        <v>2579</v>
      </c>
      <c r="B1005" s="6">
        <v>10343</v>
      </c>
      <c r="C1005" s="6" t="s">
        <v>2580</v>
      </c>
      <c r="D1005" s="7" t="s">
        <v>1105</v>
      </c>
      <c r="E1005" s="6">
        <v>400</v>
      </c>
      <c r="F1005" s="6" t="s">
        <v>139</v>
      </c>
      <c r="G1005" s="8">
        <v>45762</v>
      </c>
      <c r="H1005" s="6">
        <v>10.210000000000001</v>
      </c>
      <c r="I1005" s="6" cm="1">
        <f t="array" ref="I1005">IFERROR(VALUE(TRIM(LEFT(E1005,MIN(FIND({" ";"g";"k";"m";"o"},E1005&amp;" gkmo"))-1))),0)</f>
        <v>400</v>
      </c>
      <c r="J1005" s="6" t="str" cm="1">
        <f t="array" ref="J1005">IFERROR(TRIM(MID(E1005,MIN(FIND({" ";"g";"k";"m";"o"},E1005&amp;" gkmo")),10)),"unknown")</f>
        <v/>
      </c>
      <c r="K1005" s="6" t="str">
        <f t="shared" si="60"/>
        <v>unknown</v>
      </c>
      <c r="L1005" s="6" t="str">
        <f t="shared" si="61"/>
        <v>Vico</v>
      </c>
      <c r="M1005" s="6" t="str">
        <f t="shared" si="62"/>
        <v>Vico Extra Craquantes</v>
      </c>
      <c r="N1005" s="6" t="str">
        <f t="shared" si="63"/>
        <v>France</v>
      </c>
    </row>
    <row r="1006" spans="1:14" x14ac:dyDescent="0.25">
      <c r="A1006" s="6" t="s">
        <v>2581</v>
      </c>
      <c r="B1006" s="6">
        <v>10320</v>
      </c>
      <c r="C1006" s="6" t="s">
        <v>2582</v>
      </c>
      <c r="D1006" s="7" t="s">
        <v>854</v>
      </c>
      <c r="E1006" s="6" t="s">
        <v>855</v>
      </c>
      <c r="F1006" s="6" t="s">
        <v>8234</v>
      </c>
      <c r="G1006" s="8">
        <v>45620</v>
      </c>
      <c r="H1006" s="6">
        <v>3.51</v>
      </c>
      <c r="I1006" s="6" cm="1">
        <f t="array" ref="I1006">IFERROR(VALUE(TRIM(LEFT(E1006,MIN(FIND({" ";"g";"k";"m";"o"},E1006&amp;" gkmo"))-1))),0)</f>
        <v>80</v>
      </c>
      <c r="J1006" s="6" t="str" cm="1">
        <f t="array" ref="J1006">IFERROR(TRIM(MID(E1006,MIN(FIND({" ";"g";"k";"m";"o"},E1006&amp;" gkmo")),10)),"unknown")</f>
        <v>g</v>
      </c>
      <c r="K1006" s="6" t="str">
        <f t="shared" si="60"/>
        <v>g</v>
      </c>
      <c r="L1006" s="6" t="str">
        <f t="shared" si="61"/>
        <v>Carrefour</v>
      </c>
      <c r="M1006" s="6" t="str">
        <f t="shared" si="62"/>
        <v>90% Cacao Noir</v>
      </c>
      <c r="N1006" s="6" t="str">
        <f t="shared" si="63"/>
        <v>France, Italy, Morocco, Spain, France, Romania</v>
      </c>
    </row>
    <row r="1007" spans="1:14" x14ac:dyDescent="0.25">
      <c r="A1007" s="6" t="s">
        <v>2583</v>
      </c>
      <c r="B1007" s="6">
        <v>5832</v>
      </c>
      <c r="C1007" s="6" t="s">
        <v>2584</v>
      </c>
      <c r="D1007" s="7" t="s">
        <v>7161</v>
      </c>
      <c r="E1007" s="6"/>
      <c r="F1007" s="6" t="s">
        <v>139</v>
      </c>
      <c r="G1007" s="8">
        <v>45773</v>
      </c>
      <c r="H1007" s="6">
        <v>12.74</v>
      </c>
      <c r="I1007" s="6" cm="1">
        <f t="array" ref="I1007">IFERROR(VALUE(TRIM(LEFT(E1007,MIN(FIND({" ";"g";"k";"m";"o"},E1007&amp;" gkmo"))-1))),0)</f>
        <v>0</v>
      </c>
      <c r="J1007" s="6" t="str" cm="1">
        <f t="array" ref="J1007">IFERROR(TRIM(MID(E1007,MIN(FIND({" ";"g";"k";"m";"o"},E1007&amp;" gkmo")),10)),"unknown")</f>
        <v/>
      </c>
      <c r="K1007" s="6" t="str">
        <f t="shared" si="60"/>
        <v>unknown</v>
      </c>
      <c r="L1007" s="6" t="str">
        <f t="shared" si="61"/>
        <v>La Fournée Dorée</v>
      </c>
      <c r="M1007" s="6" t="str">
        <f t="shared" si="62"/>
        <v>Brioch'Burger</v>
      </c>
      <c r="N1007" s="6" t="str">
        <f t="shared" si="63"/>
        <v>France</v>
      </c>
    </row>
    <row r="1008" spans="1:14" x14ac:dyDescent="0.25">
      <c r="A1008" s="6" t="s">
        <v>2585</v>
      </c>
      <c r="B1008" s="6">
        <v>10855</v>
      </c>
      <c r="C1008" s="6" t="s">
        <v>2586</v>
      </c>
      <c r="D1008" s="7" t="s">
        <v>7182</v>
      </c>
      <c r="E1008" s="6" t="s">
        <v>470</v>
      </c>
      <c r="F1008" s="6" t="s">
        <v>139</v>
      </c>
      <c r="G1008" s="8">
        <v>45833</v>
      </c>
      <c r="H1008" s="6">
        <v>5.9</v>
      </c>
      <c r="I1008" s="6" cm="1">
        <f t="array" ref="I1008">IFERROR(VALUE(TRIM(LEFT(E1008,MIN(FIND({" ";"g";"k";"m";"o"},E1008&amp;" gkmo"))-1))),0)</f>
        <v>132</v>
      </c>
      <c r="J1008" s="6" t="str" cm="1">
        <f t="array" ref="J1008">IFERROR(TRIM(MID(E1008,MIN(FIND({" ";"g";"k";"m";"o"},E1008&amp;" gkmo")),10)),"unknown")</f>
        <v>g</v>
      </c>
      <c r="K1008" s="6" t="str">
        <f t="shared" si="60"/>
        <v>g</v>
      </c>
      <c r="L1008" s="6" t="str">
        <f t="shared" si="61"/>
        <v>Karelea, Léa Nature</v>
      </c>
      <c r="M1008" s="6" t="str">
        <f t="shared" si="62"/>
        <v>Biscuits Craquants Saveur Citron</v>
      </c>
      <c r="N1008" s="6" t="str">
        <f t="shared" si="63"/>
        <v>France</v>
      </c>
    </row>
    <row r="1009" spans="1:14" x14ac:dyDescent="0.25">
      <c r="A1009" s="6" t="s">
        <v>2587</v>
      </c>
      <c r="B1009" s="6">
        <v>14743</v>
      </c>
      <c r="C1009" s="6" t="s">
        <v>2588</v>
      </c>
      <c r="D1009" s="7" t="s">
        <v>2589</v>
      </c>
      <c r="E1009" s="6" t="s">
        <v>2590</v>
      </c>
      <c r="F1009" s="6" t="s">
        <v>8017</v>
      </c>
      <c r="G1009" s="8">
        <v>45536</v>
      </c>
      <c r="H1009" s="6">
        <v>13.16</v>
      </c>
      <c r="I1009" s="6" cm="1">
        <f t="array" ref="I1009">IFERROR(VALUE(TRIM(LEFT(E1009,MIN(FIND({" ";"g";"k";"m";"o"},E1009&amp;" gkmo"))-1))),0)</f>
        <v>5</v>
      </c>
      <c r="J1009" s="6" t="str" cm="1">
        <f t="array" ref="J1009">IFERROR(TRIM(MID(E1009,MIN(FIND({" ";"g";"k";"m";"o"},E1009&amp;" gkmo")),10)),"unknown")</f>
        <v>x 20 g</v>
      </c>
      <c r="K1009" s="6" t="str">
        <f t="shared" si="60"/>
        <v>g</v>
      </c>
      <c r="L1009" s="6" t="str">
        <f t="shared" si="61"/>
        <v>Bear, Bear Nibbles</v>
      </c>
      <c r="M1009" s="6" t="str">
        <f t="shared" si="62"/>
        <v>Yoyos Raspberry Multipack 5 X</v>
      </c>
      <c r="N1009" s="6" t="str">
        <f t="shared" si="63"/>
        <v>Czech Republic, France, Ireland, United-Kingdom</v>
      </c>
    </row>
    <row r="1010" spans="1:14" x14ac:dyDescent="0.25">
      <c r="A1010" s="6" t="s">
        <v>2591</v>
      </c>
      <c r="B1010" s="6">
        <v>11993</v>
      </c>
      <c r="C1010" s="6" t="s">
        <v>2592</v>
      </c>
      <c r="D1010" s="7" t="s">
        <v>7183</v>
      </c>
      <c r="E1010" s="6" t="s">
        <v>649</v>
      </c>
      <c r="F1010" s="6" t="s">
        <v>7919</v>
      </c>
      <c r="G1010" s="8">
        <v>45538</v>
      </c>
      <c r="H1010" s="6">
        <v>6.96</v>
      </c>
      <c r="I1010" s="6" cm="1">
        <f t="array" ref="I1010">IFERROR(VALUE(TRIM(LEFT(E1010,MIN(FIND({" ";"g";"k";"m";"o"},E1010&amp;" gkmo"))-1))),0)</f>
        <v>35</v>
      </c>
      <c r="J1010" s="6" t="str" cm="1">
        <f t="array" ref="J1010">IFERROR(TRIM(MID(E1010,MIN(FIND({" ";"g";"k";"m";"o"},E1010&amp;" gkmo")),10)),"unknown")</f>
        <v>g</v>
      </c>
      <c r="K1010" s="6" t="str">
        <f t="shared" si="60"/>
        <v>g</v>
      </c>
      <c r="L1010" s="6" t="str">
        <f t="shared" si="61"/>
        <v>Santé</v>
      </c>
      <c r="M1010" s="6" t="str">
        <f t="shared" si="62"/>
        <v>Crunchy Nut &amp; Almond</v>
      </c>
      <c r="N1010" s="6" t="str">
        <f t="shared" si="63"/>
        <v>France, Morocco</v>
      </c>
    </row>
    <row r="1011" spans="1:14" x14ac:dyDescent="0.25">
      <c r="A1011" s="6" t="s">
        <v>2593</v>
      </c>
      <c r="B1011" s="6">
        <v>8097</v>
      </c>
      <c r="C1011" s="6" t="s">
        <v>7684</v>
      </c>
      <c r="D1011" s="7" t="s">
        <v>2594</v>
      </c>
      <c r="E1011" s="6" t="s">
        <v>946</v>
      </c>
      <c r="F1011" s="6" t="s">
        <v>139</v>
      </c>
      <c r="G1011" s="8">
        <v>45698</v>
      </c>
      <c r="H1011" s="6">
        <v>13.16</v>
      </c>
      <c r="I1011" s="6" cm="1">
        <f t="array" ref="I1011">IFERROR(VALUE(TRIM(LEFT(E1011,MIN(FIND({" ";"g";"k";"m";"o"},E1011&amp;" gkmo"))-1))),0)</f>
        <v>138</v>
      </c>
      <c r="J1011" s="6" t="str" cm="1">
        <f t="array" ref="J1011">IFERROR(TRIM(MID(E1011,MIN(FIND({" ";"g";"k";"m";"o"},E1011&amp;" gkmo")),10)),"unknown")</f>
        <v>g</v>
      </c>
      <c r="K1011" s="6" t="str">
        <f t="shared" si="60"/>
        <v>g</v>
      </c>
      <c r="L1011" s="6" t="str">
        <f t="shared" si="61"/>
        <v>Belin</v>
      </c>
      <c r="M1011" s="6" t="str">
        <f t="shared" si="62"/>
        <v>Croustilles Goà»T Emmental</v>
      </c>
      <c r="N1011" s="6" t="str">
        <f t="shared" si="63"/>
        <v>France</v>
      </c>
    </row>
    <row r="1012" spans="1:14" x14ac:dyDescent="0.25">
      <c r="A1012" s="6" t="s">
        <v>2595</v>
      </c>
      <c r="B1012" s="6">
        <v>7559</v>
      </c>
      <c r="C1012" s="6" t="s">
        <v>2596</v>
      </c>
      <c r="D1012" s="7" t="s">
        <v>7685</v>
      </c>
      <c r="E1012" s="6" t="s">
        <v>284</v>
      </c>
      <c r="F1012" s="6" t="s">
        <v>2597</v>
      </c>
      <c r="G1012" s="8">
        <v>45750</v>
      </c>
      <c r="H1012" s="6">
        <v>13.16</v>
      </c>
      <c r="I1012" s="6" cm="1">
        <f t="array" ref="I1012">IFERROR(VALUE(TRIM(LEFT(E1012,MIN(FIND({" ";"g";"k";"m";"o"},E1012&amp;" gkmo"))-1))),0)</f>
        <v>180</v>
      </c>
      <c r="J1012" s="6" t="str" cm="1">
        <f t="array" ref="J1012">IFERROR(TRIM(MID(E1012,MIN(FIND({" ";"g";"k";"m";"o"},E1012&amp;" gkmo")),10)),"unknown")</f>
        <v>g</v>
      </c>
      <c r="K1012" s="6" t="str">
        <f t="shared" si="60"/>
        <v>g</v>
      </c>
      <c r="L1012" s="6" t="str">
        <f t="shared" si="61"/>
        <v>Cà´Te D'Or,Mondelez</v>
      </c>
      <c r="M1012" s="6" t="str">
        <f t="shared" si="62"/>
        <v>Lait Amandes</v>
      </c>
      <c r="N1012" s="6" t="str">
        <f t="shared" si="63"/>
        <v>Belgium,France,Morocco</v>
      </c>
    </row>
    <row r="1013" spans="1:14" x14ac:dyDescent="0.25">
      <c r="A1013" s="6" t="s">
        <v>2598</v>
      </c>
      <c r="B1013" s="6">
        <v>7886</v>
      </c>
      <c r="C1013" s="6" t="s">
        <v>7686</v>
      </c>
      <c r="D1013" s="7" t="s">
        <v>2398</v>
      </c>
      <c r="E1013" s="6" t="s">
        <v>14</v>
      </c>
      <c r="F1013" s="6" t="s">
        <v>2545</v>
      </c>
      <c r="G1013" s="8">
        <v>45785</v>
      </c>
      <c r="H1013" s="6">
        <v>13.16</v>
      </c>
      <c r="I1013" s="6" cm="1">
        <f t="array" ref="I1013">IFERROR(VALUE(TRIM(LEFT(E1013,MIN(FIND({" ";"g";"k";"m";"o"},E1013&amp;" gkmo"))-1))),0)</f>
        <v>300</v>
      </c>
      <c r="J1013" s="6" t="str" cm="1">
        <f t="array" ref="J1013">IFERROR(TRIM(MID(E1013,MIN(FIND({" ";"g";"k";"m";"o"},E1013&amp;" gkmo")),10)),"unknown")</f>
        <v>g</v>
      </c>
      <c r="K1013" s="6" t="str">
        <f t="shared" si="60"/>
        <v>g</v>
      </c>
      <c r="L1013" s="6" t="str">
        <f t="shared" si="61"/>
        <v>Galbusera</v>
      </c>
      <c r="M1013" s="6" t="str">
        <f t="shared" si="62"/>
        <v>Buonicosà¬</v>
      </c>
      <c r="N1013" s="6" t="str">
        <f t="shared" si="63"/>
        <v>France,Italy</v>
      </c>
    </row>
    <row r="1014" spans="1:14" x14ac:dyDescent="0.25">
      <c r="A1014" s="6" t="s">
        <v>2599</v>
      </c>
      <c r="B1014" s="6">
        <v>7384</v>
      </c>
      <c r="C1014" s="6" t="s">
        <v>2600</v>
      </c>
      <c r="D1014" s="7" t="s">
        <v>2601</v>
      </c>
      <c r="E1014" s="6" t="s">
        <v>2602</v>
      </c>
      <c r="F1014" s="6" t="s">
        <v>8018</v>
      </c>
      <c r="G1014" s="8">
        <v>45696</v>
      </c>
      <c r="H1014" s="6">
        <v>6.81</v>
      </c>
      <c r="I1014" s="6" cm="1">
        <f t="array" ref="I1014">IFERROR(VALUE(TRIM(LEFT(E1014,MIN(FIND({" ";"g";"k";"m";"o"},E1014&amp;" gkmo"))-1))),0)</f>
        <v>411</v>
      </c>
      <c r="J1014" s="6" t="str" cm="1">
        <f t="array" ref="J1014">IFERROR(TRIM(MID(E1014,MIN(FIND({" ";"g";"k";"m";"o"},E1014&amp;" gkmo")),10)),"unknown")</f>
        <v>g</v>
      </c>
      <c r="K1014" s="6" t="str">
        <f t="shared" si="60"/>
        <v>g</v>
      </c>
      <c r="L1014" s="6" t="str">
        <f t="shared" si="61"/>
        <v>Artiach,Mondelez</v>
      </c>
      <c r="M1014" s="6" t="str">
        <f t="shared" si="62"/>
        <v>Dinosaurus</v>
      </c>
      <c r="N1014" s="6" t="str">
        <f t="shared" si="63"/>
        <v>Spain, France</v>
      </c>
    </row>
    <row r="1015" spans="1:14" x14ac:dyDescent="0.25">
      <c r="A1015" s="6" t="s">
        <v>2603</v>
      </c>
      <c r="B1015" s="6">
        <v>5153</v>
      </c>
      <c r="C1015" s="6" t="s">
        <v>2604</v>
      </c>
      <c r="D1015" s="7" t="s">
        <v>7578</v>
      </c>
      <c r="E1015" s="6" t="s">
        <v>2605</v>
      </c>
      <c r="F1015" s="6" t="s">
        <v>8019</v>
      </c>
      <c r="G1015" s="8">
        <v>45675</v>
      </c>
      <c r="H1015" s="6">
        <v>5.86</v>
      </c>
      <c r="I1015" s="6" cm="1">
        <f t="array" ref="I1015">IFERROR(VALUE(TRIM(LEFT(E1015,MIN(FIND({" ";"g";"k";"m";"o"},E1015&amp;" gkmo"))-1))),0)</f>
        <v>220</v>
      </c>
      <c r="J1015" s="6" t="str" cm="1">
        <f t="array" ref="J1015">IFERROR(TRIM(MID(E1015,MIN(FIND({" ";"g";"k";"m";"o"},E1015&amp;" gkmo")),10)),"unknown")</f>
        <v>g</v>
      </c>
      <c r="K1015" s="6" t="str">
        <f t="shared" si="60"/>
        <v>g</v>
      </c>
      <c r="L1015" s="6" t="str">
        <f t="shared" si="61"/>
        <v>Gullà³N</v>
      </c>
      <c r="M1015" s="6" t="str">
        <f t="shared" si="62"/>
        <v>Cuore Di Cereale. Biscotti Di Avena Con Frutti Rossi</v>
      </c>
      <c r="N1015" s="6" t="str">
        <f t="shared" si="63"/>
        <v>France, Italy, Spain, Morocco</v>
      </c>
    </row>
    <row r="1016" spans="1:14" x14ac:dyDescent="0.25">
      <c r="A1016" s="6" t="s">
        <v>2606</v>
      </c>
      <c r="B1016" s="6">
        <v>6583</v>
      </c>
      <c r="C1016" s="6" t="s">
        <v>7184</v>
      </c>
      <c r="D1016" s="7" t="s">
        <v>173</v>
      </c>
      <c r="E1016" s="6" t="s">
        <v>2607</v>
      </c>
      <c r="F1016" s="6" t="s">
        <v>2608</v>
      </c>
      <c r="G1016" s="8">
        <v>45334</v>
      </c>
      <c r="H1016" s="6">
        <v>24.49</v>
      </c>
      <c r="I1016" s="6" cm="1">
        <f t="array" ref="I1016">IFERROR(VALUE(TRIM(LEFT(E1016,MIN(FIND({" ";"g";"k";"m";"o"},E1016&amp;" gkmo"))-1))),0)</f>
        <v>204</v>
      </c>
      <c r="J1016" s="6" t="str" cm="1">
        <f t="array" ref="J1016">IFERROR(TRIM(MID(E1016,MIN(FIND({" ";"g";"k";"m";"o"},E1016&amp;" gkmo")),10)),"unknown")</f>
        <v>g</v>
      </c>
      <c r="K1016" s="6" t="str">
        <f t="shared" si="60"/>
        <v>g</v>
      </c>
      <c r="L1016" s="6" t="str">
        <f t="shared" si="61"/>
        <v>Kinder</v>
      </c>
      <c r="M1016" s="6" t="str">
        <f t="shared" si="62"/>
        <v>Cerealé</v>
      </c>
      <c r="N1016" s="6" t="str">
        <f t="shared" si="63"/>
        <v>Austria,France,Germany,Italy</v>
      </c>
    </row>
    <row r="1017" spans="1:14" x14ac:dyDescent="0.25">
      <c r="A1017" s="6" t="s">
        <v>2609</v>
      </c>
      <c r="B1017" s="6">
        <v>6005</v>
      </c>
      <c r="C1017" s="6" t="s">
        <v>299</v>
      </c>
      <c r="D1017" s="7" t="s">
        <v>2610</v>
      </c>
      <c r="E1017" s="6" t="s">
        <v>2611</v>
      </c>
      <c r="F1017" s="6" t="s">
        <v>2612</v>
      </c>
      <c r="G1017" s="8">
        <v>45400</v>
      </c>
      <c r="H1017" s="6">
        <v>16.03</v>
      </c>
      <c r="I1017" s="6" cm="1">
        <f t="array" ref="I1017">IFERROR(VALUE(TRIM(LEFT(E1017,MIN(FIND({" ";"g";"k";"m";"o"},E1017&amp;" gkmo"))-1))),0)</f>
        <v>432</v>
      </c>
      <c r="J1017" s="6" t="str" cm="1">
        <f t="array" ref="J1017">IFERROR(TRIM(MID(E1017,MIN(FIND({" ";"g";"k";"m";"o"},E1017&amp;" gkmo")),10)),"unknown")</f>
        <v>g</v>
      </c>
      <c r="K1017" s="6" t="str">
        <f t="shared" si="60"/>
        <v>g</v>
      </c>
      <c r="L1017" s="6" t="str">
        <f t="shared" si="61"/>
        <v>Stockwell</v>
      </c>
      <c r="M1017" s="6" t="str">
        <f t="shared" si="62"/>
        <v>Wheat Biscuits</v>
      </c>
      <c r="N1017" s="6" t="str">
        <f t="shared" si="63"/>
        <v>Germany,Ireland,United Kingdom</v>
      </c>
    </row>
    <row r="1018" spans="1:14" x14ac:dyDescent="0.25">
      <c r="A1018" s="6" t="s">
        <v>2613</v>
      </c>
      <c r="B1018" s="6">
        <v>13415</v>
      </c>
      <c r="C1018" s="6" t="s">
        <v>2614</v>
      </c>
      <c r="D1018" s="7" t="s">
        <v>2615</v>
      </c>
      <c r="E1018" s="6" t="s">
        <v>39</v>
      </c>
      <c r="F1018" s="6" t="s">
        <v>553</v>
      </c>
      <c r="G1018" s="8">
        <v>45537</v>
      </c>
      <c r="H1018" s="6">
        <v>13.16</v>
      </c>
      <c r="I1018" s="6" cm="1">
        <f t="array" ref="I1018">IFERROR(VALUE(TRIM(LEFT(E1018,MIN(FIND({" ";"g";"k";"m";"o"},E1018&amp;" gkmo"))-1))),0)</f>
        <v>150</v>
      </c>
      <c r="J1018" s="6" t="str" cm="1">
        <f t="array" ref="J1018">IFERROR(TRIM(MID(E1018,MIN(FIND({" ";"g";"k";"m";"o"},E1018&amp;" gkmo")),10)),"unknown")</f>
        <v>g</v>
      </c>
      <c r="K1018" s="6" t="str">
        <f t="shared" si="60"/>
        <v>g</v>
      </c>
      <c r="L1018" s="6" t="str">
        <f t="shared" si="61"/>
        <v>Aldi,Specially Selected</v>
      </c>
      <c r="M1018" s="6" t="str">
        <f t="shared" si="62"/>
        <v>Hand Cooked Crisps</v>
      </c>
      <c r="N1018" s="6" t="str">
        <f t="shared" si="63"/>
        <v>United Kingdom,Ireland</v>
      </c>
    </row>
    <row r="1019" spans="1:14" x14ac:dyDescent="0.25">
      <c r="A1019" s="6" t="s">
        <v>2616</v>
      </c>
      <c r="B1019" s="6">
        <v>14641</v>
      </c>
      <c r="C1019" s="6" t="s">
        <v>7185</v>
      </c>
      <c r="D1019" s="7" t="s">
        <v>7186</v>
      </c>
      <c r="E1019" s="6" t="s">
        <v>39</v>
      </c>
      <c r="F1019" s="6" t="s">
        <v>139</v>
      </c>
      <c r="G1019" s="8">
        <v>45736</v>
      </c>
      <c r="H1019" s="6">
        <v>10.43</v>
      </c>
      <c r="I1019" s="6" cm="1">
        <f t="array" ref="I1019">IFERROR(VALUE(TRIM(LEFT(E1019,MIN(FIND({" ";"g";"k";"m";"o"},E1019&amp;" gkmo"))-1))),0)</f>
        <v>150</v>
      </c>
      <c r="J1019" s="6" t="str" cm="1">
        <f t="array" ref="J1019">IFERROR(TRIM(MID(E1019,MIN(FIND({" ";"g";"k";"m";"o"},E1019&amp;" gkmo")),10)),"unknown")</f>
        <v>g</v>
      </c>
      <c r="K1019" s="6" t="str">
        <f t="shared" si="60"/>
        <v>g</v>
      </c>
      <c r="L1019" s="6" t="str">
        <f t="shared" si="61"/>
        <v>Karéléa, Léa Nature</v>
      </c>
      <c r="M1019" s="6" t="str">
        <f t="shared" si="62"/>
        <v>Karéléa Épautre Noisette</v>
      </c>
      <c r="N1019" s="6" t="str">
        <f t="shared" si="63"/>
        <v>France</v>
      </c>
    </row>
    <row r="1020" spans="1:14" x14ac:dyDescent="0.25">
      <c r="A1020" s="6" t="s">
        <v>2617</v>
      </c>
      <c r="B1020" s="6">
        <v>7948</v>
      </c>
      <c r="C1020" s="6" t="s">
        <v>2618</v>
      </c>
      <c r="D1020" s="7" t="s">
        <v>7155</v>
      </c>
      <c r="E1020" s="6" t="s">
        <v>772</v>
      </c>
      <c r="F1020" s="6" t="s">
        <v>139</v>
      </c>
      <c r="G1020" s="8">
        <v>45800</v>
      </c>
      <c r="H1020" s="6">
        <v>9.19</v>
      </c>
      <c r="I1020" s="6" cm="1">
        <f t="array" ref="I1020">IFERROR(VALUE(TRIM(LEFT(E1020,MIN(FIND({" ";"g";"k";"m";"o"},E1020&amp;" gkmo"))-1))),0)</f>
        <v>132</v>
      </c>
      <c r="J1020" s="6" t="str" cm="1">
        <f t="array" ref="J1020">IFERROR(TRIM(MID(E1020,MIN(FIND({" ";"g";"k";"m";"o"},E1020&amp;" gkmo")),10)),"unknown")</f>
        <v>g</v>
      </c>
      <c r="K1020" s="6" t="str">
        <f t="shared" si="60"/>
        <v>g</v>
      </c>
      <c r="L1020" s="6" t="str">
        <f t="shared" si="61"/>
        <v>Gerblé, Gerblé Bio</v>
      </c>
      <c r="M1020" s="6" t="str">
        <f t="shared" si="62"/>
        <v>Gerble - Organic Chocolate Cookie Flavored W/ Banana, 132G (4.7Oz)</v>
      </c>
      <c r="N1020" s="6" t="str">
        <f t="shared" si="63"/>
        <v>France</v>
      </c>
    </row>
    <row r="1021" spans="1:14" x14ac:dyDescent="0.25">
      <c r="A1021" s="6" t="s">
        <v>2619</v>
      </c>
      <c r="B1021" s="6">
        <v>11300</v>
      </c>
      <c r="C1021" s="6" t="s">
        <v>7187</v>
      </c>
      <c r="D1021" s="7" t="s">
        <v>646</v>
      </c>
      <c r="E1021" s="6" t="s">
        <v>2620</v>
      </c>
      <c r="F1021" s="6" t="s">
        <v>8283</v>
      </c>
      <c r="G1021" s="8">
        <v>46055</v>
      </c>
      <c r="H1021" s="6">
        <v>10.23</v>
      </c>
      <c r="I1021" s="6" cm="1">
        <f t="array" ref="I1021">IFERROR(VALUE(TRIM(LEFT(E1021,MIN(FIND({" ";"g";"k";"m";"o"},E1021&amp;" gkmo"))-1))),0)</f>
        <v>100</v>
      </c>
      <c r="J1021" s="6" t="str" cm="1">
        <f t="array" ref="J1021">IFERROR(TRIM(MID(E1021,MIN(FIND({" ";"g";"k";"m";"o"},E1021&amp;" gkmo")),10)),"unknown")</f>
        <v>g (4 x 25</v>
      </c>
      <c r="K1021" s="6" t="str">
        <f t="shared" si="60"/>
        <v>g</v>
      </c>
      <c r="L1021" s="6" t="str">
        <f t="shared" si="61"/>
        <v>Carrefour Bio, Carrefour</v>
      </c>
      <c r="M1021" s="6" t="str">
        <f t="shared" si="62"/>
        <v>Barres Céréales Graines Et Amandes</v>
      </c>
      <c r="N1021" s="6" t="str">
        <f t="shared" si="63"/>
        <v>France, Italie, Spain</v>
      </c>
    </row>
    <row r="1022" spans="1:14" x14ac:dyDescent="0.25">
      <c r="A1022" s="6" t="s">
        <v>2621</v>
      </c>
      <c r="B1022" s="6">
        <v>6072</v>
      </c>
      <c r="C1022" s="6" t="s">
        <v>2622</v>
      </c>
      <c r="D1022" s="7" t="s">
        <v>1703</v>
      </c>
      <c r="E1022" s="6" t="s">
        <v>1312</v>
      </c>
      <c r="F1022" s="6" t="s">
        <v>139</v>
      </c>
      <c r="G1022" s="8">
        <v>45367</v>
      </c>
      <c r="H1022" s="6">
        <v>22.28</v>
      </c>
      <c r="I1022" s="6" cm="1">
        <f t="array" ref="I1022">IFERROR(VALUE(TRIM(LEFT(E1022,MIN(FIND({" ";"g";"k";"m";"o"},E1022&amp;" gkmo"))-1))),0)</f>
        <v>50</v>
      </c>
      <c r="J1022" s="6" t="str" cm="1">
        <f t="array" ref="J1022">IFERROR(TRIM(MID(E1022,MIN(FIND({" ";"g";"k";"m";"o"},E1022&amp;" gkmo")),10)),"unknown")</f>
        <v>g</v>
      </c>
      <c r="K1022" s="6" t="str">
        <f t="shared" si="60"/>
        <v>g</v>
      </c>
      <c r="L1022" s="6" t="str">
        <f t="shared" si="61"/>
        <v>Ricola</v>
      </c>
      <c r="M1022" s="6" t="str">
        <f t="shared" si="62"/>
        <v>Ricola Eucalyptus</v>
      </c>
      <c r="N1022" s="6" t="str">
        <f t="shared" si="63"/>
        <v>France</v>
      </c>
    </row>
    <row r="1023" spans="1:14" x14ac:dyDescent="0.25">
      <c r="A1023" s="6" t="s">
        <v>2623</v>
      </c>
      <c r="B1023" s="6">
        <v>5612</v>
      </c>
      <c r="C1023" s="6" t="s">
        <v>2624</v>
      </c>
      <c r="D1023" s="7" t="s">
        <v>7017</v>
      </c>
      <c r="E1023" s="6" t="s">
        <v>415</v>
      </c>
      <c r="F1023" s="6" t="s">
        <v>8020</v>
      </c>
      <c r="G1023" s="8">
        <v>45547</v>
      </c>
      <c r="H1023" s="6">
        <v>17.22</v>
      </c>
      <c r="I1023" s="6" cm="1">
        <f t="array" ref="I1023">IFERROR(VALUE(TRIM(LEFT(E1023,MIN(FIND({" ";"g";"k";"m";"o"},E1023&amp;" gkmo"))-1))),0)</f>
        <v>185</v>
      </c>
      <c r="J1023" s="6" t="str" cm="1">
        <f t="array" ref="J1023">IFERROR(TRIM(MID(E1023,MIN(FIND({" ";"g";"k";"m";"o"},E1023&amp;" gkmo")),10)),"unknown")</f>
        <v>g</v>
      </c>
      <c r="K1023" s="6" t="str">
        <f t="shared" si="60"/>
        <v>g</v>
      </c>
      <c r="L1023" s="6" t="str">
        <f t="shared" si="61"/>
        <v>Unknown</v>
      </c>
      <c r="M1023" s="6" t="str">
        <f t="shared" si="62"/>
        <v>Texas Bbq Sauce</v>
      </c>
      <c r="N1023" s="6" t="str">
        <f t="shared" si="63"/>
        <v>Germany, United-Kingdom</v>
      </c>
    </row>
    <row r="1024" spans="1:14" x14ac:dyDescent="0.25">
      <c r="A1024" s="6" t="s">
        <v>2625</v>
      </c>
      <c r="B1024" s="6">
        <v>7027</v>
      </c>
      <c r="C1024" s="6" t="s">
        <v>7687</v>
      </c>
      <c r="D1024" s="7" t="s">
        <v>72</v>
      </c>
      <c r="E1024" s="6"/>
      <c r="F1024" s="6" t="s">
        <v>139</v>
      </c>
      <c r="G1024" s="8">
        <v>45875</v>
      </c>
      <c r="H1024" s="6">
        <v>13.16</v>
      </c>
      <c r="I1024" s="6" cm="1">
        <f t="array" ref="I1024">IFERROR(VALUE(TRIM(LEFT(E1024,MIN(FIND({" ";"g";"k";"m";"o"},E1024&amp;" gkmo"))-1))),0)</f>
        <v>0</v>
      </c>
      <c r="J1024" s="6" t="str" cm="1">
        <f t="array" ref="J1024">IFERROR(TRIM(MID(E1024,MIN(FIND({" ";"g";"k";"m";"o"},E1024&amp;" gkmo")),10)),"unknown")</f>
        <v/>
      </c>
      <c r="K1024" s="6" t="str">
        <f t="shared" si="60"/>
        <v>unknown</v>
      </c>
      <c r="L1024" s="6" t="str">
        <f t="shared" si="61"/>
        <v>Bjorg</v>
      </c>
      <c r="M1024" s="6" t="str">
        <f t="shared" si="62"/>
        <v>Biscuits Fourrés À  L'Amande</v>
      </c>
      <c r="N1024" s="6" t="str">
        <f t="shared" si="63"/>
        <v>France</v>
      </c>
    </row>
    <row r="1025" spans="1:14" x14ac:dyDescent="0.25">
      <c r="A1025" s="6" t="s">
        <v>2626</v>
      </c>
      <c r="B1025" s="6">
        <v>6583</v>
      </c>
      <c r="C1025" s="6" t="s">
        <v>2627</v>
      </c>
      <c r="D1025" s="7" t="s">
        <v>624</v>
      </c>
      <c r="E1025" s="6" t="s">
        <v>28</v>
      </c>
      <c r="F1025" s="6" t="s">
        <v>2628</v>
      </c>
      <c r="G1025" s="8">
        <v>45435</v>
      </c>
      <c r="H1025" s="6">
        <v>12.78</v>
      </c>
      <c r="I1025" s="6" cm="1">
        <f t="array" ref="I1025">IFERROR(VALUE(TRIM(LEFT(E1025,MIN(FIND({" ";"g";"k";"m";"o"},E1025&amp;" gkmo"))-1))),0)</f>
        <v>125</v>
      </c>
      <c r="J1025" s="6" t="str" cm="1">
        <f t="array" ref="J1025">IFERROR(TRIM(MID(E1025,MIN(FIND({" ";"g";"k";"m";"o"},E1025&amp;" gkmo")),10)),"unknown")</f>
        <v>g</v>
      </c>
      <c r="K1025" s="6" t="str">
        <f t="shared" si="60"/>
        <v>g</v>
      </c>
      <c r="L1025" s="6" t="str">
        <f t="shared" si="61"/>
        <v>Brets</v>
      </c>
      <c r="M1025" s="6" t="str">
        <f t="shared" si="62"/>
        <v>Chips Saveur Tartiflette</v>
      </c>
      <c r="N1025" s="6" t="str">
        <f t="shared" si="63"/>
        <v>Francuska,Hrvatska</v>
      </c>
    </row>
    <row r="1026" spans="1:14" x14ac:dyDescent="0.25">
      <c r="A1026" s="6" t="s">
        <v>2629</v>
      </c>
      <c r="B1026" s="6">
        <v>13332</v>
      </c>
      <c r="C1026" s="6" t="s">
        <v>2630</v>
      </c>
      <c r="D1026" s="7" t="s">
        <v>1105</v>
      </c>
      <c r="E1026" s="6" t="s">
        <v>84</v>
      </c>
      <c r="F1026" s="6" t="s">
        <v>139</v>
      </c>
      <c r="G1026" s="8">
        <v>45754</v>
      </c>
      <c r="H1026" s="6">
        <v>15.36</v>
      </c>
      <c r="I1026" s="6" cm="1">
        <f t="array" ref="I1026">IFERROR(VALUE(TRIM(LEFT(E1026,MIN(FIND({" ";"g";"k";"m";"o"},E1026&amp;" gkmo"))-1))),0)</f>
        <v>85</v>
      </c>
      <c r="J1026" s="6" t="str" cm="1">
        <f t="array" ref="J1026">IFERROR(TRIM(MID(E1026,MIN(FIND({" ";"g";"k";"m";"o"},E1026&amp;" gkmo")),10)),"unknown")</f>
        <v>g</v>
      </c>
      <c r="K1026" s="6" t="str">
        <f t="shared" si="60"/>
        <v>g</v>
      </c>
      <c r="L1026" s="6" t="str">
        <f t="shared" si="61"/>
        <v>Vico</v>
      </c>
      <c r="M1026" s="6" t="str">
        <f t="shared" si="62"/>
        <v>Chips De Lentilles Saveur Paprika</v>
      </c>
      <c r="N1026" s="6" t="str">
        <f t="shared" si="63"/>
        <v>France</v>
      </c>
    </row>
    <row r="1027" spans="1:14" x14ac:dyDescent="0.25">
      <c r="A1027" s="6" t="s">
        <v>2631</v>
      </c>
      <c r="B1027" s="6">
        <v>9602</v>
      </c>
      <c r="C1027" s="6" t="s">
        <v>2632</v>
      </c>
      <c r="D1027" s="7" t="s">
        <v>452</v>
      </c>
      <c r="E1027" s="6" t="s">
        <v>2633</v>
      </c>
      <c r="F1027" s="6" t="s">
        <v>7573</v>
      </c>
      <c r="G1027" s="8">
        <v>45594</v>
      </c>
      <c r="H1027" s="6">
        <v>8.8000000000000007</v>
      </c>
      <c r="I1027" s="6" cm="1">
        <f t="array" ref="I1027">IFERROR(VALUE(TRIM(LEFT(E1027,MIN(FIND({" ";"g";"k";"m";"o"},E1027&amp;" gkmo"))-1))),0)</f>
        <v>120</v>
      </c>
      <c r="J1027" s="6" t="str" cm="1">
        <f t="array" ref="J1027">IFERROR(TRIM(MID(E1027,MIN(FIND({" ";"g";"k";"m";"o"},E1027&amp;" gkmo")),10)),"unknown")</f>
        <v>g (6 x 20</v>
      </c>
      <c r="K1027" s="6" t="str">
        <f t="shared" ref="K1027:K1090" si="64">IF(E1027="","unknown",IF(OR(J1027="g",LEFT(J1027,1)="g"),"g",IF(OR(LEFT(J1027,2)="kg",LEFT(J1027,2)="ki"),"kg",IF(OR(LEFT(J1027,2)="ml",LEFT(J1027,1)="m"),"ml",IF(LEFT(J1027,1)="l","l",IF(ISNUMBER(SEARCH("g",E1027)),"g",IF(ISNUMBER(SEARCH("kg",E1027)),"kg",IF(ISNUMBER(SEARCH("ml",E1027)),"ml","unknown"))))))))</f>
        <v>g</v>
      </c>
      <c r="L1027" s="6" t="str">
        <f t="shared" ref="L1027:L1090" si="65">IF(D1027="","Unknown",PROPER(TRIM(D1027)))</f>
        <v>Hacendado</v>
      </c>
      <c r="M1027" s="6" t="str">
        <f t="shared" ref="M1027:M1090" si="66">IF(C1027="Unknown","Unknown",PROPER(TRIM(C1027)))</f>
        <v>Barritas De Cereales Mango</v>
      </c>
      <c r="N1027" s="6" t="str">
        <f t="shared" ref="N1027:N1090" si="67">IF(F1027="","Unknown",PROPER(TRIM(F1027)))</f>
        <v>Portugal,Espaà±A</v>
      </c>
    </row>
    <row r="1028" spans="1:14" x14ac:dyDescent="0.25">
      <c r="A1028" s="6" t="s">
        <v>2634</v>
      </c>
      <c r="B1028" s="6">
        <v>9769</v>
      </c>
      <c r="C1028" s="6" t="s">
        <v>2635</v>
      </c>
      <c r="D1028" s="7" t="s">
        <v>2636</v>
      </c>
      <c r="E1028" s="6" t="s">
        <v>156</v>
      </c>
      <c r="F1028" s="6" t="s">
        <v>139</v>
      </c>
      <c r="G1028" s="8">
        <v>45905</v>
      </c>
      <c r="H1028" s="6">
        <v>11.96</v>
      </c>
      <c r="I1028" s="6" cm="1">
        <f t="array" ref="I1028">IFERROR(VALUE(TRIM(LEFT(E1028,MIN(FIND({" ";"g";"k";"m";"o"},E1028&amp;" gkmo"))-1))),0)</f>
        <v>500</v>
      </c>
      <c r="J1028" s="6" t="str" cm="1">
        <f t="array" ref="J1028">IFERROR(TRIM(MID(E1028,MIN(FIND({" ";"g";"k";"m";"o"},E1028&amp;" gkmo")),10)),"unknown")</f>
        <v>g</v>
      </c>
      <c r="K1028" s="6" t="str">
        <f t="shared" si="64"/>
        <v>g</v>
      </c>
      <c r="L1028" s="6" t="str">
        <f t="shared" si="65"/>
        <v>Saladinettes</v>
      </c>
      <c r="M1028" s="6" t="str">
        <f t="shared" si="66"/>
        <v>Coleslaw, Choux Blanc Et Carottes</v>
      </c>
      <c r="N1028" s="6" t="str">
        <f t="shared" si="67"/>
        <v>France</v>
      </c>
    </row>
    <row r="1029" spans="1:14" x14ac:dyDescent="0.25">
      <c r="A1029" s="6" t="s">
        <v>2637</v>
      </c>
      <c r="B1029" s="6">
        <v>9934</v>
      </c>
      <c r="C1029" s="6" t="s">
        <v>325</v>
      </c>
      <c r="D1029" s="7" t="s">
        <v>7017</v>
      </c>
      <c r="E1029" s="6" t="s">
        <v>2638</v>
      </c>
      <c r="F1029" s="6" t="s">
        <v>8021</v>
      </c>
      <c r="G1029" s="8">
        <v>45503</v>
      </c>
      <c r="H1029" s="6">
        <v>13.16</v>
      </c>
      <c r="I1029" s="6" cm="1">
        <f t="array" ref="I1029">IFERROR(VALUE(TRIM(LEFT(E1029,MIN(FIND({" ";"g";"k";"m";"o"},E1029&amp;" gkmo"))-1))),0)</f>
        <v>6</v>
      </c>
      <c r="J1029" s="6" t="str" cm="1">
        <f t="array" ref="J1029">IFERROR(TRIM(MID(E1029,MIN(FIND({" ";"g";"k";"m";"o"},E1029&amp;" gkmo")),10)),"unknown")</f>
        <v>x 30 g</v>
      </c>
      <c r="K1029" s="6" t="str">
        <f t="shared" si="64"/>
        <v>g</v>
      </c>
      <c r="L1029" s="6" t="str">
        <f t="shared" si="65"/>
        <v>Unknown</v>
      </c>
      <c r="M1029" s="6" t="str">
        <f t="shared" si="66"/>
        <v>Napolitain L'Original</v>
      </c>
      <c r="N1029" s="6" t="str">
        <f t="shared" si="67"/>
        <v>Belgium,France,Luxembourg,Netherlands,United-States</v>
      </c>
    </row>
    <row r="1030" spans="1:14" x14ac:dyDescent="0.25">
      <c r="A1030" s="6" t="s">
        <v>2639</v>
      </c>
      <c r="B1030" s="6">
        <v>6640</v>
      </c>
      <c r="C1030" s="6" t="s">
        <v>1788</v>
      </c>
      <c r="D1030" s="7" t="s">
        <v>2594</v>
      </c>
      <c r="E1030" s="6" t="s">
        <v>39</v>
      </c>
      <c r="F1030" s="6" t="s">
        <v>139</v>
      </c>
      <c r="G1030" s="8">
        <v>46005</v>
      </c>
      <c r="H1030" s="6">
        <v>6.66</v>
      </c>
      <c r="I1030" s="6" cm="1">
        <f t="array" ref="I1030">IFERROR(VALUE(TRIM(LEFT(E1030,MIN(FIND({" ";"g";"k";"m";"o"},E1030&amp;" gkmo"))-1))),0)</f>
        <v>150</v>
      </c>
      <c r="J1030" s="6" t="str" cm="1">
        <f t="array" ref="J1030">IFERROR(TRIM(MID(E1030,MIN(FIND({" ";"g";"k";"m";"o"},E1030&amp;" gkmo")),10)),"unknown")</f>
        <v>g</v>
      </c>
      <c r="K1030" s="6" t="str">
        <f t="shared" si="64"/>
        <v>g</v>
      </c>
      <c r="L1030" s="6" t="str">
        <f t="shared" si="65"/>
        <v>Belin</v>
      </c>
      <c r="M1030" s="6" t="str">
        <f t="shared" si="66"/>
        <v>Chipster</v>
      </c>
      <c r="N1030" s="6" t="str">
        <f t="shared" si="67"/>
        <v>France</v>
      </c>
    </row>
    <row r="1031" spans="1:14" x14ac:dyDescent="0.25">
      <c r="A1031" s="6" t="s">
        <v>2640</v>
      </c>
      <c r="B1031" s="6">
        <v>9713</v>
      </c>
      <c r="C1031" s="6" t="s">
        <v>2641</v>
      </c>
      <c r="D1031" s="7" t="s">
        <v>2642</v>
      </c>
      <c r="E1031" s="6" t="s">
        <v>2643</v>
      </c>
      <c r="F1031" s="6" t="s">
        <v>8407</v>
      </c>
      <c r="G1031" s="8">
        <v>46057</v>
      </c>
      <c r="H1031" s="6">
        <v>18.899999999999999</v>
      </c>
      <c r="I1031" s="6" cm="1">
        <f t="array" ref="I1031">IFERROR(VALUE(TRIM(LEFT(E1031,MIN(FIND({" ";"g";"k";"m";"o"},E1031&amp;" gkmo"))-1))),0)</f>
        <v>75</v>
      </c>
      <c r="J1031" s="6" t="str" cm="1">
        <f t="array" ref="J1031">IFERROR(TRIM(MID(E1031,MIN(FIND({" ";"g";"k";"m";"o"},E1031&amp;" gkmo")),10)),"unknown")</f>
        <v>g</v>
      </c>
      <c r="K1031" s="6" t="str">
        <f t="shared" si="64"/>
        <v>g</v>
      </c>
      <c r="L1031" s="6" t="str">
        <f t="shared" si="65"/>
        <v>Lu,Mikado,Mondelez</v>
      </c>
      <c r="M1031" s="6" t="str">
        <f t="shared" si="66"/>
        <v>Cioccolato Al Latte</v>
      </c>
      <c r="N1031" s="6" t="str">
        <f t="shared" si="67"/>
        <v>Belgium,France,Italia,Espaà±A,United Kingdom,Estados Unidos</v>
      </c>
    </row>
    <row r="1032" spans="1:14" x14ac:dyDescent="0.25">
      <c r="A1032" s="6" t="s">
        <v>2644</v>
      </c>
      <c r="B1032" s="6">
        <v>6276</v>
      </c>
      <c r="C1032" s="6" t="s">
        <v>2645</v>
      </c>
      <c r="D1032" s="7" t="s">
        <v>199</v>
      </c>
      <c r="E1032" s="6" t="s">
        <v>132</v>
      </c>
      <c r="F1032" s="6" t="s">
        <v>139</v>
      </c>
      <c r="G1032" s="8">
        <v>45997</v>
      </c>
      <c r="H1032" s="6">
        <v>16.190000000000001</v>
      </c>
      <c r="I1032" s="6" cm="1">
        <f t="array" ref="I1032">IFERROR(VALUE(TRIM(LEFT(E1032,MIN(FIND({" ";"g";"k";"m";"o"},E1032&amp;" gkmo"))-1))),0)</f>
        <v>350</v>
      </c>
      <c r="J1032" s="6" t="str" cm="1">
        <f t="array" ref="J1032">IFERROR(TRIM(MID(E1032,MIN(FIND({" ";"g";"k";"m";"o"},E1032&amp;" gkmo")),10)),"unknown")</f>
        <v>g</v>
      </c>
      <c r="K1032" s="6" t="str">
        <f t="shared" si="64"/>
        <v>g</v>
      </c>
      <c r="L1032" s="6" t="str">
        <f t="shared" si="65"/>
        <v>Bn</v>
      </c>
      <c r="M1032" s="6" t="str">
        <f t="shared" si="66"/>
        <v>Mini Bn Chocolat</v>
      </c>
      <c r="N1032" s="6" t="str">
        <f t="shared" si="67"/>
        <v>France</v>
      </c>
    </row>
    <row r="1033" spans="1:14" x14ac:dyDescent="0.25">
      <c r="A1033" s="6" t="s">
        <v>2646</v>
      </c>
      <c r="B1033" s="6">
        <v>12969</v>
      </c>
      <c r="C1033" s="6" t="s">
        <v>7188</v>
      </c>
      <c r="D1033" s="7" t="s">
        <v>7030</v>
      </c>
      <c r="E1033" s="6" t="s">
        <v>855</v>
      </c>
      <c r="F1033" s="6" t="s">
        <v>7986</v>
      </c>
      <c r="G1033" s="8">
        <v>45922</v>
      </c>
      <c r="H1033" s="6">
        <v>6.79</v>
      </c>
      <c r="I1033" s="6" cm="1">
        <f t="array" ref="I1033">IFERROR(VALUE(TRIM(LEFT(E1033,MIN(FIND({" ";"g";"k";"m";"o"},E1033&amp;" gkmo"))-1))),0)</f>
        <v>80</v>
      </c>
      <c r="J1033" s="6" t="str" cm="1">
        <f t="array" ref="J1033">IFERROR(TRIM(MID(E1033,MIN(FIND({" ";"g";"k";"m";"o"},E1033&amp;" gkmo")),10)),"unknown")</f>
        <v>g</v>
      </c>
      <c r="K1033" s="6" t="str">
        <f t="shared" si="64"/>
        <v>g</v>
      </c>
      <c r="L1033" s="6" t="str">
        <f t="shared" si="65"/>
        <v>Gerblé</v>
      </c>
      <c r="M1033" s="6" t="str">
        <f t="shared" si="66"/>
        <v>Chocolat Noir Sans Sucres Ajoutés</v>
      </c>
      <c r="N1033" s="6" t="str">
        <f t="shared" si="67"/>
        <v>France, Switzerland</v>
      </c>
    </row>
    <row r="1034" spans="1:14" x14ac:dyDescent="0.25">
      <c r="A1034" s="6" t="s">
        <v>2647</v>
      </c>
      <c r="B1034" s="6">
        <v>10125</v>
      </c>
      <c r="C1034" s="6" t="s">
        <v>2648</v>
      </c>
      <c r="D1034" s="7" t="s">
        <v>488</v>
      </c>
      <c r="E1034" s="6" t="s">
        <v>14</v>
      </c>
      <c r="F1034" s="6" t="s">
        <v>139</v>
      </c>
      <c r="G1034" s="8">
        <v>45878</v>
      </c>
      <c r="H1034" s="6">
        <v>2.34</v>
      </c>
      <c r="I1034" s="6" cm="1">
        <f t="array" ref="I1034">IFERROR(VALUE(TRIM(LEFT(E1034,MIN(FIND({" ";"g";"k";"m";"o"},E1034&amp;" gkmo"))-1))),0)</f>
        <v>300</v>
      </c>
      <c r="J1034" s="6" t="str" cm="1">
        <f t="array" ref="J1034">IFERROR(TRIM(MID(E1034,MIN(FIND({" ";"g";"k";"m";"o"},E1034&amp;" gkmo")),10)),"unknown")</f>
        <v>g</v>
      </c>
      <c r="K1034" s="6" t="str">
        <f t="shared" si="64"/>
        <v>g</v>
      </c>
      <c r="L1034" s="6" t="str">
        <f t="shared" si="65"/>
        <v>Bonne Maman</v>
      </c>
      <c r="M1034" s="6" t="str">
        <f t="shared" si="66"/>
        <v>Bonne Maman - Petits Cakes Fruits, 300G (10.6Oz)</v>
      </c>
      <c r="N1034" s="6" t="str">
        <f t="shared" si="67"/>
        <v>France</v>
      </c>
    </row>
    <row r="1035" spans="1:14" x14ac:dyDescent="0.25">
      <c r="A1035" s="6" t="s">
        <v>2649</v>
      </c>
      <c r="B1035" s="6">
        <v>14149</v>
      </c>
      <c r="C1035" s="6" t="s">
        <v>2650</v>
      </c>
      <c r="D1035" s="7" t="s">
        <v>72</v>
      </c>
      <c r="E1035" s="6" t="s">
        <v>39</v>
      </c>
      <c r="F1035" s="6" t="s">
        <v>139</v>
      </c>
      <c r="G1035" s="8">
        <v>45624</v>
      </c>
      <c r="H1035" s="6">
        <v>1.53</v>
      </c>
      <c r="I1035" s="6" cm="1">
        <f t="array" ref="I1035">IFERROR(VALUE(TRIM(LEFT(E1035,MIN(FIND({" ";"g";"k";"m";"o"},E1035&amp;" gkmo"))-1))),0)</f>
        <v>150</v>
      </c>
      <c r="J1035" s="6" t="str" cm="1">
        <f t="array" ref="J1035">IFERROR(TRIM(MID(E1035,MIN(FIND({" ";"g";"k";"m";"o"},E1035&amp;" gkmo")),10)),"unknown")</f>
        <v>g</v>
      </c>
      <c r="K1035" s="6" t="str">
        <f t="shared" si="64"/>
        <v>g</v>
      </c>
      <c r="L1035" s="6" t="str">
        <f t="shared" si="65"/>
        <v>Bjorg</v>
      </c>
      <c r="M1035" s="6" t="str">
        <f t="shared" si="66"/>
        <v>Le Biscuit De Natty</v>
      </c>
      <c r="N1035" s="6" t="str">
        <f t="shared" si="67"/>
        <v>France</v>
      </c>
    </row>
    <row r="1036" spans="1:14" x14ac:dyDescent="0.25">
      <c r="A1036" s="6" t="s">
        <v>2651</v>
      </c>
      <c r="B1036" s="6">
        <v>7512</v>
      </c>
      <c r="C1036" s="6" t="s">
        <v>804</v>
      </c>
      <c r="D1036" s="7" t="s">
        <v>7189</v>
      </c>
      <c r="E1036" s="6" t="s">
        <v>7688</v>
      </c>
      <c r="F1036" s="6" t="s">
        <v>139</v>
      </c>
      <c r="G1036" s="8">
        <v>45958</v>
      </c>
      <c r="H1036" s="6">
        <v>4.1399999999999997</v>
      </c>
      <c r="I1036" s="6" cm="1">
        <f t="array" ref="I1036">IFERROR(VALUE(TRIM(LEFT(E1036,MIN(FIND({" ";"g";"k";"m";"o"},E1036&amp;" gkmo"))-1))),0)</f>
        <v>150</v>
      </c>
      <c r="J1036" s="6" t="str" cm="1">
        <f t="array" ref="J1036">IFERROR(TRIM(MID(E1036,MIN(FIND({" ";"g";"k";"m";"o"},E1036&amp;" gkmo")),10)),"unknown")</f>
        <v>g, 2 sach</v>
      </c>
      <c r="K1036" s="6" t="str">
        <f t="shared" si="64"/>
        <v>g</v>
      </c>
      <c r="L1036" s="6" t="str">
        <f t="shared" si="65"/>
        <v>Terres Et Céréales Bio</v>
      </c>
      <c r="M1036" s="6" t="str">
        <f t="shared" si="66"/>
        <v>Tartines Craquantes Au Sarrasin</v>
      </c>
      <c r="N1036" s="6" t="str">
        <f t="shared" si="67"/>
        <v>France</v>
      </c>
    </row>
    <row r="1037" spans="1:14" x14ac:dyDescent="0.25">
      <c r="A1037" s="6" t="s">
        <v>2652</v>
      </c>
      <c r="B1037" s="6">
        <v>11908</v>
      </c>
      <c r="C1037" s="6" t="s">
        <v>2653</v>
      </c>
      <c r="D1037" s="7" t="s">
        <v>2654</v>
      </c>
      <c r="E1037" s="6" t="s">
        <v>39</v>
      </c>
      <c r="F1037" s="6" t="s">
        <v>139</v>
      </c>
      <c r="G1037" s="8">
        <v>46039</v>
      </c>
      <c r="H1037" s="6">
        <v>15.17</v>
      </c>
      <c r="I1037" s="6" cm="1">
        <f t="array" ref="I1037">IFERROR(VALUE(TRIM(LEFT(E1037,MIN(FIND({" ";"g";"k";"m";"o"},E1037&amp;" gkmo"))-1))),0)</f>
        <v>150</v>
      </c>
      <c r="J1037" s="6" t="str" cm="1">
        <f t="array" ref="J1037">IFERROR(TRIM(MID(E1037,MIN(FIND({" ";"g";"k";"m";"o"},E1037&amp;" gkmo")),10)),"unknown")</f>
        <v>g</v>
      </c>
      <c r="K1037" s="6" t="str">
        <f t="shared" si="64"/>
        <v>g</v>
      </c>
      <c r="L1037" s="6" t="str">
        <f t="shared" si="65"/>
        <v>Jardin Bio</v>
      </c>
      <c r="M1037" s="6" t="str">
        <f t="shared" si="66"/>
        <v>Tartines Craquantes Quinoa Pois Chiche</v>
      </c>
      <c r="N1037" s="6" t="str">
        <f t="shared" si="67"/>
        <v>France</v>
      </c>
    </row>
    <row r="1038" spans="1:14" x14ac:dyDescent="0.25">
      <c r="A1038" s="6" t="s">
        <v>2655</v>
      </c>
      <c r="B1038" s="6">
        <v>7141</v>
      </c>
      <c r="C1038" s="6" t="s">
        <v>7689</v>
      </c>
      <c r="D1038" s="7" t="s">
        <v>1147</v>
      </c>
      <c r="E1038" s="6"/>
      <c r="F1038" s="6" t="s">
        <v>139</v>
      </c>
      <c r="G1038" s="8">
        <v>46001</v>
      </c>
      <c r="H1038" s="6">
        <v>19.16</v>
      </c>
      <c r="I1038" s="6" cm="1">
        <f t="array" ref="I1038">IFERROR(VALUE(TRIM(LEFT(E1038,MIN(FIND({" ";"g";"k";"m";"o"},E1038&amp;" gkmo"))-1))),0)</f>
        <v>0</v>
      </c>
      <c r="J1038" s="6" t="str" cm="1">
        <f t="array" ref="J1038">IFERROR(TRIM(MID(E1038,MIN(FIND({" ";"g";"k";"m";"o"},E1038&amp;" gkmo")),10)),"unknown")</f>
        <v/>
      </c>
      <c r="K1038" s="6" t="str">
        <f t="shared" si="64"/>
        <v>unknown</v>
      </c>
      <c r="L1038" s="6" t="str">
        <f t="shared" si="65"/>
        <v>Bret'S</v>
      </c>
      <c r="M1038" s="6" t="str">
        <f t="shared" si="66"/>
        <v>Chips Nature À  L'Ancienne Au Sel De Guérande</v>
      </c>
      <c r="N1038" s="6" t="str">
        <f t="shared" si="67"/>
        <v>France</v>
      </c>
    </row>
    <row r="1039" spans="1:14" x14ac:dyDescent="0.25">
      <c r="A1039" s="6" t="s">
        <v>2656</v>
      </c>
      <c r="B1039" s="6">
        <v>12261</v>
      </c>
      <c r="C1039" s="6" t="s">
        <v>2657</v>
      </c>
      <c r="D1039" s="7" t="s">
        <v>7017</v>
      </c>
      <c r="E1039" s="6" t="s">
        <v>2658</v>
      </c>
      <c r="F1039" s="6" t="s">
        <v>8022</v>
      </c>
      <c r="G1039" s="8">
        <v>45573</v>
      </c>
      <c r="H1039" s="6">
        <v>12.13</v>
      </c>
      <c r="I1039" s="6" cm="1">
        <f t="array" ref="I1039">IFERROR(VALUE(TRIM(LEFT(E1039,MIN(FIND({" ";"g";"k";"m";"o"},E1039&amp;" gkmo"))-1))),0)</f>
        <v>70</v>
      </c>
      <c r="J1039" s="6" t="str" cm="1">
        <f t="array" ref="J1039">IFERROR(TRIM(MID(E1039,MIN(FIND({" ";"g";"k";"m";"o"},E1039&amp;" gkmo")),10)),"unknown")</f>
        <v>Ð³</v>
      </c>
      <c r="K1039" s="6" t="str">
        <f t="shared" si="64"/>
        <v>unknown</v>
      </c>
      <c r="L1039" s="6" t="str">
        <f t="shared" si="65"/>
        <v>Unknown</v>
      </c>
      <c r="M1039" s="6" t="str">
        <f t="shared" si="66"/>
        <v>Bruschette Sour Cream</v>
      </c>
      <c r="N1039" s="6" t="str">
        <f t="shared" si="67"/>
        <v>Bulgaria, France, Serbia, Spain, Morocco</v>
      </c>
    </row>
    <row r="1040" spans="1:14" x14ac:dyDescent="0.25">
      <c r="A1040" s="6" t="s">
        <v>2659</v>
      </c>
      <c r="B1040" s="6">
        <v>8643</v>
      </c>
      <c r="C1040" s="6" t="s">
        <v>2660</v>
      </c>
      <c r="D1040" s="7" t="s">
        <v>2661</v>
      </c>
      <c r="E1040" s="6" t="s">
        <v>580</v>
      </c>
      <c r="F1040" s="6" t="s">
        <v>1986</v>
      </c>
      <c r="G1040" s="8">
        <v>45904</v>
      </c>
      <c r="H1040" s="6">
        <v>19.75</v>
      </c>
      <c r="I1040" s="6" cm="1">
        <f t="array" ref="I1040">IFERROR(VALUE(TRIM(LEFT(E1040,MIN(FIND({" ";"g";"k";"m";"o"},E1040&amp;" gkmo"))-1))),0)</f>
        <v>250</v>
      </c>
      <c r="J1040" s="6" t="str" cm="1">
        <f t="array" ref="J1040">IFERROR(TRIM(MID(E1040,MIN(FIND({" ";"g";"k";"m";"o"},E1040&amp;" gkmo")),10)),"unknown")</f>
        <v>g</v>
      </c>
      <c r="K1040" s="6" t="str">
        <f t="shared" si="64"/>
        <v>g</v>
      </c>
      <c r="L1040" s="6" t="str">
        <f t="shared" si="65"/>
        <v>Lorenz, Lorenz / Netto</v>
      </c>
      <c r="M1040" s="6" t="str">
        <f t="shared" si="66"/>
        <v>Lorenz Saltletts Sticks</v>
      </c>
      <c r="N1040" s="6" t="str">
        <f t="shared" si="67"/>
        <v>Deutschland</v>
      </c>
    </row>
    <row r="1041" spans="1:14" x14ac:dyDescent="0.25">
      <c r="A1041" s="6" t="s">
        <v>2662</v>
      </c>
      <c r="B1041" s="6">
        <v>10059</v>
      </c>
      <c r="C1041" s="6" t="s">
        <v>2663</v>
      </c>
      <c r="D1041" s="7" t="s">
        <v>2664</v>
      </c>
      <c r="E1041" s="6" t="s">
        <v>2665</v>
      </c>
      <c r="F1041" s="6" t="s">
        <v>8023</v>
      </c>
      <c r="G1041" s="8">
        <v>45912</v>
      </c>
      <c r="H1041" s="6">
        <v>11.03</v>
      </c>
      <c r="I1041" s="6" cm="1">
        <f t="array" ref="I1041">IFERROR(VALUE(TRIM(LEFT(E1041,MIN(FIND({" ";"g";"k";"m";"o"},E1041&amp;" gkmo"))-1))),0)</f>
        <v>266</v>
      </c>
      <c r="J1041" s="6" t="str" cm="1">
        <f t="array" ref="J1041">IFERROR(TRIM(MID(E1041,MIN(FIND({" ";"g";"k";"m";"o"},E1041&amp;" gkmo")),10)),"unknown")</f>
        <v>g</v>
      </c>
      <c r="K1041" s="6" t="str">
        <f t="shared" si="64"/>
        <v>g</v>
      </c>
      <c r="L1041" s="6" t="str">
        <f t="shared" si="65"/>
        <v>Mcvities</v>
      </c>
      <c r="M1041" s="6" t="str">
        <f t="shared" si="66"/>
        <v>Digestives</v>
      </c>
      <c r="N1041" s="6" t="str">
        <f t="shared" si="67"/>
        <v>France,United-Kingdom</v>
      </c>
    </row>
    <row r="1042" spans="1:14" x14ac:dyDescent="0.25">
      <c r="A1042" s="6" t="s">
        <v>2666</v>
      </c>
      <c r="B1042" s="6">
        <v>13726</v>
      </c>
      <c r="C1042" s="6" t="s">
        <v>2667</v>
      </c>
      <c r="D1042" s="7" t="s">
        <v>135</v>
      </c>
      <c r="E1042" s="6" t="s">
        <v>39</v>
      </c>
      <c r="F1042" s="6" t="s">
        <v>8219</v>
      </c>
      <c r="G1042" s="8">
        <v>45636</v>
      </c>
      <c r="H1042" s="6">
        <v>5.81</v>
      </c>
      <c r="I1042" s="6" cm="1">
        <f t="array" ref="I1042">IFERROR(VALUE(TRIM(LEFT(E1042,MIN(FIND({" ";"g";"k";"m";"o"},E1042&amp;" gkmo"))-1))),0)</f>
        <v>150</v>
      </c>
      <c r="J1042" s="6" t="str" cm="1">
        <f t="array" ref="J1042">IFERROR(TRIM(MID(E1042,MIN(FIND({" ";"g";"k";"m";"o"},E1042&amp;" gkmo")),10)),"unknown")</f>
        <v>g</v>
      </c>
      <c r="K1042" s="6" t="str">
        <f t="shared" si="64"/>
        <v>g</v>
      </c>
      <c r="L1042" s="6" t="str">
        <f t="shared" si="65"/>
        <v>Milka</v>
      </c>
      <c r="M1042" s="6" t="str">
        <f t="shared" si="66"/>
        <v>Choco Biscuits</v>
      </c>
      <c r="N1042" s="6" t="str">
        <f t="shared" si="67"/>
        <v>France,Marruecos,Espaà±A</v>
      </c>
    </row>
    <row r="1043" spans="1:14" x14ac:dyDescent="0.25">
      <c r="A1043" s="6" t="s">
        <v>2668</v>
      </c>
      <c r="B1043" s="6">
        <v>13136</v>
      </c>
      <c r="C1043" s="6" t="s">
        <v>1139</v>
      </c>
      <c r="D1043" s="7" t="s">
        <v>2669</v>
      </c>
      <c r="E1043" s="6" t="s">
        <v>415</v>
      </c>
      <c r="F1043" s="6" t="s">
        <v>8358</v>
      </c>
      <c r="G1043" s="8">
        <v>45582</v>
      </c>
      <c r="H1043" s="6">
        <v>1.96</v>
      </c>
      <c r="I1043" s="6" cm="1">
        <f t="array" ref="I1043">IFERROR(VALUE(TRIM(LEFT(E1043,MIN(FIND({" ";"g";"k";"m";"o"},E1043&amp;" gkmo"))-1))),0)</f>
        <v>185</v>
      </c>
      <c r="J1043" s="6" t="str" cm="1">
        <f t="array" ref="J1043">IFERROR(TRIM(MID(E1043,MIN(FIND({" ";"g";"k";"m";"o"},E1043&amp;" gkmo")),10)),"unknown")</f>
        <v>g</v>
      </c>
      <c r="K1043" s="6" t="str">
        <f t="shared" si="64"/>
        <v>g</v>
      </c>
      <c r="L1043" s="6" t="str">
        <f t="shared" si="65"/>
        <v>General Mills, Old El Paso</v>
      </c>
      <c r="M1043" s="6" t="str">
        <f t="shared" si="66"/>
        <v>Tortilla Chips</v>
      </c>
      <c r="N1043" s="6" t="str">
        <f t="shared" si="67"/>
        <v>France, Germany, Greece, Spain, Switzerland</v>
      </c>
    </row>
    <row r="1044" spans="1:14" x14ac:dyDescent="0.25">
      <c r="A1044" s="6" t="s">
        <v>2670</v>
      </c>
      <c r="B1044" s="6">
        <v>6641</v>
      </c>
      <c r="C1044" s="6" t="s">
        <v>7690</v>
      </c>
      <c r="D1044" s="7" t="s">
        <v>7017</v>
      </c>
      <c r="E1044" s="6" t="s">
        <v>2671</v>
      </c>
      <c r="F1044" s="6" t="s">
        <v>2545</v>
      </c>
      <c r="G1044" s="8">
        <v>45772</v>
      </c>
      <c r="H1044" s="6">
        <v>7.91</v>
      </c>
      <c r="I1044" s="6" cm="1">
        <f t="array" ref="I1044">IFERROR(VALUE(TRIM(LEFT(E1044,MIN(FIND({" ";"g";"k";"m";"o"},E1044&amp;" gkmo"))-1))),0)</f>
        <v>380</v>
      </c>
      <c r="J1044" s="6" t="str" cm="1">
        <f t="array" ref="J1044">IFERROR(TRIM(MID(E1044,MIN(FIND({" ";"g";"k";"m";"o"},E1044&amp;" gkmo")),10)),"unknown")</f>
        <v>g</v>
      </c>
      <c r="K1044" s="6" t="str">
        <f t="shared" si="64"/>
        <v>g</v>
      </c>
      <c r="L1044" s="6" t="str">
        <f t="shared" si="65"/>
        <v>Unknown</v>
      </c>
      <c r="M1044" s="6" t="str">
        <f t="shared" si="66"/>
        <v>Pià¹ Integrali Ricchi Di Fibre Segale</v>
      </c>
      <c r="N1044" s="6" t="str">
        <f t="shared" si="67"/>
        <v>France,Italy</v>
      </c>
    </row>
    <row r="1045" spans="1:14" x14ac:dyDescent="0.25">
      <c r="A1045" s="6" t="s">
        <v>2672</v>
      </c>
      <c r="B1045" s="6">
        <v>6653</v>
      </c>
      <c r="C1045" s="6" t="s">
        <v>7190</v>
      </c>
      <c r="D1045" s="7" t="s">
        <v>294</v>
      </c>
      <c r="E1045" s="6" t="s">
        <v>10</v>
      </c>
      <c r="F1045" s="6" t="s">
        <v>2673</v>
      </c>
      <c r="G1045" s="8">
        <v>45516</v>
      </c>
      <c r="H1045" s="6">
        <v>15.86</v>
      </c>
      <c r="I1045" s="6" cm="1">
        <f t="array" ref="I1045">IFERROR(VALUE(TRIM(LEFT(E1045,MIN(FIND({" ";"g";"k";"m";"o"},E1045&amp;" gkmo"))-1))),0)</f>
        <v>100</v>
      </c>
      <c r="J1045" s="6" t="str" cm="1">
        <f t="array" ref="J1045">IFERROR(TRIM(MID(E1045,MIN(FIND({" ";"g";"k";"m";"o"},E1045&amp;" gkmo")),10)),"unknown")</f>
        <v>g</v>
      </c>
      <c r="K1045" s="6" t="str">
        <f t="shared" si="64"/>
        <v>g</v>
      </c>
      <c r="L1045" s="6" t="str">
        <f t="shared" si="65"/>
        <v>Bimo</v>
      </c>
      <c r="M1045" s="6" t="str">
        <f t="shared" si="66"/>
        <v>Ambassadeur Noir Précieux 70% Cacao</v>
      </c>
      <c r="N1045" s="6" t="str">
        <f t="shared" si="67"/>
        <v>Algeria</v>
      </c>
    </row>
    <row r="1046" spans="1:14" x14ac:dyDescent="0.25">
      <c r="A1046" s="6" t="s">
        <v>2674</v>
      </c>
      <c r="B1046" s="6">
        <v>10818</v>
      </c>
      <c r="C1046" s="6" t="s">
        <v>2675</v>
      </c>
      <c r="D1046" s="7" t="s">
        <v>1167</v>
      </c>
      <c r="E1046" s="6"/>
      <c r="F1046" s="6" t="s">
        <v>139</v>
      </c>
      <c r="G1046" s="8">
        <v>45701</v>
      </c>
      <c r="H1046" s="6">
        <v>12.13</v>
      </c>
      <c r="I1046" s="6" cm="1">
        <f t="array" ref="I1046">IFERROR(VALUE(TRIM(LEFT(E1046,MIN(FIND({" ";"g";"k";"m";"o"},E1046&amp;" gkmo"))-1))),0)</f>
        <v>0</v>
      </c>
      <c r="J1046" s="6" t="str" cm="1">
        <f t="array" ref="J1046">IFERROR(TRIM(MID(E1046,MIN(FIND({" ";"g";"k";"m";"o"},E1046&amp;" gkmo")),10)),"unknown")</f>
        <v/>
      </c>
      <c r="K1046" s="6" t="str">
        <f t="shared" si="64"/>
        <v>unknown</v>
      </c>
      <c r="L1046" s="6" t="str">
        <f t="shared" si="65"/>
        <v>Lidl</v>
      </c>
      <c r="M1046" s="6" t="str">
        <f t="shared" si="66"/>
        <v>All Butter Scottish Shortbread Fingers</v>
      </c>
      <c r="N1046" s="6" t="str">
        <f t="shared" si="67"/>
        <v>France</v>
      </c>
    </row>
    <row r="1047" spans="1:14" x14ac:dyDescent="0.25">
      <c r="A1047" s="6" t="s">
        <v>2676</v>
      </c>
      <c r="B1047" s="6">
        <v>10762</v>
      </c>
      <c r="C1047" s="6" t="s">
        <v>2677</v>
      </c>
      <c r="D1047" s="7" t="s">
        <v>828</v>
      </c>
      <c r="E1047" s="6" t="s">
        <v>284</v>
      </c>
      <c r="F1047" s="6" t="s">
        <v>177</v>
      </c>
      <c r="G1047" s="8">
        <v>45707</v>
      </c>
      <c r="H1047" s="6">
        <v>10.18</v>
      </c>
      <c r="I1047" s="6" cm="1">
        <f t="array" ref="I1047">IFERROR(VALUE(TRIM(LEFT(E1047,MIN(FIND({" ";"g";"k";"m";"o"},E1047&amp;" gkmo"))-1))),0)</f>
        <v>180</v>
      </c>
      <c r="J1047" s="6" t="str" cm="1">
        <f t="array" ref="J1047">IFERROR(TRIM(MID(E1047,MIN(FIND({" ";"g";"k";"m";"o"},E1047&amp;" gkmo")),10)),"unknown")</f>
        <v>g</v>
      </c>
      <c r="K1047" s="6" t="str">
        <f t="shared" si="64"/>
        <v>g</v>
      </c>
      <c r="L1047" s="6" t="str">
        <f t="shared" si="65"/>
        <v>Tony'S Chocolonely</v>
      </c>
      <c r="M1047" s="6" t="str">
        <f t="shared" si="66"/>
        <v>Dark Chocolate Almond Sea Salt 51%</v>
      </c>
      <c r="N1047" s="6" t="str">
        <f t="shared" si="67"/>
        <v>United Kingdom</v>
      </c>
    </row>
    <row r="1048" spans="1:14" x14ac:dyDescent="0.25">
      <c r="A1048" s="6" t="s">
        <v>2678</v>
      </c>
      <c r="B1048" s="6">
        <v>11810</v>
      </c>
      <c r="C1048" s="6" t="s">
        <v>2679</v>
      </c>
      <c r="D1048" s="7" t="s">
        <v>2680</v>
      </c>
      <c r="E1048" s="6" t="s">
        <v>2681</v>
      </c>
      <c r="F1048" s="6" t="s">
        <v>2682</v>
      </c>
      <c r="G1048" s="8">
        <v>45856</v>
      </c>
      <c r="H1048" s="6">
        <v>13.47</v>
      </c>
      <c r="I1048" s="6" cm="1">
        <f t="array" ref="I1048">IFERROR(VALUE(TRIM(LEFT(E1048,MIN(FIND({" ";"g";"k";"m";"o"},E1048&amp;" gkmo"))-1))),0)</f>
        <v>14.4</v>
      </c>
      <c r="J1048" s="6" t="str" cm="1">
        <f t="array" ref="J1048">IFERROR(TRIM(MID(E1048,MIN(FIND({" ";"g";"k";"m";"o"},E1048&amp;" gkmo")),10)),"unknown")</f>
        <v>oz (408g)</v>
      </c>
      <c r="K1048" s="6" t="str">
        <f t="shared" si="64"/>
        <v>g</v>
      </c>
      <c r="L1048" s="6" t="str">
        <f t="shared" si="65"/>
        <v>Honey Maid</v>
      </c>
      <c r="M1048" s="6" t="str">
        <f t="shared" si="66"/>
        <v>Grahams</v>
      </c>
      <c r="N1048" s="6" t="str">
        <f t="shared" si="67"/>
        <v>United States</v>
      </c>
    </row>
    <row r="1049" spans="1:14" x14ac:dyDescent="0.25">
      <c r="A1049" s="6" t="s">
        <v>2683</v>
      </c>
      <c r="B1049" s="6">
        <v>12901</v>
      </c>
      <c r="C1049" s="6" t="s">
        <v>2684</v>
      </c>
      <c r="D1049" s="7" t="s">
        <v>1167</v>
      </c>
      <c r="E1049" s="6" t="s">
        <v>2685</v>
      </c>
      <c r="F1049" s="6" t="s">
        <v>1774</v>
      </c>
      <c r="G1049" s="8">
        <v>45706</v>
      </c>
      <c r="H1049" s="6">
        <v>16.600000000000001</v>
      </c>
      <c r="I1049" s="6" cm="1">
        <f t="array" ref="I1049">IFERROR(VALUE(TRIM(LEFT(E1049,MIN(FIND({" ";"g";"k";"m";"o"},E1049&amp;" gkmo"))-1))),0)</f>
        <v>110</v>
      </c>
      <c r="J1049" s="6" t="str" cm="1">
        <f t="array" ref="J1049">IFERROR(TRIM(MID(E1049,MIN(FIND({" ";"g";"k";"m";"o"},E1049&amp;" gkmo")),10)),"unknown")</f>
        <v>g</v>
      </c>
      <c r="K1049" s="6" t="str">
        <f t="shared" si="64"/>
        <v>g</v>
      </c>
      <c r="L1049" s="6" t="str">
        <f t="shared" si="65"/>
        <v>Lidl</v>
      </c>
      <c r="M1049" s="6" t="str">
        <f t="shared" si="66"/>
        <v>Lentil Bites Sea Salt</v>
      </c>
      <c r="N1049" s="6" t="str">
        <f t="shared" si="67"/>
        <v>Ireland,United Kingdom</v>
      </c>
    </row>
    <row r="1050" spans="1:14" x14ac:dyDescent="0.25">
      <c r="A1050" s="6" t="s">
        <v>2686</v>
      </c>
      <c r="B1050" s="6">
        <v>8081</v>
      </c>
      <c r="C1050" s="6" t="s">
        <v>2687</v>
      </c>
      <c r="D1050" s="7" t="s">
        <v>1088</v>
      </c>
      <c r="E1050" s="6" t="s">
        <v>676</v>
      </c>
      <c r="F1050" s="6" t="s">
        <v>177</v>
      </c>
      <c r="G1050" s="8">
        <v>45845</v>
      </c>
      <c r="H1050" s="6">
        <v>22.04</v>
      </c>
      <c r="I1050" s="6" cm="1">
        <f t="array" ref="I1050">IFERROR(VALUE(TRIM(LEFT(E1050,MIN(FIND({" ";"g";"k";"m";"o"},E1050&amp;" gkmo"))-1))),0)</f>
        <v>180</v>
      </c>
      <c r="J1050" s="6" t="str" cm="1">
        <f t="array" ref="J1050">IFERROR(TRIM(MID(E1050,MIN(FIND({" ";"g";"k";"m";"o"},E1050&amp;" gkmo")),10)),"unknown")</f>
        <v>g</v>
      </c>
      <c r="K1050" s="6" t="str">
        <f t="shared" si="64"/>
        <v>g</v>
      </c>
      <c r="L1050" s="6" t="str">
        <f t="shared" si="65"/>
        <v>Waitrose</v>
      </c>
      <c r="M1050" s="6" t="str">
        <f t="shared" si="66"/>
        <v>Belgian Dark Chocolate</v>
      </c>
      <c r="N1050" s="6" t="str">
        <f t="shared" si="67"/>
        <v>United Kingdom</v>
      </c>
    </row>
    <row r="1051" spans="1:14" x14ac:dyDescent="0.25">
      <c r="A1051" s="6" t="s">
        <v>2688</v>
      </c>
      <c r="B1051" s="6">
        <v>7068</v>
      </c>
      <c r="C1051" s="6" t="s">
        <v>2689</v>
      </c>
      <c r="D1051" s="7" t="s">
        <v>1113</v>
      </c>
      <c r="E1051" s="6" t="s">
        <v>2690</v>
      </c>
      <c r="F1051" s="6" t="s">
        <v>48</v>
      </c>
      <c r="G1051" s="8">
        <v>45729</v>
      </c>
      <c r="H1051" s="6">
        <v>7.48</v>
      </c>
      <c r="I1051" s="6" cm="1">
        <f t="array" ref="I1051">IFERROR(VALUE(TRIM(LEFT(E1051,MIN(FIND({" ";"g";"k";"m";"o"},E1051&amp;" gkmo"))-1))),0)</f>
        <v>65</v>
      </c>
      <c r="J1051" s="6" t="str" cm="1">
        <f t="array" ref="J1051">IFERROR(TRIM(MID(E1051,MIN(FIND({" ";"g";"k";"m";"o"},E1051&amp;" gkmo")),10)),"unknown")</f>
        <v>g</v>
      </c>
      <c r="K1051" s="6" t="str">
        <f t="shared" si="64"/>
        <v>g</v>
      </c>
      <c r="L1051" s="6" t="str">
        <f t="shared" si="65"/>
        <v>Excelo</v>
      </c>
      <c r="M1051" s="6" t="str">
        <f t="shared" si="66"/>
        <v>Sandwichs Choc</v>
      </c>
      <c r="N1051" s="6" t="str">
        <f t="shared" si="67"/>
        <v>Morocco</v>
      </c>
    </row>
    <row r="1052" spans="1:14" x14ac:dyDescent="0.25">
      <c r="A1052" s="6" t="s">
        <v>2691</v>
      </c>
      <c r="B1052" s="6">
        <v>11185</v>
      </c>
      <c r="C1052" s="6" t="s">
        <v>2692</v>
      </c>
      <c r="D1052" s="7" t="s">
        <v>1307</v>
      </c>
      <c r="E1052" s="6"/>
      <c r="F1052" s="6" t="s">
        <v>2973</v>
      </c>
      <c r="G1052" s="8">
        <v>45621</v>
      </c>
      <c r="H1052" s="6">
        <v>23.32</v>
      </c>
      <c r="I1052" s="6" cm="1">
        <f t="array" ref="I1052">IFERROR(VALUE(TRIM(LEFT(E1052,MIN(FIND({" ";"g";"k";"m";"o"},E1052&amp;" gkmo"))-1))),0)</f>
        <v>0</v>
      </c>
      <c r="J1052" s="6" t="str" cm="1">
        <f t="array" ref="J1052">IFERROR(TRIM(MID(E1052,MIN(FIND({" ";"g";"k";"m";"o"},E1052&amp;" gkmo")),10)),"unknown")</f>
        <v/>
      </c>
      <c r="K1052" s="6" t="str">
        <f t="shared" si="64"/>
        <v>unknown</v>
      </c>
      <c r="L1052" s="6" t="str">
        <f t="shared" si="65"/>
        <v>Graze</v>
      </c>
      <c r="M1052" s="6" t="str">
        <f t="shared" si="66"/>
        <v>Sweet Chilli Crunch</v>
      </c>
      <c r="N1052" s="6" t="str">
        <f t="shared" si="67"/>
        <v>Gb</v>
      </c>
    </row>
    <row r="1053" spans="1:14" x14ac:dyDescent="0.25">
      <c r="A1053" s="6" t="s">
        <v>2693</v>
      </c>
      <c r="B1053" s="6">
        <v>7408</v>
      </c>
      <c r="C1053" s="6" t="s">
        <v>2694</v>
      </c>
      <c r="D1053" s="7" t="s">
        <v>587</v>
      </c>
      <c r="E1053" s="6">
        <v>100</v>
      </c>
      <c r="F1053" s="6" t="s">
        <v>177</v>
      </c>
      <c r="G1053" s="8">
        <v>45447</v>
      </c>
      <c r="H1053" s="6">
        <v>11.7</v>
      </c>
      <c r="I1053" s="6" cm="1">
        <f t="array" ref="I1053">IFERROR(VALUE(TRIM(LEFT(E1053,MIN(FIND({" ";"g";"k";"m";"o"},E1053&amp;" gkmo"))-1))),0)</f>
        <v>100</v>
      </c>
      <c r="J1053" s="6" t="str" cm="1">
        <f t="array" ref="J1053">IFERROR(TRIM(MID(E1053,MIN(FIND({" ";"g";"k";"m";"o"},E1053&amp;" gkmo")),10)),"unknown")</f>
        <v/>
      </c>
      <c r="K1053" s="6" t="str">
        <f t="shared" si="64"/>
        <v>unknown</v>
      </c>
      <c r="L1053" s="6" t="str">
        <f t="shared" si="65"/>
        <v>Graze</v>
      </c>
      <c r="M1053" s="6" t="str">
        <f t="shared" si="66"/>
        <v>Peri Peri Crunch</v>
      </c>
      <c r="N1053" s="6" t="str">
        <f t="shared" si="67"/>
        <v>United Kingdom</v>
      </c>
    </row>
    <row r="1054" spans="1:14" x14ac:dyDescent="0.25">
      <c r="A1054" s="6" t="s">
        <v>2695</v>
      </c>
      <c r="B1054" s="6">
        <v>13679</v>
      </c>
      <c r="C1054" s="6" t="s">
        <v>2696</v>
      </c>
      <c r="D1054" s="7" t="s">
        <v>7017</v>
      </c>
      <c r="E1054" s="6" t="s">
        <v>2083</v>
      </c>
      <c r="F1054" s="6" t="s">
        <v>8308</v>
      </c>
      <c r="G1054" s="8">
        <v>45568</v>
      </c>
      <c r="H1054" s="6">
        <v>15.22</v>
      </c>
      <c r="I1054" s="6" cm="1">
        <f t="array" ref="I1054">IFERROR(VALUE(TRIM(LEFT(E1054,MIN(FIND({" ";"g";"k";"m";"o"},E1054&amp;" gkmo"))-1))),0)</f>
        <v>240</v>
      </c>
      <c r="J1054" s="6" t="str" cm="1">
        <f t="array" ref="J1054">IFERROR(TRIM(MID(E1054,MIN(FIND({" ";"g";"k";"m";"o"},E1054&amp;" gkmo")),10)),"unknown")</f>
        <v>g</v>
      </c>
      <c r="K1054" s="6" t="str">
        <f t="shared" si="64"/>
        <v>g</v>
      </c>
      <c r="L1054" s="6" t="str">
        <f t="shared" si="65"/>
        <v>Unknown</v>
      </c>
      <c r="M1054" s="6" t="str">
        <f t="shared" si="66"/>
        <v>Mini Brownies Lidl</v>
      </c>
      <c r="N1054" s="6" t="str">
        <f t="shared" si="67"/>
        <v>Belgium,France,Italie</v>
      </c>
    </row>
    <row r="1055" spans="1:14" x14ac:dyDescent="0.25">
      <c r="A1055" s="6" t="s">
        <v>2697</v>
      </c>
      <c r="B1055" s="6">
        <v>10166</v>
      </c>
      <c r="C1055" s="6" t="s">
        <v>2698</v>
      </c>
      <c r="D1055" s="7" t="s">
        <v>2699</v>
      </c>
      <c r="E1055" s="6" t="s">
        <v>2700</v>
      </c>
      <c r="F1055" s="6" t="s">
        <v>2701</v>
      </c>
      <c r="G1055" s="8">
        <v>45401</v>
      </c>
      <c r="H1055" s="6">
        <v>24.75</v>
      </c>
      <c r="I1055" s="6" cm="1">
        <f t="array" ref="I1055">IFERROR(VALUE(TRIM(LEFT(E1055,MIN(FIND({" ";"g";"k";"m";"o"},E1055&amp;" gkmo"))-1))),0)</f>
        <v>146</v>
      </c>
      <c r="J1055" s="6" t="str" cm="1">
        <f t="array" ref="J1055">IFERROR(TRIM(MID(E1055,MIN(FIND({" ";"g";"k";"m";"o"},E1055&amp;" gkmo")),10)),"unknown")</f>
        <v>g</v>
      </c>
      <c r="K1055" s="6" t="str">
        <f t="shared" si="64"/>
        <v>g</v>
      </c>
      <c r="L1055" s="6" t="str">
        <f t="shared" si="65"/>
        <v>Brun</v>
      </c>
      <c r="M1055" s="6" t="str">
        <f t="shared" si="66"/>
        <v>Brun - 14 Wafers Vanilla Flavor, 146G (5.2Oz)</v>
      </c>
      <c r="N1055" s="6" t="str">
        <f t="shared" si="67"/>
        <v>Frankrijk,Zwitserland</v>
      </c>
    </row>
    <row r="1056" spans="1:14" x14ac:dyDescent="0.25">
      <c r="A1056" s="6" t="s">
        <v>2702</v>
      </c>
      <c r="B1056" s="6">
        <v>11068</v>
      </c>
      <c r="C1056" s="6" t="s">
        <v>2703</v>
      </c>
      <c r="D1056" s="7" t="s">
        <v>744</v>
      </c>
      <c r="E1056" s="6" t="s">
        <v>2704</v>
      </c>
      <c r="F1056" s="6" t="s">
        <v>139</v>
      </c>
      <c r="G1056" s="8">
        <v>45838</v>
      </c>
      <c r="H1056" s="6">
        <v>18.809999999999999</v>
      </c>
      <c r="I1056" s="6" cm="1">
        <f t="array" ref="I1056">IFERROR(VALUE(TRIM(LEFT(E1056,MIN(FIND({" ";"g";"k";"m";"o"},E1056&amp;" gkmo"))-1))),0)</f>
        <v>170</v>
      </c>
      <c r="J1056" s="6" t="str" cm="1">
        <f t="array" ref="J1056">IFERROR(TRIM(MID(E1056,MIN(FIND({" ";"g";"k";"m";"o"},E1056&amp;" gkmo")),10)),"unknown")</f>
        <v>g e</v>
      </c>
      <c r="K1056" s="6" t="str">
        <f t="shared" si="64"/>
        <v>g</v>
      </c>
      <c r="L1056" s="6" t="str">
        <f t="shared" si="65"/>
        <v>Lu, Mondelez</v>
      </c>
      <c r="M1056" s="6" t="str">
        <f t="shared" si="66"/>
        <v>La Paille D'Or Aux Fraises</v>
      </c>
      <c r="N1056" s="6" t="str">
        <f t="shared" si="67"/>
        <v>France</v>
      </c>
    </row>
    <row r="1057" spans="1:14" x14ac:dyDescent="0.25">
      <c r="A1057" s="6" t="s">
        <v>2705</v>
      </c>
      <c r="B1057" s="6">
        <v>5976</v>
      </c>
      <c r="C1057" s="6" t="s">
        <v>2706</v>
      </c>
      <c r="D1057" s="7" t="s">
        <v>60</v>
      </c>
      <c r="E1057" s="6" t="s">
        <v>39</v>
      </c>
      <c r="F1057" s="6" t="s">
        <v>139</v>
      </c>
      <c r="G1057" s="8">
        <v>45935</v>
      </c>
      <c r="H1057" s="6">
        <v>1.04</v>
      </c>
      <c r="I1057" s="6" cm="1">
        <f t="array" ref="I1057">IFERROR(VALUE(TRIM(LEFT(E1057,MIN(FIND({" ";"g";"k";"m";"o"},E1057&amp;" gkmo"))-1))),0)</f>
        <v>150</v>
      </c>
      <c r="J1057" s="6" t="str" cm="1">
        <f t="array" ref="J1057">IFERROR(TRIM(MID(E1057,MIN(FIND({" ";"g";"k";"m";"o"},E1057&amp;" gkmo")),10)),"unknown")</f>
        <v>g</v>
      </c>
      <c r="K1057" s="6" t="str">
        <f t="shared" si="64"/>
        <v>g</v>
      </c>
      <c r="L1057" s="6" t="str">
        <f t="shared" si="65"/>
        <v>Lindt</v>
      </c>
      <c r="M1057" s="6" t="str">
        <f t="shared" si="66"/>
        <v>Lindor Noir</v>
      </c>
      <c r="N1057" s="6" t="str">
        <f t="shared" si="67"/>
        <v>France</v>
      </c>
    </row>
    <row r="1058" spans="1:14" x14ac:dyDescent="0.25">
      <c r="A1058" s="6" t="s">
        <v>2707</v>
      </c>
      <c r="B1058" s="6">
        <v>11520</v>
      </c>
      <c r="C1058" s="6" t="s">
        <v>2708</v>
      </c>
      <c r="D1058" s="7" t="s">
        <v>1345</v>
      </c>
      <c r="E1058" s="6" t="s">
        <v>138</v>
      </c>
      <c r="F1058" s="6" t="s">
        <v>139</v>
      </c>
      <c r="G1058" s="8">
        <v>45672</v>
      </c>
      <c r="H1058" s="6">
        <v>8.75</v>
      </c>
      <c r="I1058" s="6" cm="1">
        <f t="array" ref="I1058">IFERROR(VALUE(TRIM(LEFT(E1058,MIN(FIND({" ";"g";"k";"m";"o"},E1058&amp;" gkmo"))-1))),0)</f>
        <v>400</v>
      </c>
      <c r="J1058" s="6" t="str" cm="1">
        <f t="array" ref="J1058">IFERROR(TRIM(MID(E1058,MIN(FIND({" ";"g";"k";"m";"o"},E1058&amp;" gkmo")),10)),"unknown")</f>
        <v>g</v>
      </c>
      <c r="K1058" s="6" t="str">
        <f t="shared" si="64"/>
        <v>g</v>
      </c>
      <c r="L1058" s="6" t="str">
        <f t="shared" si="65"/>
        <v>Haribo</v>
      </c>
      <c r="M1058" s="6" t="str">
        <f t="shared" si="66"/>
        <v>Tagada, L'Originale</v>
      </c>
      <c r="N1058" s="6" t="str">
        <f t="shared" si="67"/>
        <v>France</v>
      </c>
    </row>
    <row r="1059" spans="1:14" x14ac:dyDescent="0.25">
      <c r="A1059" s="6" t="s">
        <v>2709</v>
      </c>
      <c r="B1059" s="6">
        <v>8343</v>
      </c>
      <c r="C1059" s="6" t="s">
        <v>2710</v>
      </c>
      <c r="D1059" s="7" t="s">
        <v>2711</v>
      </c>
      <c r="E1059" s="6" t="s">
        <v>2712</v>
      </c>
      <c r="F1059" s="6" t="s">
        <v>1181</v>
      </c>
      <c r="G1059" s="8">
        <v>46039</v>
      </c>
      <c r="H1059" s="6">
        <v>11.11</v>
      </c>
      <c r="I1059" s="6" cm="1">
        <f t="array" ref="I1059">IFERROR(VALUE(TRIM(LEFT(E1059,MIN(FIND({" ";"g";"k";"m";"o"},E1059&amp;" gkmo"))-1))),0)</f>
        <v>87</v>
      </c>
      <c r="J1059" s="6" t="str" cm="1">
        <f t="array" ref="J1059">IFERROR(TRIM(MID(E1059,MIN(FIND({" ";"g";"k";"m";"o"},E1059&amp;" gkmo")),10)),"unknown")</f>
        <v>g</v>
      </c>
      <c r="K1059" s="6" t="str">
        <f t="shared" si="64"/>
        <v>g</v>
      </c>
      <c r="L1059" s="6" t="str">
        <f t="shared" si="65"/>
        <v>Saint Michel</v>
      </c>
      <c r="M1059" s="6" t="str">
        <f t="shared" si="66"/>
        <v>Le Palmier</v>
      </c>
      <c r="N1059" s="6" t="str">
        <f t="shared" si="67"/>
        <v>France,Switzerland</v>
      </c>
    </row>
    <row r="1060" spans="1:14" x14ac:dyDescent="0.25">
      <c r="A1060" s="6" t="s">
        <v>2713</v>
      </c>
      <c r="B1060" s="6">
        <v>13247</v>
      </c>
      <c r="C1060" s="6" t="s">
        <v>2714</v>
      </c>
      <c r="D1060" s="7" t="s">
        <v>2715</v>
      </c>
      <c r="E1060" s="6" t="s">
        <v>304</v>
      </c>
      <c r="F1060" s="6" t="s">
        <v>1181</v>
      </c>
      <c r="G1060" s="8">
        <v>45874</v>
      </c>
      <c r="H1060" s="6">
        <v>2.29</v>
      </c>
      <c r="I1060" s="6" cm="1">
        <f t="array" ref="I1060">IFERROR(VALUE(TRIM(LEFT(E1060,MIN(FIND({" ";"g";"k";"m";"o"},E1060&amp;" gkmo"))-1))),0)</f>
        <v>135</v>
      </c>
      <c r="J1060" s="6" t="str" cm="1">
        <f t="array" ref="J1060">IFERROR(TRIM(MID(E1060,MIN(FIND({" ";"g";"k";"m";"o"},E1060&amp;" gkmo")),10)),"unknown")</f>
        <v>g</v>
      </c>
      <c r="K1060" s="6" t="str">
        <f t="shared" si="64"/>
        <v>g</v>
      </c>
      <c r="L1060" s="6" t="str">
        <f t="shared" si="65"/>
        <v>Intersnack France, Vico</v>
      </c>
      <c r="M1060" s="6" t="str">
        <f t="shared" si="66"/>
        <v>La Classique Nature</v>
      </c>
      <c r="N1060" s="6" t="str">
        <f t="shared" si="67"/>
        <v>France,Switzerland</v>
      </c>
    </row>
    <row r="1061" spans="1:14" x14ac:dyDescent="0.25">
      <c r="A1061" s="6" t="s">
        <v>2716</v>
      </c>
      <c r="B1061" s="6">
        <v>5515</v>
      </c>
      <c r="C1061" s="6" t="s">
        <v>2717</v>
      </c>
      <c r="D1061" s="7" t="s">
        <v>2718</v>
      </c>
      <c r="E1061" s="6" t="s">
        <v>2719</v>
      </c>
      <c r="F1061" s="6" t="s">
        <v>7926</v>
      </c>
      <c r="G1061" s="8">
        <v>45792</v>
      </c>
      <c r="H1061" s="6">
        <v>10.43</v>
      </c>
      <c r="I1061" s="6" cm="1">
        <f t="array" ref="I1061">IFERROR(VALUE(TRIM(LEFT(E1061,MIN(FIND({" ";"g";"k";"m";"o"},E1061&amp;" gkmo"))-1))),0)</f>
        <v>300</v>
      </c>
      <c r="J1061" s="6" t="str" cm="1">
        <f t="array" ref="J1061">IFERROR(TRIM(MID(E1061,MIN(FIND({" ";"g";"k";"m";"o"},E1061&amp;" gkmo")),10)),"unknown")</f>
        <v>g e / 16</v>
      </c>
      <c r="K1061" s="6" t="str">
        <f t="shared" si="64"/>
        <v>g</v>
      </c>
      <c r="L1061" s="6" t="str">
        <f t="shared" si="65"/>
        <v>Paterson'S</v>
      </c>
      <c r="M1061" s="6" t="str">
        <f t="shared" si="66"/>
        <v>Clotted Cream Shortbread Fingers</v>
      </c>
      <c r="N1061" s="6" t="str">
        <f t="shared" si="67"/>
        <v>France, United-Kingdom</v>
      </c>
    </row>
    <row r="1062" spans="1:14" x14ac:dyDescent="0.25">
      <c r="A1062" s="6" t="s">
        <v>2720</v>
      </c>
      <c r="B1062" s="6">
        <v>13471</v>
      </c>
      <c r="C1062" s="6" t="s">
        <v>7191</v>
      </c>
      <c r="D1062" s="7" t="s">
        <v>1926</v>
      </c>
      <c r="E1062" s="6" t="s">
        <v>2721</v>
      </c>
      <c r="F1062" s="6" t="s">
        <v>8309</v>
      </c>
      <c r="G1062" s="8">
        <v>45890</v>
      </c>
      <c r="H1062" s="6">
        <v>22.82</v>
      </c>
      <c r="I1062" s="6" cm="1">
        <f t="array" ref="I1062">IFERROR(VALUE(TRIM(LEFT(E1062,MIN(FIND({" ";"g";"k";"m";"o"},E1062&amp;" gkmo"))-1))),0)</f>
        <v>75</v>
      </c>
      <c r="J1062" s="6" t="str" cm="1">
        <f t="array" ref="J1062">IFERROR(TRIM(MID(E1062,MIN(FIND({" ";"g";"k";"m";"o"},E1062&amp;" gkmo")),10)),"unknown")</f>
        <v>g e</v>
      </c>
      <c r="K1062" s="6" t="str">
        <f t="shared" si="64"/>
        <v>g</v>
      </c>
      <c r="L1062" s="6" t="str">
        <f t="shared" si="65"/>
        <v>Lu,Mondelez International</v>
      </c>
      <c r="M1062" s="6" t="str">
        <f t="shared" si="66"/>
        <v>Tuc Original - Biscuits Salé</v>
      </c>
      <c r="N1062" s="6" t="str">
        <f t="shared" si="67"/>
        <v>Belgium,France,Guadeloupe,Italie</v>
      </c>
    </row>
    <row r="1063" spans="1:14" x14ac:dyDescent="0.25">
      <c r="A1063" s="6" t="s">
        <v>2722</v>
      </c>
      <c r="B1063" s="6">
        <v>7062</v>
      </c>
      <c r="C1063" s="6" t="s">
        <v>7017</v>
      </c>
      <c r="D1063" s="7" t="s">
        <v>2723</v>
      </c>
      <c r="E1063" s="6" t="s">
        <v>284</v>
      </c>
      <c r="F1063" s="6" t="s">
        <v>213</v>
      </c>
      <c r="G1063" s="8">
        <v>45831</v>
      </c>
      <c r="H1063" s="6">
        <v>13.16</v>
      </c>
      <c r="I1063" s="6" cm="1">
        <f t="array" ref="I1063">IFERROR(VALUE(TRIM(LEFT(E1063,MIN(FIND({" ";"g";"k";"m";"o"},E1063&amp;" gkmo"))-1))),0)</f>
        <v>180</v>
      </c>
      <c r="J1063" s="6" t="str" cm="1">
        <f t="array" ref="J1063">IFERROR(TRIM(MID(E1063,MIN(FIND({" ";"g";"k";"m";"o"},E1063&amp;" gkmo")),10)),"unknown")</f>
        <v>g</v>
      </c>
      <c r="K1063" s="6" t="str">
        <f t="shared" si="64"/>
        <v>g</v>
      </c>
      <c r="L1063" s="6" t="str">
        <f t="shared" si="65"/>
        <v>Confetteria Raffaello,Ferrero</v>
      </c>
      <c r="M1063" s="6" t="str">
        <f t="shared" si="66"/>
        <v>Unknown</v>
      </c>
      <c r="N1063" s="6" t="str">
        <f t="shared" si="67"/>
        <v>Belgium,France</v>
      </c>
    </row>
    <row r="1064" spans="1:14" x14ac:dyDescent="0.25">
      <c r="A1064" s="6" t="s">
        <v>2724</v>
      </c>
      <c r="B1064" s="6">
        <v>8073</v>
      </c>
      <c r="C1064" s="6" t="s">
        <v>2725</v>
      </c>
      <c r="D1064" s="7" t="s">
        <v>2726</v>
      </c>
      <c r="E1064" s="6" t="s">
        <v>543</v>
      </c>
      <c r="F1064" s="6" t="s">
        <v>7599</v>
      </c>
      <c r="G1064" s="8">
        <v>45651</v>
      </c>
      <c r="H1064" s="6">
        <v>13.69</v>
      </c>
      <c r="I1064" s="6" cm="1">
        <f t="array" ref="I1064">IFERROR(VALUE(TRIM(LEFT(E1064,MIN(FIND({" ";"g";"k";"m";"o"},E1064&amp;" gkmo"))-1))),0)</f>
        <v>14</v>
      </c>
      <c r="J1064" s="6" t="str" cm="1">
        <f t="array" ref="J1064">IFERROR(TRIM(MID(E1064,MIN(FIND({" ";"g";"k";"m";"o"},E1064&amp;" gkmo")),10)),"unknown")</f>
        <v>g</v>
      </c>
      <c r="K1064" s="6" t="str">
        <f t="shared" si="64"/>
        <v>g</v>
      </c>
      <c r="L1064" s="6" t="str">
        <f t="shared" si="65"/>
        <v>Sol De Alba</v>
      </c>
      <c r="M1064" s="6" t="str">
        <f t="shared" si="66"/>
        <v>King Kotes - Corn Fried Barbecue Flavoured</v>
      </c>
      <c r="N1064" s="6" t="str">
        <f t="shared" si="67"/>
        <v>Marruecos,Espaà±A</v>
      </c>
    </row>
    <row r="1065" spans="1:14" x14ac:dyDescent="0.25">
      <c r="A1065" s="6" t="s">
        <v>2727</v>
      </c>
      <c r="B1065" s="6">
        <v>8708</v>
      </c>
      <c r="C1065" s="6" t="s">
        <v>2728</v>
      </c>
      <c r="D1065" s="7" t="s">
        <v>248</v>
      </c>
      <c r="E1065" s="6" t="s">
        <v>84</v>
      </c>
      <c r="F1065" s="6" t="s">
        <v>177</v>
      </c>
      <c r="G1065" s="8">
        <v>45517</v>
      </c>
      <c r="H1065" s="6">
        <v>21.14</v>
      </c>
      <c r="I1065" s="6" cm="1">
        <f t="array" ref="I1065">IFERROR(VALUE(TRIM(LEFT(E1065,MIN(FIND({" ";"g";"k";"m";"o"},E1065&amp;" gkmo"))-1))),0)</f>
        <v>85</v>
      </c>
      <c r="J1065" s="6" t="str" cm="1">
        <f t="array" ref="J1065">IFERROR(TRIM(MID(E1065,MIN(FIND({" ";"g";"k";"m";"o"},E1065&amp;" gkmo")),10)),"unknown")</f>
        <v>g</v>
      </c>
      <c r="K1065" s="6" t="str">
        <f t="shared" si="64"/>
        <v>g</v>
      </c>
      <c r="L1065" s="6" t="str">
        <f t="shared" si="65"/>
        <v>Tesco</v>
      </c>
      <c r="M1065" s="6" t="str">
        <f t="shared" si="66"/>
        <v>Salted Popcorn</v>
      </c>
      <c r="N1065" s="6" t="str">
        <f t="shared" si="67"/>
        <v>United Kingdom</v>
      </c>
    </row>
    <row r="1066" spans="1:14" x14ac:dyDescent="0.25">
      <c r="A1066" s="6" t="s">
        <v>2729</v>
      </c>
      <c r="B1066" s="6">
        <v>7179</v>
      </c>
      <c r="C1066" s="6" t="s">
        <v>7691</v>
      </c>
      <c r="D1066" s="7" t="s">
        <v>600</v>
      </c>
      <c r="E1066" s="6" t="s">
        <v>10</v>
      </c>
      <c r="F1066" s="6" t="s">
        <v>139</v>
      </c>
      <c r="G1066" s="8">
        <v>45407</v>
      </c>
      <c r="H1066" s="6">
        <v>5.51</v>
      </c>
      <c r="I1066" s="6" cm="1">
        <f t="array" ref="I1066">IFERROR(VALUE(TRIM(LEFT(E1066,MIN(FIND({" ";"g";"k";"m";"o"},E1066&amp;" gkmo"))-1))),0)</f>
        <v>100</v>
      </c>
      <c r="J1066" s="6" t="str" cm="1">
        <f t="array" ref="J1066">IFERROR(TRIM(MID(E1066,MIN(FIND({" ";"g";"k";"m";"o"},E1066&amp;" gkmo")),10)),"unknown")</f>
        <v>g</v>
      </c>
      <c r="K1066" s="6" t="str">
        <f t="shared" si="64"/>
        <v>g</v>
      </c>
      <c r="L1066" s="6" t="str">
        <f t="shared" si="65"/>
        <v>Ethiquable</v>
      </c>
      <c r="M1066" s="6" t="str">
        <f t="shared" si="66"/>
        <v>Chocolat Noir Et Caramel Cà´Te D'Ivoire 78%</v>
      </c>
      <c r="N1066" s="6" t="str">
        <f t="shared" si="67"/>
        <v>France</v>
      </c>
    </row>
    <row r="1067" spans="1:14" x14ac:dyDescent="0.25">
      <c r="A1067" s="6" t="s">
        <v>2730</v>
      </c>
      <c r="B1067" s="6">
        <v>9601</v>
      </c>
      <c r="C1067" s="6" t="s">
        <v>2731</v>
      </c>
      <c r="D1067" s="7" t="s">
        <v>1572</v>
      </c>
      <c r="E1067" s="6"/>
      <c r="F1067" s="6" t="s">
        <v>2973</v>
      </c>
      <c r="G1067" s="8">
        <v>45679</v>
      </c>
      <c r="H1067" s="6">
        <v>11.81</v>
      </c>
      <c r="I1067" s="6" cm="1">
        <f t="array" ref="I1067">IFERROR(VALUE(TRIM(LEFT(E1067,MIN(FIND({" ";"g";"k";"m";"o"},E1067&amp;" gkmo"))-1))),0)</f>
        <v>0</v>
      </c>
      <c r="J1067" s="6" t="str" cm="1">
        <f t="array" ref="J1067">IFERROR(TRIM(MID(E1067,MIN(FIND({" ";"g";"k";"m";"o"},E1067&amp;" gkmo")),10)),"unknown")</f>
        <v/>
      </c>
      <c r="K1067" s="6" t="str">
        <f t="shared" si="64"/>
        <v>unknown</v>
      </c>
      <c r="L1067" s="6" t="str">
        <f t="shared" si="65"/>
        <v>Asda</v>
      </c>
      <c r="M1067" s="6" t="str">
        <f t="shared" si="66"/>
        <v>Scottish Shortbread Fingers</v>
      </c>
      <c r="N1067" s="6" t="str">
        <f t="shared" si="67"/>
        <v>Gb</v>
      </c>
    </row>
    <row r="1068" spans="1:14" x14ac:dyDescent="0.25">
      <c r="A1068" s="6" t="s">
        <v>2732</v>
      </c>
      <c r="B1068" s="6">
        <v>8246</v>
      </c>
      <c r="C1068" s="6" t="s">
        <v>2733</v>
      </c>
      <c r="D1068" s="7" t="s">
        <v>2506</v>
      </c>
      <c r="E1068" s="6"/>
      <c r="F1068" s="6" t="s">
        <v>8024</v>
      </c>
      <c r="G1068" s="8">
        <v>45957</v>
      </c>
      <c r="H1068" s="6">
        <v>13.16</v>
      </c>
      <c r="I1068" s="6" cm="1">
        <f t="array" ref="I1068">IFERROR(VALUE(TRIM(LEFT(E1068,MIN(FIND({" ";"g";"k";"m";"o"},E1068&amp;" gkmo"))-1))),0)</f>
        <v>0</v>
      </c>
      <c r="J1068" s="6" t="str" cm="1">
        <f t="array" ref="J1068">IFERROR(TRIM(MID(E1068,MIN(FIND({" ";"g";"k";"m";"o"},E1068&amp;" gkmo")),10)),"unknown")</f>
        <v/>
      </c>
      <c r="K1068" s="6" t="str">
        <f t="shared" si="64"/>
        <v>unknown</v>
      </c>
      <c r="L1068" s="6" t="str">
        <f t="shared" si="65"/>
        <v>Roshen</v>
      </c>
      <c r="M1068" s="6" t="str">
        <f t="shared" si="66"/>
        <v>Wafers</v>
      </c>
      <c r="N1068" s="6" t="str">
        <f t="shared" si="67"/>
        <v>Ge</v>
      </c>
    </row>
    <row r="1069" spans="1:14" x14ac:dyDescent="0.25">
      <c r="A1069" s="6" t="s">
        <v>2734</v>
      </c>
      <c r="B1069" s="6">
        <v>5053</v>
      </c>
      <c r="C1069" s="6" t="s">
        <v>2735</v>
      </c>
      <c r="D1069" s="7" t="s">
        <v>660</v>
      </c>
      <c r="E1069" s="6" t="s">
        <v>44</v>
      </c>
      <c r="F1069" s="6" t="s">
        <v>2973</v>
      </c>
      <c r="G1069" s="8">
        <v>45986</v>
      </c>
      <c r="H1069" s="6">
        <v>11.15</v>
      </c>
      <c r="I1069" s="6" cm="1">
        <f t="array" ref="I1069">IFERROR(VALUE(TRIM(LEFT(E1069,MIN(FIND({" ";"g";"k";"m";"o"},E1069&amp;" gkmo"))-1))),0)</f>
        <v>90</v>
      </c>
      <c r="J1069" s="6" t="str" cm="1">
        <f t="array" ref="J1069">IFERROR(TRIM(MID(E1069,MIN(FIND({" ";"g";"k";"m";"o"},E1069&amp;" gkmo")),10)),"unknown")</f>
        <v>g</v>
      </c>
      <c r="K1069" s="6" t="str">
        <f t="shared" si="64"/>
        <v>g</v>
      </c>
      <c r="L1069" s="6" t="str">
        <f t="shared" si="65"/>
        <v>Montezuma'S</v>
      </c>
      <c r="M1069" s="6" t="str">
        <f t="shared" si="66"/>
        <v>Absolute Black Orange &amp; Cocoa Nibs</v>
      </c>
      <c r="N1069" s="6" t="str">
        <f t="shared" si="67"/>
        <v>Gb</v>
      </c>
    </row>
    <row r="1070" spans="1:14" x14ac:dyDescent="0.25">
      <c r="A1070" s="6" t="s">
        <v>2736</v>
      </c>
      <c r="B1070" s="6">
        <v>7764</v>
      </c>
      <c r="C1070" s="6" t="s">
        <v>2737</v>
      </c>
      <c r="D1070" s="7" t="s">
        <v>2738</v>
      </c>
      <c r="E1070" s="6" t="s">
        <v>1669</v>
      </c>
      <c r="F1070" s="6" t="s">
        <v>177</v>
      </c>
      <c r="G1070" s="8">
        <v>45914</v>
      </c>
      <c r="H1070" s="6">
        <v>24.61</v>
      </c>
      <c r="I1070" s="6" cm="1">
        <f t="array" ref="I1070">IFERROR(VALUE(TRIM(LEFT(E1070,MIN(FIND({" ";"g";"k";"m";"o"},E1070&amp;" gkmo"))-1))),0)</f>
        <v>195</v>
      </c>
      <c r="J1070" s="6" t="str" cm="1">
        <f t="array" ref="J1070">IFERROR(TRIM(MID(E1070,MIN(FIND({" ";"g";"k";"m";"o"},E1070&amp;" gkmo")),10)),"unknown")</f>
        <v>g</v>
      </c>
      <c r="K1070" s="6" t="str">
        <f t="shared" si="64"/>
        <v>g</v>
      </c>
      <c r="L1070" s="6" t="str">
        <f t="shared" si="65"/>
        <v>Mrs Crimbles</v>
      </c>
      <c r="M1070" s="6" t="str">
        <f t="shared" si="66"/>
        <v>Macaroons</v>
      </c>
      <c r="N1070" s="6" t="str">
        <f t="shared" si="67"/>
        <v>United Kingdom</v>
      </c>
    </row>
    <row r="1071" spans="1:14" x14ac:dyDescent="0.25">
      <c r="A1071" s="6" t="s">
        <v>2739</v>
      </c>
      <c r="B1071" s="6">
        <v>14340</v>
      </c>
      <c r="C1071" s="6" t="s">
        <v>2740</v>
      </c>
      <c r="D1071" s="7" t="s">
        <v>452</v>
      </c>
      <c r="E1071" s="6" t="s">
        <v>2741</v>
      </c>
      <c r="F1071" s="6" t="s">
        <v>7595</v>
      </c>
      <c r="G1071" s="8">
        <v>45497</v>
      </c>
      <c r="H1071" s="6">
        <v>13.16</v>
      </c>
      <c r="I1071" s="6" cm="1">
        <f t="array" ref="I1071">IFERROR(VALUE(TRIM(LEFT(E1071,MIN(FIND({" ";"g";"k";"m";"o"},E1071&amp;" gkmo"))-1))),0)</f>
        <v>0</v>
      </c>
      <c r="J1071" s="6" t="str" cm="1">
        <f t="array" ref="J1071">IFERROR(TRIM(MID(E1071,MIN(FIND({" ";"g";"k";"m";"o"},E1071&amp;" gkmo")),10)),"unknown")</f>
        <v>g</v>
      </c>
      <c r="K1071" s="6" t="str">
        <f t="shared" si="64"/>
        <v>g</v>
      </c>
      <c r="L1071" s="6" t="str">
        <f t="shared" si="65"/>
        <v>Hacendado</v>
      </c>
      <c r="M1071" s="6" t="str">
        <f t="shared" si="66"/>
        <v>Gelatina +Proteinas Frutos Silvestres</v>
      </c>
      <c r="N1071" s="6" t="str">
        <f t="shared" si="67"/>
        <v>Espaà±A</v>
      </c>
    </row>
    <row r="1072" spans="1:14" x14ac:dyDescent="0.25">
      <c r="A1072" s="6" t="s">
        <v>2742</v>
      </c>
      <c r="B1072" s="6">
        <v>8496</v>
      </c>
      <c r="C1072" s="6" t="s">
        <v>2743</v>
      </c>
      <c r="D1072" s="7" t="s">
        <v>2744</v>
      </c>
      <c r="E1072" s="6"/>
      <c r="F1072" s="6" t="s">
        <v>177</v>
      </c>
      <c r="G1072" s="8">
        <v>46048</v>
      </c>
      <c r="H1072" s="6">
        <v>22.22</v>
      </c>
      <c r="I1072" s="6" cm="1">
        <f t="array" ref="I1072">IFERROR(VALUE(TRIM(LEFT(E1072,MIN(FIND({" ";"g";"k";"m";"o"},E1072&amp;" gkmo"))-1))),0)</f>
        <v>0</v>
      </c>
      <c r="J1072" s="6" t="str" cm="1">
        <f t="array" ref="J1072">IFERROR(TRIM(MID(E1072,MIN(FIND({" ";"g";"k";"m";"o"},E1072&amp;" gkmo")),10)),"unknown")</f>
        <v/>
      </c>
      <c r="K1072" s="6" t="str">
        <f t="shared" si="64"/>
        <v>unknown</v>
      </c>
      <c r="L1072" s="6" t="str">
        <f t="shared" si="65"/>
        <v>Walkers</v>
      </c>
      <c r="M1072" s="6" t="str">
        <f t="shared" si="66"/>
        <v>Ready Salted Crisps</v>
      </c>
      <c r="N1072" s="6" t="str">
        <f t="shared" si="67"/>
        <v>United Kingdom</v>
      </c>
    </row>
    <row r="1073" spans="1:14" x14ac:dyDescent="0.25">
      <c r="A1073" s="6" t="s">
        <v>2745</v>
      </c>
      <c r="B1073" s="6">
        <v>12239</v>
      </c>
      <c r="C1073" s="6" t="s">
        <v>2746</v>
      </c>
      <c r="D1073" s="7" t="s">
        <v>2746</v>
      </c>
      <c r="E1073" s="6" t="s">
        <v>2747</v>
      </c>
      <c r="F1073" s="6" t="s">
        <v>48</v>
      </c>
      <c r="G1073" s="8">
        <v>45435</v>
      </c>
      <c r="H1073" s="6">
        <v>22.26</v>
      </c>
      <c r="I1073" s="6" cm="1">
        <f t="array" ref="I1073">IFERROR(VALUE(TRIM(LEFT(E1073,MIN(FIND({" ";"g";"k";"m";"o"},E1073&amp;" gkmo"))-1))),0)</f>
        <v>57</v>
      </c>
      <c r="J1073" s="6" t="str" cm="1">
        <f t="array" ref="J1073">IFERROR(TRIM(MID(E1073,MIN(FIND({" ";"g";"k";"m";"o"},E1073&amp;" gkmo")),10)),"unknown")</f>
        <v>g</v>
      </c>
      <c r="K1073" s="6" t="str">
        <f t="shared" si="64"/>
        <v>g</v>
      </c>
      <c r="L1073" s="6" t="str">
        <f t="shared" si="65"/>
        <v>Bounty</v>
      </c>
      <c r="M1073" s="6" t="str">
        <f t="shared" si="66"/>
        <v>Bounty</v>
      </c>
      <c r="N1073" s="6" t="str">
        <f t="shared" si="67"/>
        <v>Morocco</v>
      </c>
    </row>
    <row r="1074" spans="1:14" x14ac:dyDescent="0.25">
      <c r="A1074" s="6" t="s">
        <v>2748</v>
      </c>
      <c r="B1074" s="6">
        <v>12452</v>
      </c>
      <c r="C1074" s="6" t="s">
        <v>2749</v>
      </c>
      <c r="D1074" s="7" t="s">
        <v>2750</v>
      </c>
      <c r="E1074" s="6" t="s">
        <v>39</v>
      </c>
      <c r="F1074" s="6" t="s">
        <v>400</v>
      </c>
      <c r="G1074" s="8">
        <v>45405</v>
      </c>
      <c r="H1074" s="6">
        <v>23.51</v>
      </c>
      <c r="I1074" s="6" cm="1">
        <f t="array" ref="I1074">IFERROR(VALUE(TRIM(LEFT(E1074,MIN(FIND({" ";"g";"k";"m";"o"},E1074&amp;" gkmo"))-1))),0)</f>
        <v>150</v>
      </c>
      <c r="J1074" s="6" t="str" cm="1">
        <f t="array" ref="J1074">IFERROR(TRIM(MID(E1074,MIN(FIND({" ";"g";"k";"m";"o"},E1074&amp;" gkmo")),10)),"unknown")</f>
        <v>g</v>
      </c>
      <c r="K1074" s="6" t="str">
        <f t="shared" si="64"/>
        <v>g</v>
      </c>
      <c r="L1074" s="6" t="str">
        <f t="shared" si="65"/>
        <v>M&amp;S</v>
      </c>
      <c r="M1074" s="6" t="str">
        <f t="shared" si="66"/>
        <v>Lightly Sea Salted Hand Cooked Crisps</v>
      </c>
      <c r="N1074" s="6" t="str">
        <f t="shared" si="67"/>
        <v>France,United Kingdom</v>
      </c>
    </row>
    <row r="1075" spans="1:14" x14ac:dyDescent="0.25">
      <c r="A1075" s="6" t="s">
        <v>2751</v>
      </c>
      <c r="B1075" s="6">
        <v>5179</v>
      </c>
      <c r="C1075" s="6" t="s">
        <v>2752</v>
      </c>
      <c r="D1075" s="7" t="s">
        <v>150</v>
      </c>
      <c r="E1075" s="6" t="s">
        <v>335</v>
      </c>
      <c r="F1075" s="6" t="s">
        <v>1092</v>
      </c>
      <c r="G1075" s="8">
        <v>46017</v>
      </c>
      <c r="H1075" s="6">
        <v>21.43</v>
      </c>
      <c r="I1075" s="6" cm="1">
        <f t="array" ref="I1075">IFERROR(VALUE(TRIM(LEFT(E1075,MIN(FIND({" ";"g";"k";"m";"o"},E1075&amp;" gkmo"))-1))),0)</f>
        <v>250</v>
      </c>
      <c r="J1075" s="6" t="str" cm="1">
        <f t="array" ref="J1075">IFERROR(TRIM(MID(E1075,MIN(FIND({" ";"g";"k";"m";"o"},E1075&amp;" gkmo")),10)),"unknown")</f>
        <v>g</v>
      </c>
      <c r="K1075" s="6" t="str">
        <f t="shared" si="64"/>
        <v>g</v>
      </c>
      <c r="L1075" s="6" t="str">
        <f t="shared" si="65"/>
        <v>Alesto</v>
      </c>
      <c r="M1075" s="6" t="str">
        <f t="shared" si="66"/>
        <v>Chouchou</v>
      </c>
      <c r="N1075" s="6" t="str">
        <f t="shared" si="67"/>
        <v>Frankrijk</v>
      </c>
    </row>
    <row r="1076" spans="1:14" x14ac:dyDescent="0.25">
      <c r="A1076" s="6" t="s">
        <v>2753</v>
      </c>
      <c r="B1076" s="6">
        <v>8869</v>
      </c>
      <c r="C1076" s="6" t="s">
        <v>2754</v>
      </c>
      <c r="D1076" s="7" t="s">
        <v>13</v>
      </c>
      <c r="E1076" s="6" t="s">
        <v>2755</v>
      </c>
      <c r="F1076" s="6" t="s">
        <v>139</v>
      </c>
      <c r="G1076" s="8">
        <v>45643</v>
      </c>
      <c r="H1076" s="6">
        <v>9.9499999999999993</v>
      </c>
      <c r="I1076" s="6" cm="1">
        <f t="array" ref="I1076">IFERROR(VALUE(TRIM(LEFT(E1076,MIN(FIND({" ";"g";"k";"m";"o"},E1076&amp;" gkmo"))-1))),0)</f>
        <v>138</v>
      </c>
      <c r="J1076" s="6" t="str" cm="1">
        <f t="array" ref="J1076">IFERROR(TRIM(MID(E1076,MIN(FIND({" ";"g";"k";"m";"o"},E1076&amp;" gkmo")),10)),"unknown")</f>
        <v>g (6 * 23</v>
      </c>
      <c r="K1076" s="6" t="str">
        <f t="shared" si="64"/>
        <v>g</v>
      </c>
      <c r="L1076" s="6" t="str">
        <f t="shared" si="65"/>
        <v>Lu</v>
      </c>
      <c r="M1076" s="6" t="str">
        <f t="shared" si="66"/>
        <v>Grany Chocolatðÿ« Au Laitðÿ„Ðÿ¥› Noisettesðÿ¥Œ</v>
      </c>
      <c r="N1076" s="6" t="str">
        <f t="shared" si="67"/>
        <v>France</v>
      </c>
    </row>
    <row r="1077" spans="1:14" x14ac:dyDescent="0.25">
      <c r="A1077" s="6" t="s">
        <v>2756</v>
      </c>
      <c r="B1077" s="6">
        <v>8507</v>
      </c>
      <c r="C1077" s="6" t="s">
        <v>7192</v>
      </c>
      <c r="D1077" s="7" t="s">
        <v>310</v>
      </c>
      <c r="E1077" s="6" t="s">
        <v>2081</v>
      </c>
      <c r="F1077" s="6" t="s">
        <v>8468</v>
      </c>
      <c r="G1077" s="8">
        <v>45613</v>
      </c>
      <c r="H1077" s="6">
        <v>9.0299999999999994</v>
      </c>
      <c r="I1077" s="6" cm="1">
        <f t="array" ref="I1077">IFERROR(VALUE(TRIM(LEFT(E1077,MIN(FIND({" ";"g";"k";"m";"o"},E1077&amp;" gkmo"))-1))),0)</f>
        <v>120</v>
      </c>
      <c r="J1077" s="6" t="str" cm="1">
        <f t="array" ref="J1077">IFERROR(TRIM(MID(E1077,MIN(FIND({" ";"g";"k";"m";"o"},E1077&amp;" gkmo")),10)),"unknown")</f>
        <v>g</v>
      </c>
      <c r="K1077" s="6" t="str">
        <f t="shared" si="64"/>
        <v>g</v>
      </c>
      <c r="L1077" s="6" t="str">
        <f t="shared" si="65"/>
        <v>St Michel</v>
      </c>
      <c r="M1077" s="6" t="str">
        <f t="shared" si="66"/>
        <v>Sablé De Retz Le Véritable</v>
      </c>
      <c r="N1077" s="6" t="str">
        <f t="shared" si="67"/>
        <v>Belgium,France,Martinique,La Reunion,Switzerland</v>
      </c>
    </row>
    <row r="1078" spans="1:14" x14ac:dyDescent="0.25">
      <c r="A1078" s="6" t="s">
        <v>2757</v>
      </c>
      <c r="B1078" s="6">
        <v>14356</v>
      </c>
      <c r="C1078" s="6" t="s">
        <v>2758</v>
      </c>
      <c r="D1078" s="7" t="s">
        <v>1345</v>
      </c>
      <c r="E1078" s="6" t="s">
        <v>1293</v>
      </c>
      <c r="F1078" s="6" t="s">
        <v>1181</v>
      </c>
      <c r="G1078" s="8">
        <v>45690</v>
      </c>
      <c r="H1078" s="6">
        <v>14.02</v>
      </c>
      <c r="I1078" s="6" cm="1">
        <f t="array" ref="I1078">IFERROR(VALUE(TRIM(LEFT(E1078,MIN(FIND({" ";"g";"k";"m";"o"},E1078&amp;" gkmo"))-1))),0)</f>
        <v>600</v>
      </c>
      <c r="J1078" s="6" t="str" cm="1">
        <f t="array" ref="J1078">IFERROR(TRIM(MID(E1078,MIN(FIND({" ";"g";"k";"m";"o"},E1078&amp;" gkmo")),10)),"unknown")</f>
        <v>g e</v>
      </c>
      <c r="K1078" s="6" t="str">
        <f t="shared" si="64"/>
        <v>g</v>
      </c>
      <c r="L1078" s="6" t="str">
        <f t="shared" si="65"/>
        <v>Haribo</v>
      </c>
      <c r="M1078" s="6" t="str">
        <f t="shared" si="66"/>
        <v>600G Happy Box Haribo</v>
      </c>
      <c r="N1078" s="6" t="str">
        <f t="shared" si="67"/>
        <v>France,Switzerland</v>
      </c>
    </row>
    <row r="1079" spans="1:14" x14ac:dyDescent="0.25">
      <c r="A1079" s="6" t="s">
        <v>2759</v>
      </c>
      <c r="B1079" s="6">
        <v>12294</v>
      </c>
      <c r="C1079" s="6" t="s">
        <v>7193</v>
      </c>
      <c r="D1079" s="7" t="s">
        <v>2760</v>
      </c>
      <c r="E1079" s="6"/>
      <c r="F1079" s="6" t="s">
        <v>213</v>
      </c>
      <c r="G1079" s="8">
        <v>45584</v>
      </c>
      <c r="H1079" s="6">
        <v>14.12</v>
      </c>
      <c r="I1079" s="6" cm="1">
        <f t="array" ref="I1079">IFERROR(VALUE(TRIM(LEFT(E1079,MIN(FIND({" ";"g";"k";"m";"o"},E1079&amp;" gkmo"))-1))),0)</f>
        <v>0</v>
      </c>
      <c r="J1079" s="6" t="str" cm="1">
        <f t="array" ref="J1079">IFERROR(TRIM(MID(E1079,MIN(FIND({" ";"g";"k";"m";"o"},E1079&amp;" gkmo")),10)),"unknown")</f>
        <v/>
      </c>
      <c r="K1079" s="6" t="str">
        <f t="shared" si="64"/>
        <v>unknown</v>
      </c>
      <c r="L1079" s="6" t="str">
        <f t="shared" si="65"/>
        <v>Le Moulin Du Pivert</v>
      </c>
      <c r="M1079" s="6" t="str">
        <f t="shared" si="66"/>
        <v>Fourrés Choc'</v>
      </c>
      <c r="N1079" s="6" t="str">
        <f t="shared" si="67"/>
        <v>Belgium,France</v>
      </c>
    </row>
    <row r="1080" spans="1:14" x14ac:dyDescent="0.25">
      <c r="A1080" s="6" t="s">
        <v>2761</v>
      </c>
      <c r="B1080" s="6">
        <v>5861</v>
      </c>
      <c r="C1080" s="6" t="s">
        <v>1216</v>
      </c>
      <c r="D1080" s="7" t="s">
        <v>2762</v>
      </c>
      <c r="E1080" s="6" t="s">
        <v>1228</v>
      </c>
      <c r="F1080" s="6" t="s">
        <v>139</v>
      </c>
      <c r="G1080" s="8">
        <v>45627</v>
      </c>
      <c r="H1080" s="6">
        <v>3.36</v>
      </c>
      <c r="I1080" s="6" cm="1">
        <f t="array" ref="I1080">IFERROR(VALUE(TRIM(LEFT(E1080,MIN(FIND({" ";"g";"k";"m";"o"},E1080&amp;" gkmo"))-1))),0)</f>
        <v>60</v>
      </c>
      <c r="J1080" s="6" t="str" cm="1">
        <f t="array" ref="J1080">IFERROR(TRIM(MID(E1080,MIN(FIND({" ";"g";"k";"m";"o"},E1080&amp;" gkmo")),10)),"unknown")</f>
        <v>g</v>
      </c>
      <c r="K1080" s="6" t="str">
        <f t="shared" si="64"/>
        <v>g</v>
      </c>
      <c r="L1080" s="6" t="str">
        <f t="shared" si="65"/>
        <v>Curly, Intersnack, Vico</v>
      </c>
      <c r="M1080" s="6" t="str">
        <f t="shared" si="66"/>
        <v>Curly Cacahuete</v>
      </c>
      <c r="N1080" s="6" t="str">
        <f t="shared" si="67"/>
        <v>France</v>
      </c>
    </row>
    <row r="1081" spans="1:14" x14ac:dyDescent="0.25">
      <c r="A1081" s="6" t="s">
        <v>2763</v>
      </c>
      <c r="B1081" s="6">
        <v>9141</v>
      </c>
      <c r="C1081" s="6" t="s">
        <v>2764</v>
      </c>
      <c r="D1081" s="7" t="s">
        <v>2765</v>
      </c>
      <c r="E1081" s="6" t="s">
        <v>10</v>
      </c>
      <c r="F1081" s="6" t="s">
        <v>8310</v>
      </c>
      <c r="G1081" s="8">
        <v>45722</v>
      </c>
      <c r="H1081" s="6">
        <v>6.46</v>
      </c>
      <c r="I1081" s="6" cm="1">
        <f t="array" ref="I1081">IFERROR(VALUE(TRIM(LEFT(E1081,MIN(FIND({" ";"g";"k";"m";"o"},E1081&amp;" gkmo"))-1))),0)</f>
        <v>100</v>
      </c>
      <c r="J1081" s="6" t="str" cm="1">
        <f t="array" ref="J1081">IFERROR(TRIM(MID(E1081,MIN(FIND({" ";"g";"k";"m";"o"},E1081&amp;" gkmo")),10)),"unknown")</f>
        <v>g</v>
      </c>
      <c r="K1081" s="6" t="str">
        <f t="shared" si="64"/>
        <v>g</v>
      </c>
      <c r="L1081" s="6" t="str">
        <f t="shared" si="65"/>
        <v>Ritter Sport</v>
      </c>
      <c r="M1081" s="6" t="str">
        <f t="shared" si="66"/>
        <v>Marzipan Dark Chocolate With Marzipan</v>
      </c>
      <c r="N1081" s="6" t="str">
        <f t="shared" si="67"/>
        <v>Belarus,Bulgaria,Czech Republic,Denmark,France,Germany,Greece,Morocco,Poland,Romania,Russia,Slovakia,Spain,Sweden,United Kingdom,Belgium</v>
      </c>
    </row>
    <row r="1082" spans="1:14" x14ac:dyDescent="0.25">
      <c r="A1082" s="6" t="s">
        <v>2766</v>
      </c>
      <c r="B1082" s="6">
        <v>6634</v>
      </c>
      <c r="C1082" s="6" t="s">
        <v>2767</v>
      </c>
      <c r="D1082" s="7" t="s">
        <v>720</v>
      </c>
      <c r="E1082" s="6" t="s">
        <v>64</v>
      </c>
      <c r="F1082" s="6" t="s">
        <v>7926</v>
      </c>
      <c r="G1082" s="8">
        <v>45563</v>
      </c>
      <c r="H1082" s="6">
        <v>13.01</v>
      </c>
      <c r="I1082" s="6" cm="1">
        <f t="array" ref="I1082">IFERROR(VALUE(TRIM(LEFT(E1082,MIN(FIND({" ";"g";"k";"m";"o"},E1082&amp;" gkmo"))-1))),0)</f>
        <v>150</v>
      </c>
      <c r="J1082" s="6" t="str" cm="1">
        <f t="array" ref="J1082">IFERROR(TRIM(MID(E1082,MIN(FIND({" ";"g";"k";"m";"o"},E1082&amp;" gkmo")),10)),"unknown")</f>
        <v>g</v>
      </c>
      <c r="K1082" s="6" t="str">
        <f t="shared" si="64"/>
        <v>g</v>
      </c>
      <c r="L1082" s="6" t="str">
        <f t="shared" si="65"/>
        <v>Carr'S</v>
      </c>
      <c r="M1082" s="6" t="str">
        <f t="shared" si="66"/>
        <v>Melts Original</v>
      </c>
      <c r="N1082" s="6" t="str">
        <f t="shared" si="67"/>
        <v>France, United-Kingdom</v>
      </c>
    </row>
    <row r="1083" spans="1:14" x14ac:dyDescent="0.25">
      <c r="A1083" s="6" t="s">
        <v>2768</v>
      </c>
      <c r="B1083" s="6">
        <v>6817</v>
      </c>
      <c r="C1083" s="6" t="s">
        <v>1083</v>
      </c>
      <c r="D1083" s="7" t="s">
        <v>2769</v>
      </c>
      <c r="E1083" s="6" t="s">
        <v>291</v>
      </c>
      <c r="F1083" s="6" t="s">
        <v>2770</v>
      </c>
      <c r="G1083" s="8">
        <v>45338</v>
      </c>
      <c r="H1083" s="6">
        <v>21.93</v>
      </c>
      <c r="I1083" s="6" cm="1">
        <f t="array" ref="I1083">IFERROR(VALUE(TRIM(LEFT(E1083,MIN(FIND({" ";"g";"k";"m";"o"},E1083&amp;" gkmo"))-1))),0)</f>
        <v>140</v>
      </c>
      <c r="J1083" s="6" t="str" cm="1">
        <f t="array" ref="J1083">IFERROR(TRIM(MID(E1083,MIN(FIND({" ";"g";"k";"m";"o"},E1083&amp;" gkmo")),10)),"unknown")</f>
        <v>g</v>
      </c>
      <c r="K1083" s="6" t="str">
        <f t="shared" si="64"/>
        <v>g</v>
      </c>
      <c r="L1083" s="6" t="str">
        <f t="shared" si="65"/>
        <v>Biscoff, Lotus</v>
      </c>
      <c r="M1083" s="6" t="str">
        <f t="shared" si="66"/>
        <v>The Original Speculoos</v>
      </c>
      <c r="N1083" s="6" t="str">
        <f t="shared" si="67"/>
        <v>Belgium,France,Sweden</v>
      </c>
    </row>
    <row r="1084" spans="1:14" x14ac:dyDescent="0.25">
      <c r="A1084" s="6" t="s">
        <v>2771</v>
      </c>
      <c r="B1084" s="6">
        <v>13313</v>
      </c>
      <c r="C1084" s="6" t="s">
        <v>2772</v>
      </c>
      <c r="D1084" s="7" t="s">
        <v>7692</v>
      </c>
      <c r="E1084" s="6" t="s">
        <v>2773</v>
      </c>
      <c r="F1084" s="6" t="s">
        <v>8321</v>
      </c>
      <c r="G1084" s="8">
        <v>45741</v>
      </c>
      <c r="H1084" s="6">
        <v>23.28</v>
      </c>
      <c r="I1084" s="6" cm="1">
        <f t="array" ref="I1084">IFERROR(VALUE(TRIM(LEFT(E1084,MIN(FIND({" ";"g";"k";"m";"o"},E1084&amp;" gkmo"))-1))),0)</f>
        <v>210</v>
      </c>
      <c r="J1084" s="6" t="str" cm="1">
        <f t="array" ref="J1084">IFERROR(TRIM(MID(E1084,MIN(FIND({" ";"g";"k";"m";"o"},E1084&amp;" gkmo")),10)),"unknown")</f>
        <v>g (6 x 35</v>
      </c>
      <c r="K1084" s="6" t="str">
        <f t="shared" si="64"/>
        <v>g</v>
      </c>
      <c r="L1084" s="6" t="str">
        <f t="shared" si="65"/>
        <v>Schà¤R</v>
      </c>
      <c r="M1084" s="6" t="str">
        <f t="shared" si="66"/>
        <v>Crackers</v>
      </c>
      <c r="N1084" s="6" t="str">
        <f t="shared" si="67"/>
        <v>Belgium,Bolivia,France,Germany,Italia,México,Paà­Ses Bajos,Rumania,Espaà±A</v>
      </c>
    </row>
    <row r="1085" spans="1:14" x14ac:dyDescent="0.25">
      <c r="A1085" s="6" t="s">
        <v>2774</v>
      </c>
      <c r="B1085" s="6">
        <v>10539</v>
      </c>
      <c r="C1085" s="6" t="s">
        <v>2775</v>
      </c>
      <c r="D1085" s="7" t="s">
        <v>1172</v>
      </c>
      <c r="E1085" s="6" t="s">
        <v>132</v>
      </c>
      <c r="F1085" s="6" t="s">
        <v>8025</v>
      </c>
      <c r="G1085" s="8">
        <v>45867</v>
      </c>
      <c r="H1085" s="6">
        <v>7.72</v>
      </c>
      <c r="I1085" s="6" cm="1">
        <f t="array" ref="I1085">IFERROR(VALUE(TRIM(LEFT(E1085,MIN(FIND({" ";"g";"k";"m";"o"},E1085&amp;" gkmo"))-1))),0)</f>
        <v>350</v>
      </c>
      <c r="J1085" s="6" t="str" cm="1">
        <f t="array" ref="J1085">IFERROR(TRIM(MID(E1085,MIN(FIND({" ";"g";"k";"m";"o"},E1085&amp;" gkmo")),10)),"unknown")</f>
        <v>g</v>
      </c>
      <c r="K1085" s="6" t="str">
        <f t="shared" si="64"/>
        <v>g</v>
      </c>
      <c r="L1085" s="6" t="str">
        <f t="shared" si="65"/>
        <v>Barilla, Mulino Bianco</v>
      </c>
      <c r="M1085" s="6" t="str">
        <f t="shared" si="66"/>
        <v>Galletti Mb 350G Int. Eu</v>
      </c>
      <c r="N1085" s="6" t="str">
        <f t="shared" si="67"/>
        <v>France, Italy, Serbia, Bulgaria</v>
      </c>
    </row>
    <row r="1086" spans="1:14" x14ac:dyDescent="0.25">
      <c r="A1086" s="6" t="s">
        <v>2776</v>
      </c>
      <c r="B1086" s="6">
        <v>11300</v>
      </c>
      <c r="C1086" s="6" t="s">
        <v>2777</v>
      </c>
      <c r="D1086" s="7" t="s">
        <v>2777</v>
      </c>
      <c r="E1086" s="6" t="s">
        <v>2778</v>
      </c>
      <c r="F1086" s="6" t="s">
        <v>2779</v>
      </c>
      <c r="G1086" s="8">
        <v>45852</v>
      </c>
      <c r="H1086" s="6">
        <v>12.18</v>
      </c>
      <c r="I1086" s="6" cm="1">
        <f t="array" ref="I1086">IFERROR(VALUE(TRIM(LEFT(E1086,MIN(FIND({" ";"g";"k";"m";"o"},E1086&amp;" gkmo"))-1))),0)</f>
        <v>78</v>
      </c>
      <c r="J1086" s="6" t="str" cm="1">
        <f t="array" ref="J1086">IFERROR(TRIM(MID(E1086,MIN(FIND({" ";"g";"k";"m";"o"},E1086&amp;" gkmo")),10)),"unknown")</f>
        <v>g</v>
      </c>
      <c r="K1086" s="6" t="str">
        <f t="shared" si="64"/>
        <v>g</v>
      </c>
      <c r="L1086" s="6" t="str">
        <f t="shared" si="65"/>
        <v>Kurkure</v>
      </c>
      <c r="M1086" s="6" t="str">
        <f t="shared" si="66"/>
        <v>Kurkure</v>
      </c>
      <c r="N1086" s="6" t="str">
        <f t="shared" si="67"/>
        <v>France,India,Nepal,Spain,Canada</v>
      </c>
    </row>
    <row r="1087" spans="1:14" x14ac:dyDescent="0.25">
      <c r="A1087" s="6" t="s">
        <v>2780</v>
      </c>
      <c r="B1087" s="6">
        <v>6919</v>
      </c>
      <c r="C1087" s="6" t="s">
        <v>2781</v>
      </c>
      <c r="D1087" s="7" t="s">
        <v>7194</v>
      </c>
      <c r="E1087" s="6" t="s">
        <v>284</v>
      </c>
      <c r="F1087" s="6" t="s">
        <v>8026</v>
      </c>
      <c r="G1087" s="8">
        <v>45535</v>
      </c>
      <c r="H1087" s="6">
        <v>20.66</v>
      </c>
      <c r="I1087" s="6" cm="1">
        <f t="array" ref="I1087">IFERROR(VALUE(TRIM(LEFT(E1087,MIN(FIND({" ";"g";"k";"m";"o"},E1087&amp;" gkmo"))-1))),0)</f>
        <v>180</v>
      </c>
      <c r="J1087" s="6" t="str" cm="1">
        <f t="array" ref="J1087">IFERROR(TRIM(MID(E1087,MIN(FIND({" ";"g";"k";"m";"o"},E1087&amp;" gkmo")),10)),"unknown")</f>
        <v>g</v>
      </c>
      <c r="K1087" s="6" t="str">
        <f t="shared" si="64"/>
        <v>g</v>
      </c>
      <c r="L1087" s="6" t="str">
        <f t="shared" si="65"/>
        <v>Fin Carré Way To Go</v>
      </c>
      <c r="M1087" s="6" t="str">
        <f t="shared" si="66"/>
        <v>Milk Chocolate Caramel Seasalt</v>
      </c>
      <c r="N1087" s="6" t="str">
        <f t="shared" si="67"/>
        <v>Belgium, France, Germany, Luxembourg, Netherlands, Romania, Sweden, United Kingdom, Spain</v>
      </c>
    </row>
    <row r="1088" spans="1:14" x14ac:dyDescent="0.25">
      <c r="A1088" s="6" t="s">
        <v>2782</v>
      </c>
      <c r="B1088" s="6">
        <v>7115</v>
      </c>
      <c r="C1088" s="6" t="s">
        <v>2783</v>
      </c>
      <c r="D1088" s="7" t="s">
        <v>2784</v>
      </c>
      <c r="E1088" s="6" t="s">
        <v>2785</v>
      </c>
      <c r="F1088" s="6" t="s">
        <v>860</v>
      </c>
      <c r="G1088" s="8">
        <v>45414</v>
      </c>
      <c r="H1088" s="6">
        <v>13.16</v>
      </c>
      <c r="I1088" s="6" cm="1">
        <f t="array" ref="I1088">IFERROR(VALUE(TRIM(LEFT(E1088,MIN(FIND({" ";"g";"k";"m";"o"},E1088&amp;" gkmo"))-1))),0)</f>
        <v>60</v>
      </c>
      <c r="J1088" s="6" t="str" cm="1">
        <f t="array" ref="J1088">IFERROR(TRIM(MID(E1088,MIN(FIND({" ";"g";"k";"m";"o"},E1088&amp;" gkmo")),10)),"unknown")</f>
        <v>pieces 84</v>
      </c>
      <c r="K1088" s="6" t="str">
        <f t="shared" si="64"/>
        <v>g</v>
      </c>
      <c r="L1088" s="6" t="str">
        <f t="shared" si="65"/>
        <v>Trident</v>
      </c>
      <c r="M1088" s="6" t="str">
        <f t="shared" si="66"/>
        <v>Trident Menthol</v>
      </c>
      <c r="N1088" s="6" t="str">
        <f t="shared" si="67"/>
        <v>Ma</v>
      </c>
    </row>
    <row r="1089" spans="1:14" x14ac:dyDescent="0.25">
      <c r="A1089" s="6" t="s">
        <v>2786</v>
      </c>
      <c r="B1089" s="6">
        <v>10093</v>
      </c>
      <c r="C1089" s="6" t="s">
        <v>2787</v>
      </c>
      <c r="D1089" s="7" t="s">
        <v>2398</v>
      </c>
      <c r="E1089" s="6" t="s">
        <v>14</v>
      </c>
      <c r="F1089" s="6" t="s">
        <v>8226</v>
      </c>
      <c r="G1089" s="8">
        <v>45444</v>
      </c>
      <c r="H1089" s="6">
        <v>7.65</v>
      </c>
      <c r="I1089" s="6" cm="1">
        <f t="array" ref="I1089">IFERROR(VALUE(TRIM(LEFT(E1089,MIN(FIND({" ";"g";"k";"m";"o"},E1089&amp;" gkmo"))-1))),0)</f>
        <v>300</v>
      </c>
      <c r="J1089" s="6" t="str" cm="1">
        <f t="array" ref="J1089">IFERROR(TRIM(MID(E1089,MIN(FIND({" ";"g";"k";"m";"o"},E1089&amp;" gkmo")),10)),"unknown")</f>
        <v>g</v>
      </c>
      <c r="K1089" s="6" t="str">
        <f t="shared" si="64"/>
        <v>g</v>
      </c>
      <c r="L1089" s="6" t="str">
        <f t="shared" si="65"/>
        <v>Galbusera</v>
      </c>
      <c r="M1089" s="6" t="str">
        <f t="shared" si="66"/>
        <v>Biscotti Cereali G Granola E Frolla</v>
      </c>
      <c r="N1089" s="6" t="str">
        <f t="shared" si="67"/>
        <v>France,Italia</v>
      </c>
    </row>
    <row r="1090" spans="1:14" x14ac:dyDescent="0.25">
      <c r="A1090" s="6" t="s">
        <v>2788</v>
      </c>
      <c r="B1090" s="6">
        <v>8181</v>
      </c>
      <c r="C1090" s="6" t="s">
        <v>2789</v>
      </c>
      <c r="D1090" s="7" t="s">
        <v>7017</v>
      </c>
      <c r="E1090" s="6"/>
      <c r="F1090" s="6" t="s">
        <v>860</v>
      </c>
      <c r="G1090" s="8">
        <v>45668</v>
      </c>
      <c r="H1090" s="6">
        <v>11.7</v>
      </c>
      <c r="I1090" s="6" cm="1">
        <f t="array" ref="I1090">IFERROR(VALUE(TRIM(LEFT(E1090,MIN(FIND({" ";"g";"k";"m";"o"},E1090&amp;" gkmo"))-1))),0)</f>
        <v>0</v>
      </c>
      <c r="J1090" s="6" t="str" cm="1">
        <f t="array" ref="J1090">IFERROR(TRIM(MID(E1090,MIN(FIND({" ";"g";"k";"m";"o"},E1090&amp;" gkmo")),10)),"unknown")</f>
        <v/>
      </c>
      <c r="K1090" s="6" t="str">
        <f t="shared" si="64"/>
        <v>unknown</v>
      </c>
      <c r="L1090" s="6" t="str">
        <f t="shared" si="65"/>
        <v>Unknown</v>
      </c>
      <c r="M1090" s="6" t="str">
        <f t="shared" si="66"/>
        <v>Frita Saveur Poulet</v>
      </c>
      <c r="N1090" s="6" t="str">
        <f t="shared" si="67"/>
        <v>Ma</v>
      </c>
    </row>
    <row r="1091" spans="1:14" x14ac:dyDescent="0.25">
      <c r="A1091" s="6" t="s">
        <v>2790</v>
      </c>
      <c r="B1091" s="6">
        <v>6916</v>
      </c>
      <c r="C1091" s="6" t="s">
        <v>2791</v>
      </c>
      <c r="D1091" s="7" t="s">
        <v>2109</v>
      </c>
      <c r="E1091" s="6" t="s">
        <v>2792</v>
      </c>
      <c r="F1091" s="6" t="s">
        <v>177</v>
      </c>
      <c r="G1091" s="8">
        <v>46027</v>
      </c>
      <c r="H1091" s="6">
        <v>13.83</v>
      </c>
      <c r="I1091" s="6" cm="1">
        <f t="array" ref="I1091">IFERROR(VALUE(TRIM(LEFT(E1091,MIN(FIND({" ";"g";"k";"m";"o"},E1091&amp;" gkmo"))-1))),0)</f>
        <v>5</v>
      </c>
      <c r="J1091" s="6" t="str" cm="1">
        <f t="array" ref="J1091">IFERROR(TRIM(MID(E1091,MIN(FIND({" ";"g";"k";"m";"o"},E1091&amp;" gkmo")),10)),"unknown")</f>
        <v>x 17 g</v>
      </c>
      <c r="K1091" s="6" t="str">
        <f t="shared" ref="K1091:K1154" si="68">IF(E1091="","unknown",IF(OR(J1091="g",LEFT(J1091,1)="g"),"g",IF(OR(LEFT(J1091,2)="kg",LEFT(J1091,2)="ki"),"kg",IF(OR(LEFT(J1091,2)="ml",LEFT(J1091,1)="m"),"ml",IF(LEFT(J1091,1)="l","l",IF(ISNUMBER(SEARCH("g",E1091)),"g",IF(ISNUMBER(SEARCH("kg",E1091)),"kg",IF(ISNUMBER(SEARCH("ml",E1091)),"ml","unknown"))))))))</f>
        <v>g</v>
      </c>
      <c r="L1091" s="6" t="str">
        <f t="shared" ref="L1091:L1154" si="69">IF(D1091="","Unknown",PROPER(TRIM(D1091)))</f>
        <v>Popchips</v>
      </c>
      <c r="M1091" s="6" t="str">
        <f t="shared" ref="M1091:M1154" si="70">IF(C1091="Unknown","Unknown",PROPER(TRIM(C1091)))</f>
        <v>Pop Chip Bbq</v>
      </c>
      <c r="N1091" s="6" t="str">
        <f t="shared" ref="N1091:N1154" si="71">IF(F1091="","Unknown",PROPER(TRIM(F1091)))</f>
        <v>United Kingdom</v>
      </c>
    </row>
    <row r="1092" spans="1:14" x14ac:dyDescent="0.25">
      <c r="A1092" s="6" t="s">
        <v>2793</v>
      </c>
      <c r="B1092" s="6">
        <v>10699</v>
      </c>
      <c r="C1092" s="6" t="s">
        <v>7195</v>
      </c>
      <c r="D1092" s="7" t="s">
        <v>2794</v>
      </c>
      <c r="E1092" s="6" t="s">
        <v>2152</v>
      </c>
      <c r="F1092" s="6" t="s">
        <v>5759</v>
      </c>
      <c r="G1092" s="8">
        <v>45640</v>
      </c>
      <c r="H1092" s="6">
        <v>24.7</v>
      </c>
      <c r="I1092" s="6" cm="1">
        <f t="array" ref="I1092">IFERROR(VALUE(TRIM(LEFT(E1092,MIN(FIND({" ";"g";"k";"m";"o"},E1092&amp;" gkmo"))-1))),0)</f>
        <v>167</v>
      </c>
      <c r="J1092" s="6" t="str" cm="1">
        <f t="array" ref="J1092">IFERROR(TRIM(MID(E1092,MIN(FIND({" ";"g";"k";"m";"o"},E1092&amp;" gkmo")),10)),"unknown")</f>
        <v>g</v>
      </c>
      <c r="K1092" s="6" t="str">
        <f t="shared" si="68"/>
        <v>g</v>
      </c>
      <c r="L1092" s="6" t="str">
        <f t="shared" si="69"/>
        <v>Bjorg Bio Nutri +</v>
      </c>
      <c r="M1092" s="6" t="str">
        <f t="shared" si="70"/>
        <v>P'Tit Nature 5 Céréales</v>
      </c>
      <c r="N1092" s="6" t="str">
        <f t="shared" si="71"/>
        <v>Fr</v>
      </c>
    </row>
    <row r="1093" spans="1:14" x14ac:dyDescent="0.25">
      <c r="A1093" s="6" t="s">
        <v>2795</v>
      </c>
      <c r="B1093" s="6">
        <v>11076</v>
      </c>
      <c r="C1093" s="6" t="s">
        <v>2796</v>
      </c>
      <c r="D1093" s="7" t="s">
        <v>7017</v>
      </c>
      <c r="E1093" s="6" t="s">
        <v>28</v>
      </c>
      <c r="F1093" s="6" t="s">
        <v>2973</v>
      </c>
      <c r="G1093" s="8">
        <v>45955</v>
      </c>
      <c r="H1093" s="6">
        <v>13.41</v>
      </c>
      <c r="I1093" s="6" cm="1">
        <f t="array" ref="I1093">IFERROR(VALUE(TRIM(LEFT(E1093,MIN(FIND({" ";"g";"k";"m";"o"},E1093&amp;" gkmo"))-1))),0)</f>
        <v>125</v>
      </c>
      <c r="J1093" s="6" t="str" cm="1">
        <f t="array" ref="J1093">IFERROR(TRIM(MID(E1093,MIN(FIND({" ";"g";"k";"m";"o"},E1093&amp;" gkmo")),10)),"unknown")</f>
        <v>g</v>
      </c>
      <c r="K1093" s="6" t="str">
        <f t="shared" si="68"/>
        <v>g</v>
      </c>
      <c r="L1093" s="6" t="str">
        <f t="shared" si="69"/>
        <v>Unknown</v>
      </c>
      <c r="M1093" s="6" t="str">
        <f t="shared" si="70"/>
        <v>Thins Rosemary &amp; Sea Salt Flatbreads</v>
      </c>
      <c r="N1093" s="6" t="str">
        <f t="shared" si="71"/>
        <v>Gb</v>
      </c>
    </row>
    <row r="1094" spans="1:14" x14ac:dyDescent="0.25">
      <c r="A1094" s="6" t="s">
        <v>2797</v>
      </c>
      <c r="B1094" s="6">
        <v>9608</v>
      </c>
      <c r="C1094" s="6" t="s">
        <v>7196</v>
      </c>
      <c r="D1094" s="7" t="s">
        <v>7017</v>
      </c>
      <c r="E1094" s="6" t="s">
        <v>2083</v>
      </c>
      <c r="F1094" s="6" t="s">
        <v>5759</v>
      </c>
      <c r="G1094" s="8">
        <v>45428</v>
      </c>
      <c r="H1094" s="6">
        <v>22.42</v>
      </c>
      <c r="I1094" s="6" cm="1">
        <f t="array" ref="I1094">IFERROR(VALUE(TRIM(LEFT(E1094,MIN(FIND({" ";"g";"k";"m";"o"},E1094&amp;" gkmo"))-1))),0)</f>
        <v>240</v>
      </c>
      <c r="J1094" s="6" t="str" cm="1">
        <f t="array" ref="J1094">IFERROR(TRIM(MID(E1094,MIN(FIND({" ";"g";"k";"m";"o"},E1094&amp;" gkmo")),10)),"unknown")</f>
        <v>g</v>
      </c>
      <c r="K1094" s="6" t="str">
        <f t="shared" si="68"/>
        <v>g</v>
      </c>
      <c r="L1094" s="6" t="str">
        <f t="shared" si="69"/>
        <v>Unknown</v>
      </c>
      <c r="M1094" s="6" t="str">
        <f t="shared" si="70"/>
        <v>La Galette Fourrée</v>
      </c>
      <c r="N1094" s="6" t="str">
        <f t="shared" si="71"/>
        <v>Fr</v>
      </c>
    </row>
    <row r="1095" spans="1:14" x14ac:dyDescent="0.25">
      <c r="A1095" s="6" t="s">
        <v>2798</v>
      </c>
      <c r="B1095" s="6">
        <v>10663</v>
      </c>
      <c r="C1095" s="6" t="s">
        <v>2799</v>
      </c>
      <c r="D1095" s="7" t="s">
        <v>452</v>
      </c>
      <c r="E1095" s="6" t="s">
        <v>151</v>
      </c>
      <c r="F1095" s="6" t="s">
        <v>7599</v>
      </c>
      <c r="G1095" s="8">
        <v>45574</v>
      </c>
      <c r="H1095" s="6">
        <v>12.44</v>
      </c>
      <c r="I1095" s="6" cm="1">
        <f t="array" ref="I1095">IFERROR(VALUE(TRIM(LEFT(E1095,MIN(FIND({" ";"g";"k";"m";"o"},E1095&amp;" gkmo"))-1))),0)</f>
        <v>200</v>
      </c>
      <c r="J1095" s="6" t="str" cm="1">
        <f t="array" ref="J1095">IFERROR(TRIM(MID(E1095,MIN(FIND({" ";"g";"k";"m";"o"},E1095&amp;" gkmo")),10)),"unknown")</f>
        <v>g</v>
      </c>
      <c r="K1095" s="6" t="str">
        <f t="shared" si="68"/>
        <v>g</v>
      </c>
      <c r="L1095" s="6" t="str">
        <f t="shared" si="69"/>
        <v>Hacendado</v>
      </c>
      <c r="M1095" s="6" t="str">
        <f t="shared" si="70"/>
        <v>Black Chocolate 72% With Almonds</v>
      </c>
      <c r="N1095" s="6" t="str">
        <f t="shared" si="71"/>
        <v>Marruecos,Espaà±A</v>
      </c>
    </row>
    <row r="1096" spans="1:14" x14ac:dyDescent="0.25">
      <c r="A1096" s="6" t="s">
        <v>2800</v>
      </c>
      <c r="B1096" s="6">
        <v>12650</v>
      </c>
      <c r="C1096" s="6" t="s">
        <v>7197</v>
      </c>
      <c r="D1096" s="7" t="s">
        <v>209</v>
      </c>
      <c r="E1096" s="6" t="s">
        <v>446</v>
      </c>
      <c r="F1096" s="6" t="s">
        <v>139</v>
      </c>
      <c r="G1096" s="8">
        <v>45482</v>
      </c>
      <c r="H1096" s="6">
        <v>13.2</v>
      </c>
      <c r="I1096" s="6" cm="1">
        <f t="array" ref="I1096">IFERROR(VALUE(TRIM(LEFT(E1096,MIN(FIND({" ";"g";"k";"m";"o"},E1096&amp;" gkmo"))-1))),0)</f>
        <v>450</v>
      </c>
      <c r="J1096" s="6" t="str" cm="1">
        <f t="array" ref="J1096">IFERROR(TRIM(MID(E1096,MIN(FIND({" ";"g";"k";"m";"o"},E1096&amp;" gkmo")),10)),"unknown")</f>
        <v>g</v>
      </c>
      <c r="K1096" s="6" t="str">
        <f t="shared" si="68"/>
        <v>g</v>
      </c>
      <c r="L1096" s="6" t="str">
        <f t="shared" si="69"/>
        <v>Harrys</v>
      </c>
      <c r="M1096" s="6" t="str">
        <f t="shared" si="70"/>
        <v>Brioche Tressée Nature Allegée En Sucres Sans Additifs 450G</v>
      </c>
      <c r="N1096" s="6" t="str">
        <f t="shared" si="71"/>
        <v>France</v>
      </c>
    </row>
    <row r="1097" spans="1:14" x14ac:dyDescent="0.25">
      <c r="A1097" s="6" t="s">
        <v>2801</v>
      </c>
      <c r="B1097" s="6">
        <v>6466</v>
      </c>
      <c r="C1097" s="6">
        <v>6111031005491</v>
      </c>
      <c r="D1097" s="7" t="s">
        <v>7017</v>
      </c>
      <c r="E1097" s="6" t="s">
        <v>495</v>
      </c>
      <c r="F1097" s="6" t="s">
        <v>48</v>
      </c>
      <c r="G1097" s="8">
        <v>45693</v>
      </c>
      <c r="H1097" s="6">
        <v>3.86</v>
      </c>
      <c r="I1097" s="6" cm="1">
        <f t="array" ref="I1097">IFERROR(VALUE(TRIM(LEFT(E1097,MIN(FIND({" ";"g";"k";"m";"o"},E1097&amp;" gkmo"))-1))),0)</f>
        <v>35</v>
      </c>
      <c r="J1097" s="6" t="str" cm="1">
        <f t="array" ref="J1097">IFERROR(TRIM(MID(E1097,MIN(FIND({" ";"g";"k";"m";"o"},E1097&amp;" gkmo")),10)),"unknown")</f>
        <v>g</v>
      </c>
      <c r="K1097" s="6" t="str">
        <f t="shared" si="68"/>
        <v>g</v>
      </c>
      <c r="L1097" s="6" t="str">
        <f t="shared" si="69"/>
        <v>Unknown</v>
      </c>
      <c r="M1097" s="6" t="str">
        <f t="shared" si="70"/>
        <v>6111031005491</v>
      </c>
      <c r="N1097" s="6" t="str">
        <f t="shared" si="71"/>
        <v>Morocco</v>
      </c>
    </row>
    <row r="1098" spans="1:14" x14ac:dyDescent="0.25">
      <c r="A1098" s="6" t="s">
        <v>2802</v>
      </c>
      <c r="B1098" s="6">
        <v>6867</v>
      </c>
      <c r="C1098" s="6" t="s">
        <v>2803</v>
      </c>
      <c r="D1098" s="7" t="s">
        <v>7017</v>
      </c>
      <c r="E1098" s="6" t="s">
        <v>2804</v>
      </c>
      <c r="F1098" s="6" t="s">
        <v>400</v>
      </c>
      <c r="G1098" s="8">
        <v>45835</v>
      </c>
      <c r="H1098" s="6">
        <v>1.8</v>
      </c>
      <c r="I1098" s="6" cm="1">
        <f t="array" ref="I1098">IFERROR(VALUE(TRIM(LEFT(E1098,MIN(FIND({" ";"g";"k";"m";"o"},E1098&amp;" gkmo"))-1))),0)</f>
        <v>312</v>
      </c>
      <c r="J1098" s="6" t="str" cm="1">
        <f t="array" ref="J1098">IFERROR(TRIM(MID(E1098,MIN(FIND({" ";"g";"k";"m";"o"},E1098&amp;" gkmo")),10)),"unknown")</f>
        <v>g (4 * 78</v>
      </c>
      <c r="K1098" s="6" t="str">
        <f t="shared" si="68"/>
        <v>g</v>
      </c>
      <c r="L1098" s="6" t="str">
        <f t="shared" si="69"/>
        <v>Unknown</v>
      </c>
      <c r="M1098" s="6" t="str">
        <f t="shared" si="70"/>
        <v>Luxury Hot Cross Buns</v>
      </c>
      <c r="N1098" s="6" t="str">
        <f t="shared" si="71"/>
        <v>France,United Kingdom</v>
      </c>
    </row>
    <row r="1099" spans="1:14" x14ac:dyDescent="0.25">
      <c r="A1099" s="6" t="s">
        <v>2805</v>
      </c>
      <c r="B1099" s="6">
        <v>14402</v>
      </c>
      <c r="C1099" s="6" t="s">
        <v>398</v>
      </c>
      <c r="D1099" s="7" t="s">
        <v>399</v>
      </c>
      <c r="E1099" s="6" t="s">
        <v>284</v>
      </c>
      <c r="F1099" s="6" t="s">
        <v>8027</v>
      </c>
      <c r="G1099" s="8">
        <v>45670</v>
      </c>
      <c r="H1099" s="6">
        <v>11.26</v>
      </c>
      <c r="I1099" s="6" cm="1">
        <f t="array" ref="I1099">IFERROR(VALUE(TRIM(LEFT(E1099,MIN(FIND({" ";"g";"k";"m";"o"},E1099&amp;" gkmo"))-1))),0)</f>
        <v>180</v>
      </c>
      <c r="J1099" s="6" t="str" cm="1">
        <f t="array" ref="J1099">IFERROR(TRIM(MID(E1099,MIN(FIND({" ";"g";"k";"m";"o"},E1099&amp;" gkmo")),10)),"unknown")</f>
        <v>g</v>
      </c>
      <c r="K1099" s="6" t="str">
        <f t="shared" si="68"/>
        <v>g</v>
      </c>
      <c r="L1099" s="6" t="str">
        <f t="shared" si="69"/>
        <v>Nairn'S</v>
      </c>
      <c r="M1099" s="6" t="str">
        <f t="shared" si="70"/>
        <v>Cheese Oatcakes</v>
      </c>
      <c r="N1099" s="6" t="str">
        <f t="shared" si="71"/>
        <v>France, Spain, United-Kingdom</v>
      </c>
    </row>
    <row r="1100" spans="1:14" x14ac:dyDescent="0.25">
      <c r="A1100" s="6" t="s">
        <v>2806</v>
      </c>
      <c r="B1100" s="6">
        <v>6311</v>
      </c>
      <c r="C1100" s="6" t="s">
        <v>2807</v>
      </c>
      <c r="D1100" s="7" t="s">
        <v>2808</v>
      </c>
      <c r="E1100" s="6"/>
      <c r="F1100" s="6" t="s">
        <v>139</v>
      </c>
      <c r="G1100" s="8">
        <v>45689</v>
      </c>
      <c r="H1100" s="6">
        <v>17.329999999999998</v>
      </c>
      <c r="I1100" s="6" cm="1">
        <f t="array" ref="I1100">IFERROR(VALUE(TRIM(LEFT(E1100,MIN(FIND({" ";"g";"k";"m";"o"},E1100&amp;" gkmo"))-1))),0)</f>
        <v>0</v>
      </c>
      <c r="J1100" s="6" t="str" cm="1">
        <f t="array" ref="J1100">IFERROR(TRIM(MID(E1100,MIN(FIND({" ";"g";"k";"m";"o"},E1100&amp;" gkmo")),10)),"unknown")</f>
        <v/>
      </c>
      <c r="K1100" s="6" t="str">
        <f t="shared" si="68"/>
        <v>unknown</v>
      </c>
      <c r="L1100" s="6" t="str">
        <f t="shared" si="69"/>
        <v>Lutti</v>
      </c>
      <c r="M1100" s="6" t="str">
        <f t="shared" si="70"/>
        <v>200G Scoubidou Lutti</v>
      </c>
      <c r="N1100" s="6" t="str">
        <f t="shared" si="71"/>
        <v>France</v>
      </c>
    </row>
    <row r="1101" spans="1:14" x14ac:dyDescent="0.25">
      <c r="A1101" s="6" t="s">
        <v>2809</v>
      </c>
      <c r="B1101" s="6">
        <v>8488</v>
      </c>
      <c r="C1101" s="6" t="s">
        <v>7198</v>
      </c>
      <c r="D1101" s="7" t="s">
        <v>7017</v>
      </c>
      <c r="E1101" s="6" t="s">
        <v>2810</v>
      </c>
      <c r="F1101" s="6" t="s">
        <v>139</v>
      </c>
      <c r="G1101" s="8">
        <v>46012</v>
      </c>
      <c r="H1101" s="6">
        <v>18.55</v>
      </c>
      <c r="I1101" s="6" cm="1">
        <f t="array" ref="I1101">IFERROR(VALUE(TRIM(LEFT(E1101,MIN(FIND({" ";"g";"k";"m";"o"},E1101&amp;" gkmo"))-1))),0)</f>
        <v>290</v>
      </c>
      <c r="J1101" s="6" t="str" cm="1">
        <f t="array" ref="J1101">IFERROR(TRIM(MID(E1101,MIN(FIND({" ";"g";"k";"m";"o"},E1101&amp;" gkmo")),10)),"unknown")</f>
        <v>g</v>
      </c>
      <c r="K1101" s="6" t="str">
        <f t="shared" si="68"/>
        <v>g</v>
      </c>
      <c r="L1101" s="6" t="str">
        <f t="shared" si="69"/>
        <v>Unknown</v>
      </c>
      <c r="M1101" s="6" t="str">
        <f t="shared" si="70"/>
        <v>Biscuit Muesli Avoine Gerblé</v>
      </c>
      <c r="N1101" s="6" t="str">
        <f t="shared" si="71"/>
        <v>France</v>
      </c>
    </row>
    <row r="1102" spans="1:14" x14ac:dyDescent="0.25">
      <c r="A1102" s="6" t="s">
        <v>2811</v>
      </c>
      <c r="B1102" s="6">
        <v>7813</v>
      </c>
      <c r="C1102" s="6" t="s">
        <v>7199</v>
      </c>
      <c r="D1102" s="7" t="s">
        <v>72</v>
      </c>
      <c r="E1102" s="6" t="s">
        <v>2045</v>
      </c>
      <c r="F1102" s="6" t="s">
        <v>139</v>
      </c>
      <c r="G1102" s="8">
        <v>45928</v>
      </c>
      <c r="H1102" s="6">
        <v>20.66</v>
      </c>
      <c r="I1102" s="6" cm="1">
        <f t="array" ref="I1102">IFERROR(VALUE(TRIM(LEFT(E1102,MIN(FIND({" ";"g";"k";"m";"o"},E1102&amp;" gkmo"))-1))),0)</f>
        <v>175</v>
      </c>
      <c r="J1102" s="6" t="str" cm="1">
        <f t="array" ref="J1102">IFERROR(TRIM(MID(E1102,MIN(FIND({" ";"g";"k";"m";"o"},E1102&amp;" gkmo")),10)),"unknown")</f>
        <v>g</v>
      </c>
      <c r="K1102" s="6" t="str">
        <f t="shared" si="68"/>
        <v>g</v>
      </c>
      <c r="L1102" s="6" t="str">
        <f t="shared" si="69"/>
        <v>Bjorg</v>
      </c>
      <c r="M1102" s="6" t="str">
        <f t="shared" si="70"/>
        <v>Fourrés Myrtilles</v>
      </c>
      <c r="N1102" s="6" t="str">
        <f t="shared" si="71"/>
        <v>France</v>
      </c>
    </row>
    <row r="1103" spans="1:14" x14ac:dyDescent="0.25">
      <c r="A1103" s="6" t="s">
        <v>2812</v>
      </c>
      <c r="B1103" s="6">
        <v>5128</v>
      </c>
      <c r="C1103" s="6" t="s">
        <v>7895</v>
      </c>
      <c r="D1103" s="7" t="s">
        <v>624</v>
      </c>
      <c r="E1103" s="6" t="s">
        <v>423</v>
      </c>
      <c r="F1103" s="6" t="s">
        <v>139</v>
      </c>
      <c r="G1103" s="8">
        <v>45863</v>
      </c>
      <c r="H1103" s="6">
        <v>1.7</v>
      </c>
      <c r="I1103" s="6" cm="1">
        <f t="array" ref="I1103">IFERROR(VALUE(TRIM(LEFT(E1103,MIN(FIND({" ";"g";"k";"m";"o"},E1103&amp;" gkmo"))-1))),0)</f>
        <v>125</v>
      </c>
      <c r="J1103" s="6" t="str" cm="1">
        <f t="array" ref="J1103">IFERROR(TRIM(MID(E1103,MIN(FIND({" ";"g";"k";"m";"o"},E1103&amp;" gkmo")),10)),"unknown")</f>
        <v>g</v>
      </c>
      <c r="K1103" s="6" t="str">
        <f t="shared" si="68"/>
        <v>g</v>
      </c>
      <c r="L1103" s="6" t="str">
        <f t="shared" si="69"/>
        <v>Brets</v>
      </c>
      <c r="M1103" s="6" t="str">
        <f t="shared" si="70"/>
        <v>Chips Nature L'Originale Nutriscore B</v>
      </c>
      <c r="N1103" s="6" t="str">
        <f t="shared" si="71"/>
        <v>France</v>
      </c>
    </row>
    <row r="1104" spans="1:14" x14ac:dyDescent="0.25">
      <c r="A1104" s="6" t="s">
        <v>2813</v>
      </c>
      <c r="B1104" s="6">
        <v>6179</v>
      </c>
      <c r="C1104" s="6" t="s">
        <v>2814</v>
      </c>
      <c r="D1104" s="7" t="s">
        <v>7182</v>
      </c>
      <c r="E1104" s="6" t="s">
        <v>291</v>
      </c>
      <c r="F1104" s="6" t="s">
        <v>139</v>
      </c>
      <c r="G1104" s="8">
        <v>45978</v>
      </c>
      <c r="H1104" s="6">
        <v>1.97</v>
      </c>
      <c r="I1104" s="6" cm="1">
        <f t="array" ref="I1104">IFERROR(VALUE(TRIM(LEFT(E1104,MIN(FIND({" ";"g";"k";"m";"o"},E1104&amp;" gkmo"))-1))),0)</f>
        <v>140</v>
      </c>
      <c r="J1104" s="6" t="str" cm="1">
        <f t="array" ref="J1104">IFERROR(TRIM(MID(E1104,MIN(FIND({" ";"g";"k";"m";"o"},E1104&amp;" gkmo")),10)),"unknown")</f>
        <v>g</v>
      </c>
      <c r="K1104" s="6" t="str">
        <f t="shared" si="68"/>
        <v>g</v>
      </c>
      <c r="L1104" s="6" t="str">
        <f t="shared" si="69"/>
        <v>Karelea, Léa Nature</v>
      </c>
      <c r="M1104" s="6" t="str">
        <f t="shared" si="70"/>
        <v>Fine Gaufre</v>
      </c>
      <c r="N1104" s="6" t="str">
        <f t="shared" si="71"/>
        <v>France</v>
      </c>
    </row>
    <row r="1105" spans="1:14" x14ac:dyDescent="0.25">
      <c r="A1105" s="6" t="s">
        <v>2815</v>
      </c>
      <c r="B1105" s="6">
        <v>10173</v>
      </c>
      <c r="C1105" s="6" t="s">
        <v>2816</v>
      </c>
      <c r="D1105" s="7" t="s">
        <v>2817</v>
      </c>
      <c r="E1105" s="6" t="s">
        <v>2818</v>
      </c>
      <c r="F1105" s="6" t="s">
        <v>7663</v>
      </c>
      <c r="G1105" s="8">
        <v>45951</v>
      </c>
      <c r="H1105" s="6">
        <v>22.77</v>
      </c>
      <c r="I1105" s="6" cm="1">
        <f t="array" ref="I1105">IFERROR(VALUE(TRIM(LEFT(E1105,MIN(FIND({" ";"g";"k";"m";"o"},E1105&amp;" gkmo"))-1))),0)</f>
        <v>18.2</v>
      </c>
      <c r="J1105" s="6" t="str" cm="1">
        <f t="array" ref="J1105">IFERROR(TRIM(MID(E1105,MIN(FIND({" ";"g";"k";"m";"o"},E1105&amp;" gkmo")),10)),"unknown")</f>
        <v>g</v>
      </c>
      <c r="K1105" s="6" t="str">
        <f t="shared" si="68"/>
        <v>g</v>
      </c>
      <c r="L1105" s="6" t="str">
        <f t="shared" si="69"/>
        <v>Duplo,Ferrero</v>
      </c>
      <c r="M1105" s="6" t="str">
        <f t="shared" si="70"/>
        <v>Duplo Einzelriegel</v>
      </c>
      <c r="N1105" s="6" t="str">
        <f t="shared" si="71"/>
        <v>À–Sterreich,Deutschland</v>
      </c>
    </row>
    <row r="1106" spans="1:14" x14ac:dyDescent="0.25">
      <c r="A1106" s="6" t="s">
        <v>2819</v>
      </c>
      <c r="B1106" s="6">
        <v>8181</v>
      </c>
      <c r="C1106" s="6" t="s">
        <v>2820</v>
      </c>
      <c r="D1106" s="7" t="s">
        <v>2821</v>
      </c>
      <c r="E1106" s="6" t="s">
        <v>151</v>
      </c>
      <c r="F1106" s="6" t="s">
        <v>400</v>
      </c>
      <c r="G1106" s="8">
        <v>45831</v>
      </c>
      <c r="H1106" s="6">
        <v>13.16</v>
      </c>
      <c r="I1106" s="6" cm="1">
        <f t="array" ref="I1106">IFERROR(VALUE(TRIM(LEFT(E1106,MIN(FIND({" ";"g";"k";"m";"o"},E1106&amp;" gkmo"))-1))),0)</f>
        <v>200</v>
      </c>
      <c r="J1106" s="6" t="str" cm="1">
        <f t="array" ref="J1106">IFERROR(TRIM(MID(E1106,MIN(FIND({" ";"g";"k";"m";"o"},E1106&amp;" gkmo")),10)),"unknown")</f>
        <v>g</v>
      </c>
      <c r="K1106" s="6" t="str">
        <f t="shared" si="68"/>
        <v>g</v>
      </c>
      <c r="L1106" s="6" t="str">
        <f t="shared" si="69"/>
        <v>Stockan'S</v>
      </c>
      <c r="M1106" s="6" t="str">
        <f t="shared" si="70"/>
        <v>Orkney Thick Oatcakes</v>
      </c>
      <c r="N1106" s="6" t="str">
        <f t="shared" si="71"/>
        <v>France,United Kingdom</v>
      </c>
    </row>
    <row r="1107" spans="1:14" x14ac:dyDescent="0.25">
      <c r="A1107" s="6" t="s">
        <v>2822</v>
      </c>
      <c r="B1107" s="6">
        <v>12095</v>
      </c>
      <c r="C1107" s="6" t="s">
        <v>2823</v>
      </c>
      <c r="D1107" s="7" t="s">
        <v>7017</v>
      </c>
      <c r="E1107" s="6" t="s">
        <v>304</v>
      </c>
      <c r="F1107" s="6" t="s">
        <v>2824</v>
      </c>
      <c r="G1107" s="8">
        <v>45754</v>
      </c>
      <c r="H1107" s="6">
        <v>3.22</v>
      </c>
      <c r="I1107" s="6" cm="1">
        <f t="array" ref="I1107">IFERROR(VALUE(TRIM(LEFT(E1107,MIN(FIND({" ";"g";"k";"m";"o"},E1107&amp;" gkmo"))-1))),0)</f>
        <v>135</v>
      </c>
      <c r="J1107" s="6" t="str" cm="1">
        <f t="array" ref="J1107">IFERROR(TRIM(MID(E1107,MIN(FIND({" ";"g";"k";"m";"o"},E1107&amp;" gkmo")),10)),"unknown")</f>
        <v>g</v>
      </c>
      <c r="K1107" s="6" t="str">
        <f t="shared" si="68"/>
        <v>g</v>
      </c>
      <c r="L1107" s="6" t="str">
        <f t="shared" si="69"/>
        <v>Unknown</v>
      </c>
      <c r="M1107" s="6" t="str">
        <f t="shared" si="70"/>
        <v>Hummus Chips Tomato And Basil</v>
      </c>
      <c r="N1107" s="6" t="str">
        <f t="shared" si="71"/>
        <v>France,Netherlands,Switzerland,United Kingdom</v>
      </c>
    </row>
    <row r="1108" spans="1:14" x14ac:dyDescent="0.25">
      <c r="A1108" s="6" t="s">
        <v>2825</v>
      </c>
      <c r="B1108" s="6">
        <v>13517</v>
      </c>
      <c r="C1108" s="6" t="s">
        <v>1388</v>
      </c>
      <c r="D1108" s="7" t="s">
        <v>112</v>
      </c>
      <c r="E1108" s="6" t="s">
        <v>160</v>
      </c>
      <c r="F1108" s="6" t="s">
        <v>2826</v>
      </c>
      <c r="G1108" s="8">
        <v>45425</v>
      </c>
      <c r="H1108" s="6">
        <v>20.309999999999999</v>
      </c>
      <c r="I1108" s="6" cm="1">
        <f t="array" ref="I1108">IFERROR(VALUE(TRIM(LEFT(E1108,MIN(FIND({" ";"g";"k";"m";"o"},E1108&amp;" gkmo"))-1))),0)</f>
        <v>165</v>
      </c>
      <c r="J1108" s="6" t="str" cm="1">
        <f t="array" ref="J1108">IFERROR(TRIM(MID(E1108,MIN(FIND({" ";"g";"k";"m";"o"},E1108&amp;" gkmo")),10)),"unknown")</f>
        <v>g</v>
      </c>
      <c r="K1108" s="6" t="str">
        <f t="shared" si="68"/>
        <v>g</v>
      </c>
      <c r="L1108" s="6" t="str">
        <f t="shared" si="69"/>
        <v>Pringles</v>
      </c>
      <c r="M1108" s="6" t="str">
        <f t="shared" si="70"/>
        <v>Pringles Hot &amp; Spicy</v>
      </c>
      <c r="N1108" s="6" t="str">
        <f t="shared" si="71"/>
        <v>Belgium,Germany</v>
      </c>
    </row>
    <row r="1109" spans="1:14" x14ac:dyDescent="0.25">
      <c r="A1109" s="6" t="s">
        <v>2827</v>
      </c>
      <c r="B1109" s="6">
        <v>14220</v>
      </c>
      <c r="C1109" s="6" t="s">
        <v>2828</v>
      </c>
      <c r="D1109" s="7" t="s">
        <v>63</v>
      </c>
      <c r="E1109" s="6" t="s">
        <v>64</v>
      </c>
      <c r="F1109" s="6" t="s">
        <v>177</v>
      </c>
      <c r="G1109" s="8">
        <v>45824</v>
      </c>
      <c r="H1109" s="6">
        <v>4.99</v>
      </c>
      <c r="I1109" s="6" cm="1">
        <f t="array" ref="I1109">IFERROR(VALUE(TRIM(LEFT(E1109,MIN(FIND({" ";"g";"k";"m";"o"},E1109&amp;" gkmo"))-1))),0)</f>
        <v>150</v>
      </c>
      <c r="J1109" s="6" t="str" cm="1">
        <f t="array" ref="J1109">IFERROR(TRIM(MID(E1109,MIN(FIND({" ";"g";"k";"m";"o"},E1109&amp;" gkmo")),10)),"unknown")</f>
        <v>g</v>
      </c>
      <c r="K1109" s="6" t="str">
        <f t="shared" si="68"/>
        <v>g</v>
      </c>
      <c r="L1109" s="6" t="str">
        <f t="shared" si="69"/>
        <v>Tyrrell'S</v>
      </c>
      <c r="M1109" s="6" t="str">
        <f t="shared" si="70"/>
        <v>Furrows Sea Salted Imp</v>
      </c>
      <c r="N1109" s="6" t="str">
        <f t="shared" si="71"/>
        <v>United Kingdom</v>
      </c>
    </row>
    <row r="1110" spans="1:14" x14ac:dyDescent="0.25">
      <c r="A1110" s="6" t="s">
        <v>2829</v>
      </c>
      <c r="B1110" s="6">
        <v>10629</v>
      </c>
      <c r="C1110" s="6" t="s">
        <v>2830</v>
      </c>
      <c r="D1110" s="7" t="s">
        <v>2831</v>
      </c>
      <c r="E1110" s="6" t="s">
        <v>10</v>
      </c>
      <c r="F1110" s="6" t="s">
        <v>8028</v>
      </c>
      <c r="G1110" s="8">
        <v>45447</v>
      </c>
      <c r="H1110" s="6">
        <v>20.66</v>
      </c>
      <c r="I1110" s="6" cm="1">
        <f t="array" ref="I1110">IFERROR(VALUE(TRIM(LEFT(E1110,MIN(FIND({" ";"g";"k";"m";"o"},E1110&amp;" gkmo"))-1))),0)</f>
        <v>100</v>
      </c>
      <c r="J1110" s="6" t="str" cm="1">
        <f t="array" ref="J1110">IFERROR(TRIM(MID(E1110,MIN(FIND({" ";"g";"k";"m";"o"},E1110&amp;" gkmo")),10)),"unknown")</f>
        <v>g</v>
      </c>
      <c r="K1110" s="6" t="str">
        <f t="shared" si="68"/>
        <v>g</v>
      </c>
      <c r="L1110" s="6" t="str">
        <f t="shared" si="69"/>
        <v>Mondelez, Toblerone</v>
      </c>
      <c r="M1110" s="6" t="str">
        <f t="shared" si="70"/>
        <v>Toblerone Dark Chocolate With Honey &amp; Almond Nougat</v>
      </c>
      <c r="N1110" s="6" t="str">
        <f t="shared" si="71"/>
        <v>France, Germany, Italy, Morocco, Switzerland, United States, Romania</v>
      </c>
    </row>
    <row r="1111" spans="1:14" x14ac:dyDescent="0.25">
      <c r="A1111" s="6" t="s">
        <v>2832</v>
      </c>
      <c r="B1111" s="6">
        <v>8823</v>
      </c>
      <c r="C1111" s="6" t="s">
        <v>2833</v>
      </c>
      <c r="D1111" s="7" t="s">
        <v>1348</v>
      </c>
      <c r="E1111" s="6" t="s">
        <v>2834</v>
      </c>
      <c r="F1111" s="6" t="s">
        <v>2835</v>
      </c>
      <c r="G1111" s="8">
        <v>46014</v>
      </c>
      <c r="H1111" s="6">
        <v>9.01</v>
      </c>
      <c r="I1111" s="6" cm="1">
        <f t="array" ref="I1111">IFERROR(VALUE(TRIM(LEFT(E1111,MIN(FIND({" ";"g";"k";"m";"o"},E1111&amp;" gkmo"))-1))),0)</f>
        <v>119</v>
      </c>
      <c r="J1111" s="6" t="str" cm="1">
        <f t="array" ref="J1111">IFERROR(TRIM(MID(E1111,MIN(FIND({" ";"g";"k";"m";"o"},E1111&amp;" gkmo")),10)),"unknown")</f>
        <v>g</v>
      </c>
      <c r="K1111" s="6" t="str">
        <f t="shared" si="68"/>
        <v>g</v>
      </c>
      <c r="L1111" s="6" t="str">
        <f t="shared" si="69"/>
        <v>Cadbury</v>
      </c>
      <c r="M1111" s="6" t="str">
        <f t="shared" si="70"/>
        <v>Dairymilk Buttons</v>
      </c>
      <c r="N1111" s="6" t="str">
        <f t="shared" si="71"/>
        <v>Switzerland,United Kingdom,United States</v>
      </c>
    </row>
    <row r="1112" spans="1:14" x14ac:dyDescent="0.25">
      <c r="A1112" s="6" t="s">
        <v>2836</v>
      </c>
      <c r="B1112" s="6">
        <v>8029</v>
      </c>
      <c r="C1112" s="6" t="s">
        <v>7907</v>
      </c>
      <c r="D1112" s="7" t="s">
        <v>7585</v>
      </c>
      <c r="E1112" s="6" t="s">
        <v>2837</v>
      </c>
      <c r="F1112" s="6" t="s">
        <v>139</v>
      </c>
      <c r="G1112" s="8">
        <v>45733</v>
      </c>
      <c r="H1112" s="6">
        <v>2.8</v>
      </c>
      <c r="I1112" s="6" cm="1">
        <f t="array" ref="I1112">IFERROR(VALUE(TRIM(LEFT(E1112,MIN(FIND({" ";"g";"k";"m";"o"},E1112&amp;" gkmo"))-1))),0)</f>
        <v>240</v>
      </c>
      <c r="J1112" s="6" t="str" cm="1">
        <f t="array" ref="J1112">IFERROR(TRIM(MID(E1112,MIN(FIND({" ";"g";"k";"m";"o"},E1112&amp;" gkmo")),10)),"unknown")</f>
        <v>g e (24 x</v>
      </c>
      <c r="K1112" s="6" t="str">
        <f t="shared" si="68"/>
        <v>g</v>
      </c>
      <c r="L1112" s="6" t="str">
        <f t="shared" si="69"/>
        <v>Cà´Te D'Or</v>
      </c>
      <c r="M1112" s="6" t="str">
        <f t="shared" si="70"/>
        <v>Mignonnette Noir - Orange</v>
      </c>
      <c r="N1112" s="6" t="str">
        <f t="shared" si="71"/>
        <v>France</v>
      </c>
    </row>
    <row r="1113" spans="1:14" x14ac:dyDescent="0.25">
      <c r="A1113" s="6" t="s">
        <v>2838</v>
      </c>
      <c r="B1113" s="6">
        <v>10000</v>
      </c>
      <c r="C1113" s="6" t="s">
        <v>2839</v>
      </c>
      <c r="D1113" s="7" t="s">
        <v>2840</v>
      </c>
      <c r="E1113" s="6" t="s">
        <v>151</v>
      </c>
      <c r="F1113" s="6" t="s">
        <v>2841</v>
      </c>
      <c r="G1113" s="8">
        <v>45700</v>
      </c>
      <c r="H1113" s="6">
        <v>22.44</v>
      </c>
      <c r="I1113" s="6" cm="1">
        <f t="array" ref="I1113">IFERROR(VALUE(TRIM(LEFT(E1113,MIN(FIND({" ";"g";"k";"m";"o"},E1113&amp;" gkmo"))-1))),0)</f>
        <v>200</v>
      </c>
      <c r="J1113" s="6" t="str" cm="1">
        <f t="array" ref="J1113">IFERROR(TRIM(MID(E1113,MIN(FIND({" ";"g";"k";"m";"o"},E1113&amp;" gkmo")),10)),"unknown")</f>
        <v>g</v>
      </c>
      <c r="K1113" s="6" t="str">
        <f t="shared" si="68"/>
        <v>g</v>
      </c>
      <c r="L1113" s="6" t="str">
        <f t="shared" si="69"/>
        <v>Ferrero, Kinder</v>
      </c>
      <c r="M1113" s="6" t="str">
        <f t="shared" si="70"/>
        <v>Kinder Schokobons White</v>
      </c>
      <c r="N1113" s="6" t="str">
        <f t="shared" si="71"/>
        <v>Austria,France,Germany,Spain</v>
      </c>
    </row>
    <row r="1114" spans="1:14" x14ac:dyDescent="0.25">
      <c r="A1114" s="6" t="s">
        <v>2842</v>
      </c>
      <c r="B1114" s="6">
        <v>13347</v>
      </c>
      <c r="C1114" s="6" t="s">
        <v>2843</v>
      </c>
      <c r="D1114" s="7" t="s">
        <v>2053</v>
      </c>
      <c r="E1114" s="6"/>
      <c r="F1114" s="6" t="s">
        <v>7599</v>
      </c>
      <c r="G1114" s="8">
        <v>45390</v>
      </c>
      <c r="H1114" s="6">
        <v>20.57</v>
      </c>
      <c r="I1114" s="6" cm="1">
        <f t="array" ref="I1114">IFERROR(VALUE(TRIM(LEFT(E1114,MIN(FIND({" ";"g";"k";"m";"o"},E1114&amp;" gkmo"))-1))),0)</f>
        <v>0</v>
      </c>
      <c r="J1114" s="6" t="str" cm="1">
        <f t="array" ref="J1114">IFERROR(TRIM(MID(E1114,MIN(FIND({" ";"g";"k";"m";"o"},E1114&amp;" gkmo")),10)),"unknown")</f>
        <v/>
      </c>
      <c r="K1114" s="6" t="str">
        <f t="shared" si="68"/>
        <v>unknown</v>
      </c>
      <c r="L1114" s="6" t="str">
        <f t="shared" si="69"/>
        <v>Cheetos,Pepsico</v>
      </c>
      <c r="M1114" s="6" t="str">
        <f t="shared" si="70"/>
        <v>Gustosines</v>
      </c>
      <c r="N1114" s="6" t="str">
        <f t="shared" si="71"/>
        <v>Marruecos,Espaà±A</v>
      </c>
    </row>
    <row r="1115" spans="1:14" x14ac:dyDescent="0.25">
      <c r="A1115" s="6" t="s">
        <v>2844</v>
      </c>
      <c r="B1115" s="6">
        <v>6936</v>
      </c>
      <c r="C1115" s="6" t="s">
        <v>2845</v>
      </c>
      <c r="D1115" s="7" t="s">
        <v>2109</v>
      </c>
      <c r="E1115" s="6"/>
      <c r="F1115" s="6" t="s">
        <v>7926</v>
      </c>
      <c r="G1115" s="8">
        <v>45424</v>
      </c>
      <c r="H1115" s="6">
        <v>8.2100000000000009</v>
      </c>
      <c r="I1115" s="6" cm="1">
        <f t="array" ref="I1115">IFERROR(VALUE(TRIM(LEFT(E1115,MIN(FIND({" ";"g";"k";"m";"o"},E1115&amp;" gkmo"))-1))),0)</f>
        <v>0</v>
      </c>
      <c r="J1115" s="6" t="str" cm="1">
        <f t="array" ref="J1115">IFERROR(TRIM(MID(E1115,MIN(FIND({" ";"g";"k";"m";"o"},E1115&amp;" gkmo")),10)),"unknown")</f>
        <v/>
      </c>
      <c r="K1115" s="6" t="str">
        <f t="shared" si="68"/>
        <v>unknown</v>
      </c>
      <c r="L1115" s="6" t="str">
        <f t="shared" si="69"/>
        <v>Popchips</v>
      </c>
      <c r="M1115" s="6" t="str">
        <f t="shared" si="70"/>
        <v>Sea Salt &amp; Vinegar Potato Chips</v>
      </c>
      <c r="N1115" s="6" t="str">
        <f t="shared" si="71"/>
        <v>France, United-Kingdom</v>
      </c>
    </row>
    <row r="1116" spans="1:14" x14ac:dyDescent="0.25">
      <c r="A1116" s="6" t="s">
        <v>2846</v>
      </c>
      <c r="B1116" s="6">
        <v>7753</v>
      </c>
      <c r="C1116" s="6" t="s">
        <v>2847</v>
      </c>
      <c r="D1116" s="7" t="s">
        <v>633</v>
      </c>
      <c r="E1116" s="6" t="s">
        <v>99</v>
      </c>
      <c r="F1116" s="6" t="s">
        <v>8005</v>
      </c>
      <c r="G1116" s="8">
        <v>45357</v>
      </c>
      <c r="H1116" s="6">
        <v>20.23</v>
      </c>
      <c r="I1116" s="6" cm="1">
        <f t="array" ref="I1116">IFERROR(VALUE(TRIM(LEFT(E1116,MIN(FIND({" ";"g";"k";"m";"o"},E1116&amp;" gkmo"))-1))),0)</f>
        <v>160</v>
      </c>
      <c r="J1116" s="6" t="str" cm="1">
        <f t="array" ref="J1116">IFERROR(TRIM(MID(E1116,MIN(FIND({" ";"g";"k";"m";"o"},E1116&amp;" gkmo")),10)),"unknown")</f>
        <v>g</v>
      </c>
      <c r="K1116" s="6" t="str">
        <f t="shared" si="68"/>
        <v>g</v>
      </c>
      <c r="L1116" s="6" t="str">
        <f t="shared" si="69"/>
        <v>Nairn'S</v>
      </c>
      <c r="M1116" s="6" t="str">
        <f t="shared" si="70"/>
        <v>Stem Ginger Oat Biscuit Breaks</v>
      </c>
      <c r="N1116" s="6" t="str">
        <f t="shared" si="71"/>
        <v>France,United Kingdom,United-Kingdom</v>
      </c>
    </row>
    <row r="1117" spans="1:14" x14ac:dyDescent="0.25">
      <c r="A1117" s="6" t="s">
        <v>2848</v>
      </c>
      <c r="B1117" s="6">
        <v>8550</v>
      </c>
      <c r="C1117" s="6" t="s">
        <v>2849</v>
      </c>
      <c r="D1117" s="7" t="s">
        <v>2850</v>
      </c>
      <c r="E1117" s="6" t="s">
        <v>33</v>
      </c>
      <c r="F1117" s="6" t="s">
        <v>8029</v>
      </c>
      <c r="G1117" s="8">
        <v>45697</v>
      </c>
      <c r="H1117" s="6">
        <v>6.41</v>
      </c>
      <c r="I1117" s="6" cm="1">
        <f t="array" ref="I1117">IFERROR(VALUE(TRIM(LEFT(E1117,MIN(FIND({" ";"g";"k";"m";"o"},E1117&amp;" gkmo"))-1))),0)</f>
        <v>500</v>
      </c>
      <c r="J1117" s="6" t="str" cm="1">
        <f t="array" ref="J1117">IFERROR(TRIM(MID(E1117,MIN(FIND({" ";"g";"k";"m";"o"},E1117&amp;" gkmo")),10)),"unknown")</f>
        <v>ml</v>
      </c>
      <c r="K1117" s="6" t="str">
        <f t="shared" si="68"/>
        <v>ml</v>
      </c>
      <c r="L1117" s="6" t="str">
        <f t="shared" si="69"/>
        <v>Rossmann</v>
      </c>
      <c r="M1117" s="6" t="str">
        <f t="shared" si="70"/>
        <v>Mamas Babydream Stillsaft</v>
      </c>
      <c r="N1117" s="6" t="str">
        <f t="shared" si="71"/>
        <v>Germany, United-States</v>
      </c>
    </row>
    <row r="1118" spans="1:14" x14ac:dyDescent="0.25">
      <c r="A1118" s="6" t="s">
        <v>2851</v>
      </c>
      <c r="B1118" s="6">
        <v>6479</v>
      </c>
      <c r="C1118" s="6" t="s">
        <v>7200</v>
      </c>
      <c r="D1118" s="7" t="s">
        <v>7201</v>
      </c>
      <c r="E1118" s="6" t="s">
        <v>138</v>
      </c>
      <c r="F1118" s="6" t="s">
        <v>213</v>
      </c>
      <c r="G1118" s="8">
        <v>45672</v>
      </c>
      <c r="H1118" s="6">
        <v>8.15</v>
      </c>
      <c r="I1118" s="6" cm="1">
        <f t="array" ref="I1118">IFERROR(VALUE(TRIM(LEFT(E1118,MIN(FIND({" ";"g";"k";"m";"o"},E1118&amp;" gkmo"))-1))),0)</f>
        <v>400</v>
      </c>
      <c r="J1118" s="6" t="str" cm="1">
        <f t="array" ref="J1118">IFERROR(TRIM(MID(E1118,MIN(FIND({" ";"g";"k";"m";"o"},E1118&amp;" gkmo")),10)),"unknown")</f>
        <v>g</v>
      </c>
      <c r="K1118" s="6" t="str">
        <f t="shared" si="68"/>
        <v>g</v>
      </c>
      <c r="L1118" s="6" t="str">
        <f t="shared" si="69"/>
        <v>Nestlé, Lion, Lion Bio</v>
      </c>
      <c r="M1118" s="6" t="str">
        <f t="shared" si="70"/>
        <v>Nestle Lion Céréales Caramel Chocolat Bio 400G</v>
      </c>
      <c r="N1118" s="6" t="str">
        <f t="shared" si="71"/>
        <v>Belgium,France</v>
      </c>
    </row>
    <row r="1119" spans="1:14" x14ac:dyDescent="0.25">
      <c r="A1119" s="6" t="s">
        <v>2852</v>
      </c>
      <c r="B1119" s="6">
        <v>7442</v>
      </c>
      <c r="C1119" s="6" t="s">
        <v>7693</v>
      </c>
      <c r="D1119" s="7" t="s">
        <v>2853</v>
      </c>
      <c r="E1119" s="6" t="s">
        <v>2854</v>
      </c>
      <c r="F1119" s="6" t="s">
        <v>7595</v>
      </c>
      <c r="G1119" s="8">
        <v>45538</v>
      </c>
      <c r="H1119" s="6">
        <v>19.02</v>
      </c>
      <c r="I1119" s="6" cm="1">
        <f t="array" ref="I1119">IFERROR(VALUE(TRIM(LEFT(E1119,MIN(FIND({" ";"g";"k";"m";"o"},E1119&amp;" gkmo"))-1))),0)</f>
        <v>6</v>
      </c>
      <c r="J1119" s="6" t="str" cm="1">
        <f t="array" ref="J1119">IFERROR(TRIM(MID(E1119,MIN(FIND({" ";"g";"k";"m";"o"},E1119&amp;" gkmo")),10)),"unknown")</f>
        <v>x 50 g</v>
      </c>
      <c r="K1119" s="6" t="str">
        <f t="shared" si="68"/>
        <v>g</v>
      </c>
      <c r="L1119" s="6" t="str">
        <f t="shared" si="69"/>
        <v>Sondey,Lidl</v>
      </c>
      <c r="M1119" s="6" t="str">
        <f t="shared" si="70"/>
        <v>Galletas 0% Azàºcares Aà±Adidos</v>
      </c>
      <c r="N1119" s="6" t="str">
        <f t="shared" si="71"/>
        <v>Espaà±A</v>
      </c>
    </row>
    <row r="1120" spans="1:14" x14ac:dyDescent="0.25">
      <c r="A1120" s="6" t="s">
        <v>2855</v>
      </c>
      <c r="B1120" s="6">
        <v>12701</v>
      </c>
      <c r="C1120" s="6" t="s">
        <v>2856</v>
      </c>
      <c r="D1120" s="7" t="s">
        <v>1800</v>
      </c>
      <c r="E1120" s="6" t="s">
        <v>10</v>
      </c>
      <c r="F1120" s="6" t="s">
        <v>139</v>
      </c>
      <c r="G1120" s="8">
        <v>46033</v>
      </c>
      <c r="H1120" s="6">
        <v>13.08</v>
      </c>
      <c r="I1120" s="6" cm="1">
        <f t="array" ref="I1120">IFERROR(VALUE(TRIM(LEFT(E1120,MIN(FIND({" ";"g";"k";"m";"o"},E1120&amp;" gkmo"))-1))),0)</f>
        <v>100</v>
      </c>
      <c r="J1120" s="6" t="str" cm="1">
        <f t="array" ref="J1120">IFERROR(TRIM(MID(E1120,MIN(FIND({" ";"g";"k";"m";"o"},E1120&amp;" gkmo")),10)),"unknown")</f>
        <v>g</v>
      </c>
      <c r="K1120" s="6" t="str">
        <f t="shared" si="68"/>
        <v>g</v>
      </c>
      <c r="L1120" s="6" t="str">
        <f t="shared" si="69"/>
        <v>Villars</v>
      </c>
      <c r="M1120" s="6" t="str">
        <f t="shared" si="70"/>
        <v>Chocolat Villars Noir 85% 100G</v>
      </c>
      <c r="N1120" s="6" t="str">
        <f t="shared" si="71"/>
        <v>France</v>
      </c>
    </row>
    <row r="1121" spans="1:14" x14ac:dyDescent="0.25">
      <c r="A1121" s="6" t="s">
        <v>2857</v>
      </c>
      <c r="B1121" s="6">
        <v>12680</v>
      </c>
      <c r="C1121" s="6" t="s">
        <v>2858</v>
      </c>
      <c r="D1121" s="7" t="s">
        <v>906</v>
      </c>
      <c r="E1121" s="6"/>
      <c r="F1121" s="6" t="s">
        <v>177</v>
      </c>
      <c r="G1121" s="8">
        <v>46030</v>
      </c>
      <c r="H1121" s="6">
        <v>6.18</v>
      </c>
      <c r="I1121" s="6" cm="1">
        <f t="array" ref="I1121">IFERROR(VALUE(TRIM(LEFT(E1121,MIN(FIND({" ";"g";"k";"m";"o"},E1121&amp;" gkmo"))-1))),0)</f>
        <v>0</v>
      </c>
      <c r="J1121" s="6" t="str" cm="1">
        <f t="array" ref="J1121">IFERROR(TRIM(MID(E1121,MIN(FIND({" ";"g";"k";"m";"o"},E1121&amp;" gkmo")),10)),"unknown")</f>
        <v/>
      </c>
      <c r="K1121" s="6" t="str">
        <f t="shared" si="68"/>
        <v>unknown</v>
      </c>
      <c r="L1121" s="6" t="str">
        <f t="shared" si="69"/>
        <v>Sainsbury'S</v>
      </c>
      <c r="M1121" s="6" t="str">
        <f t="shared" si="70"/>
        <v>Sainsbury Tortillas</v>
      </c>
      <c r="N1121" s="6" t="str">
        <f t="shared" si="71"/>
        <v>United Kingdom</v>
      </c>
    </row>
    <row r="1122" spans="1:14" x14ac:dyDescent="0.25">
      <c r="A1122" s="6" t="s">
        <v>2859</v>
      </c>
      <c r="B1122" s="6">
        <v>6411</v>
      </c>
      <c r="C1122" s="6" t="s">
        <v>2860</v>
      </c>
      <c r="D1122" s="7" t="s">
        <v>2861</v>
      </c>
      <c r="E1122" s="6" t="s">
        <v>2862</v>
      </c>
      <c r="F1122" s="6" t="s">
        <v>8030</v>
      </c>
      <c r="G1122" s="8">
        <v>45528</v>
      </c>
      <c r="H1122" s="6">
        <v>14.43</v>
      </c>
      <c r="I1122" s="6" cm="1">
        <f t="array" ref="I1122">IFERROR(VALUE(TRIM(LEFT(E1122,MIN(FIND({" ";"g";"k";"m";"o"},E1122&amp;" gkmo"))-1))),0)</f>
        <v>700</v>
      </c>
      <c r="J1122" s="6" t="str" cm="1">
        <f t="array" ref="J1122">IFERROR(TRIM(MID(E1122,MIN(FIND({" ";"g";"k";"m";"o"},E1122&amp;" gkmo")),10)),"unknown")</f>
        <v>g</v>
      </c>
      <c r="K1122" s="6" t="str">
        <f t="shared" si="68"/>
        <v>g</v>
      </c>
      <c r="L1122" s="6" t="str">
        <f t="shared" si="69"/>
        <v>Mulino Bianco Pan Di Stelle</v>
      </c>
      <c r="M1122" s="6" t="str">
        <f t="shared" si="70"/>
        <v>Pan Di Stelle</v>
      </c>
      <c r="N1122" s="6" t="str">
        <f t="shared" si="71"/>
        <v>It</v>
      </c>
    </row>
    <row r="1123" spans="1:14" x14ac:dyDescent="0.25">
      <c r="A1123" s="6" t="s">
        <v>2863</v>
      </c>
      <c r="B1123" s="6">
        <v>14586</v>
      </c>
      <c r="C1123" s="6" t="s">
        <v>2864</v>
      </c>
      <c r="D1123" s="7" t="s">
        <v>2865</v>
      </c>
      <c r="E1123" s="6" t="s">
        <v>676</v>
      </c>
      <c r="F1123" s="6" t="s">
        <v>2866</v>
      </c>
      <c r="G1123" s="8">
        <v>45702</v>
      </c>
      <c r="H1123" s="6">
        <v>8.6199999999999992</v>
      </c>
      <c r="I1123" s="6" cm="1">
        <f t="array" ref="I1123">IFERROR(VALUE(TRIM(LEFT(E1123,MIN(FIND({" ";"g";"k";"m";"o"},E1123&amp;" gkmo"))-1))),0)</f>
        <v>180</v>
      </c>
      <c r="J1123" s="6" t="str" cm="1">
        <f t="array" ref="J1123">IFERROR(TRIM(MID(E1123,MIN(FIND({" ";"g";"k";"m";"o"},E1123&amp;" gkmo")),10)),"unknown")</f>
        <v>g</v>
      </c>
      <c r="K1123" s="6" t="str">
        <f t="shared" si="68"/>
        <v>g</v>
      </c>
      <c r="L1123" s="6" t="str">
        <f t="shared" si="69"/>
        <v>Danube</v>
      </c>
      <c r="M1123" s="6" t="str">
        <f t="shared" si="70"/>
        <v>Crimbles Coconut Macarons Imp</v>
      </c>
      <c r="N1123" s="6" t="str">
        <f t="shared" si="71"/>
        <v>Verenigd Koninkrijk,Nederland</v>
      </c>
    </row>
    <row r="1124" spans="1:14" x14ac:dyDescent="0.25">
      <c r="A1124" s="6" t="s">
        <v>2867</v>
      </c>
      <c r="B1124" s="6">
        <v>5745</v>
      </c>
      <c r="C1124" s="6" t="s">
        <v>2151</v>
      </c>
      <c r="D1124" s="7" t="s">
        <v>7468</v>
      </c>
      <c r="E1124" s="6" t="s">
        <v>379</v>
      </c>
      <c r="F1124" s="6" t="s">
        <v>1356</v>
      </c>
      <c r="G1124" s="8">
        <v>45877</v>
      </c>
      <c r="H1124" s="6">
        <v>13.16</v>
      </c>
      <c r="I1124" s="6" cm="1">
        <f t="array" ref="I1124">IFERROR(VALUE(TRIM(LEFT(E1124,MIN(FIND({" ";"g";"k";"m";"o"},E1124&amp;" gkmo"))-1))),0)</f>
        <v>145</v>
      </c>
      <c r="J1124" s="6" t="str" cm="1">
        <f t="array" ref="J1124">IFERROR(TRIM(MID(E1124,MIN(FIND({" ";"g";"k";"m";"o"},E1124&amp;" gkmo")),10)),"unknown")</f>
        <v>g</v>
      </c>
      <c r="K1124" s="6" t="str">
        <f t="shared" si="68"/>
        <v>g</v>
      </c>
      <c r="L1124" s="6" t="str">
        <f t="shared" si="69"/>
        <v>La Mère Poulard</v>
      </c>
      <c r="M1124" s="6" t="str">
        <f t="shared" si="70"/>
        <v>Le Petit Beurre</v>
      </c>
      <c r="N1124" s="6" t="str">
        <f t="shared" si="71"/>
        <v>France,Germany</v>
      </c>
    </row>
    <row r="1125" spans="1:14" x14ac:dyDescent="0.25">
      <c r="A1125" s="6" t="s">
        <v>2868</v>
      </c>
      <c r="B1125" s="6">
        <v>14362</v>
      </c>
      <c r="C1125" s="6" t="s">
        <v>384</v>
      </c>
      <c r="D1125" s="7" t="s">
        <v>1205</v>
      </c>
      <c r="E1125" s="6" t="s">
        <v>2869</v>
      </c>
      <c r="F1125" s="6" t="s">
        <v>177</v>
      </c>
      <c r="G1125" s="8">
        <v>45943</v>
      </c>
      <c r="H1125" s="6">
        <v>22.37</v>
      </c>
      <c r="I1125" s="6" cm="1">
        <f t="array" ref="I1125">IFERROR(VALUE(TRIM(LEFT(E1125,MIN(FIND({" ";"g";"k";"m";"o"},E1125&amp;" gkmo"))-1))),0)</f>
        <v>300</v>
      </c>
      <c r="J1125" s="6" t="str" cm="1">
        <f t="array" ref="J1125">IFERROR(TRIM(MID(E1125,MIN(FIND({" ";"g";"k";"m";"o"},E1125&amp;" gkmo")),10)),"unknown")</f>
        <v>g (approx</v>
      </c>
      <c r="K1125" s="6" t="str">
        <f t="shared" si="68"/>
        <v>g</v>
      </c>
      <c r="L1125" s="6" t="str">
        <f t="shared" si="69"/>
        <v>Savour Bakes</v>
      </c>
      <c r="M1125" s="6" t="str">
        <f t="shared" si="70"/>
        <v>Cream Crackers</v>
      </c>
      <c r="N1125" s="6" t="str">
        <f t="shared" si="71"/>
        <v>United Kingdom</v>
      </c>
    </row>
    <row r="1126" spans="1:14" x14ac:dyDescent="0.25">
      <c r="A1126" s="6" t="s">
        <v>2870</v>
      </c>
      <c r="B1126" s="6">
        <v>9067</v>
      </c>
      <c r="C1126" s="6" t="s">
        <v>2871</v>
      </c>
      <c r="D1126" s="7" t="s">
        <v>81</v>
      </c>
      <c r="E1126" s="6" t="s">
        <v>1592</v>
      </c>
      <c r="F1126" s="6" t="s">
        <v>7475</v>
      </c>
      <c r="G1126" s="8">
        <v>45673</v>
      </c>
      <c r="H1126" s="6">
        <v>17.68</v>
      </c>
      <c r="I1126" s="6" cm="1">
        <f t="array" ref="I1126">IFERROR(VALUE(TRIM(LEFT(E1126,MIN(FIND({" ";"g";"k";"m";"o"},E1126&amp;" gkmo"))-1))),0)</f>
        <v>265</v>
      </c>
      <c r="J1126" s="6" t="str" cm="1">
        <f t="array" ref="J1126">IFERROR(TRIM(MID(E1126,MIN(FIND({" ";"g";"k";"m";"o"},E1126&amp;" gkmo")),10)),"unknown")</f>
        <v>g</v>
      </c>
      <c r="K1126" s="6" t="str">
        <f t="shared" si="68"/>
        <v>g</v>
      </c>
      <c r="L1126" s="6" t="str">
        <f t="shared" si="69"/>
        <v>Wasa</v>
      </c>
      <c r="M1126" s="6" t="str">
        <f t="shared" si="70"/>
        <v>Wasa Tartine Croustillante Sensation Aux Flocons D'Avoine &amp; Touche De Sel 265G</v>
      </c>
      <c r="N1126" s="6" t="str">
        <f t="shared" si="71"/>
        <v>France,Suède</v>
      </c>
    </row>
    <row r="1127" spans="1:14" x14ac:dyDescent="0.25">
      <c r="A1127" s="6" t="s">
        <v>2872</v>
      </c>
      <c r="B1127" s="6">
        <v>14997</v>
      </c>
      <c r="C1127" s="6" t="s">
        <v>2873</v>
      </c>
      <c r="D1127" s="7" t="s">
        <v>2874</v>
      </c>
      <c r="E1127" s="6" t="s">
        <v>2875</v>
      </c>
      <c r="F1127" s="6" t="s">
        <v>1774</v>
      </c>
      <c r="G1127" s="8">
        <v>45728</v>
      </c>
      <c r="H1127" s="6">
        <v>13.16</v>
      </c>
      <c r="I1127" s="6" cm="1">
        <f t="array" ref="I1127">IFERROR(VALUE(TRIM(LEFT(E1127,MIN(FIND({" ";"g";"k";"m";"o"},E1127&amp;" gkmo"))-1))),0)</f>
        <v>45</v>
      </c>
      <c r="J1127" s="6" t="str" cm="1">
        <f t="array" ref="J1127">IFERROR(TRIM(MID(E1127,MIN(FIND({" ";"g";"k";"m";"o"},E1127&amp;" gkmo")),10)),"unknown")</f>
        <v>g</v>
      </c>
      <c r="K1127" s="6" t="str">
        <f t="shared" si="68"/>
        <v>g</v>
      </c>
      <c r="L1127" s="6" t="str">
        <f t="shared" si="69"/>
        <v>Wrigley</v>
      </c>
      <c r="M1127" s="6" t="str">
        <f t="shared" si="70"/>
        <v>Skittles</v>
      </c>
      <c r="N1127" s="6" t="str">
        <f t="shared" si="71"/>
        <v>Ireland,United Kingdom</v>
      </c>
    </row>
    <row r="1128" spans="1:14" x14ac:dyDescent="0.25">
      <c r="A1128" s="6" t="s">
        <v>2876</v>
      </c>
      <c r="B1128" s="6">
        <v>11828</v>
      </c>
      <c r="C1128" s="6" t="s">
        <v>7694</v>
      </c>
      <c r="D1128" s="7" t="s">
        <v>7017</v>
      </c>
      <c r="E1128" s="6"/>
      <c r="F1128" s="6" t="s">
        <v>1181</v>
      </c>
      <c r="G1128" s="8">
        <v>45435</v>
      </c>
      <c r="H1128" s="6">
        <v>15.64</v>
      </c>
      <c r="I1128" s="6" cm="1">
        <f t="array" ref="I1128">IFERROR(VALUE(TRIM(LEFT(E1128,MIN(FIND({" ";"g";"k";"m";"o"},E1128&amp;" gkmo"))-1))),0)</f>
        <v>0</v>
      </c>
      <c r="J1128" s="6" t="str" cm="1">
        <f t="array" ref="J1128">IFERROR(TRIM(MID(E1128,MIN(FIND({" ";"g";"k";"m";"o"},E1128&amp;" gkmo")),10)),"unknown")</f>
        <v/>
      </c>
      <c r="K1128" s="6" t="str">
        <f t="shared" si="68"/>
        <v>unknown</v>
      </c>
      <c r="L1128" s="6" t="str">
        <f t="shared" si="69"/>
        <v>Unknown</v>
      </c>
      <c r="M1128" s="6" t="str">
        <f t="shared" si="70"/>
        <v>Cracotte Goà»T Choco-Noisette</v>
      </c>
      <c r="N1128" s="6" t="str">
        <f t="shared" si="71"/>
        <v>France,Switzerland</v>
      </c>
    </row>
    <row r="1129" spans="1:14" x14ac:dyDescent="0.25">
      <c r="A1129" s="6" t="s">
        <v>2877</v>
      </c>
      <c r="B1129" s="6">
        <v>11502</v>
      </c>
      <c r="C1129" s="6" t="s">
        <v>2878</v>
      </c>
      <c r="D1129" s="7" t="s">
        <v>468</v>
      </c>
      <c r="E1129" s="6"/>
      <c r="F1129" s="6" t="s">
        <v>8031</v>
      </c>
      <c r="G1129" s="8">
        <v>45994</v>
      </c>
      <c r="H1129" s="6">
        <v>15.93</v>
      </c>
      <c r="I1129" s="6" cm="1">
        <f t="array" ref="I1129">IFERROR(VALUE(TRIM(LEFT(E1129,MIN(FIND({" ";"g";"k";"m";"o"},E1129&amp;" gkmo"))-1))),0)</f>
        <v>0</v>
      </c>
      <c r="J1129" s="6" t="str" cm="1">
        <f t="array" ref="J1129">IFERROR(TRIM(MID(E1129,MIN(FIND({" ";"g";"k";"m";"o"},E1129&amp;" gkmo")),10)),"unknown")</f>
        <v/>
      </c>
      <c r="K1129" s="6" t="str">
        <f t="shared" si="68"/>
        <v>unknown</v>
      </c>
      <c r="L1129" s="6" t="str">
        <f t="shared" si="69"/>
        <v>Milka, Mondelez</v>
      </c>
      <c r="M1129" s="6" t="str">
        <f t="shared" si="70"/>
        <v>Milka - Riz Croustillant</v>
      </c>
      <c r="N1129" s="6" t="str">
        <f t="shared" si="71"/>
        <v>France, Germany, Morocco, Italy</v>
      </c>
    </row>
    <row r="1130" spans="1:14" x14ac:dyDescent="0.25">
      <c r="A1130" s="6" t="s">
        <v>2879</v>
      </c>
      <c r="B1130" s="6">
        <v>6007</v>
      </c>
      <c r="C1130" s="6" t="s">
        <v>2880</v>
      </c>
      <c r="D1130" s="7" t="s">
        <v>60</v>
      </c>
      <c r="E1130" s="6" t="s">
        <v>10</v>
      </c>
      <c r="F1130" s="6" t="s">
        <v>139</v>
      </c>
      <c r="G1130" s="8">
        <v>45373</v>
      </c>
      <c r="H1130" s="6">
        <v>14.94</v>
      </c>
      <c r="I1130" s="6" cm="1">
        <f t="array" ref="I1130">IFERROR(VALUE(TRIM(LEFT(E1130,MIN(FIND({" ";"g";"k";"m";"o"},E1130&amp;" gkmo"))-1))),0)</f>
        <v>100</v>
      </c>
      <c r="J1130" s="6" t="str" cm="1">
        <f t="array" ref="J1130">IFERROR(TRIM(MID(E1130,MIN(FIND({" ";"g";"k";"m";"o"},E1130&amp;" gkmo")),10)),"unknown")</f>
        <v>g</v>
      </c>
      <c r="K1130" s="6" t="str">
        <f t="shared" si="68"/>
        <v>g</v>
      </c>
      <c r="L1130" s="6" t="str">
        <f t="shared" si="69"/>
        <v>Lindt</v>
      </c>
      <c r="M1130" s="6" t="str">
        <f t="shared" si="70"/>
        <v>Excellence Noir Menthe Intense</v>
      </c>
      <c r="N1130" s="6" t="str">
        <f t="shared" si="71"/>
        <v>France</v>
      </c>
    </row>
    <row r="1131" spans="1:14" x14ac:dyDescent="0.25">
      <c r="A1131" s="6" t="s">
        <v>2881</v>
      </c>
      <c r="B1131" s="6">
        <v>12862</v>
      </c>
      <c r="C1131" s="6" t="s">
        <v>7695</v>
      </c>
      <c r="D1131" s="7" t="s">
        <v>60</v>
      </c>
      <c r="E1131" s="6" t="s">
        <v>39</v>
      </c>
      <c r="F1131" s="6" t="s">
        <v>139</v>
      </c>
      <c r="G1131" s="8">
        <v>45985</v>
      </c>
      <c r="H1131" s="6">
        <v>20.239999999999998</v>
      </c>
      <c r="I1131" s="6" cm="1">
        <f t="array" ref="I1131">IFERROR(VALUE(TRIM(LEFT(E1131,MIN(FIND({" ";"g";"k";"m";"o"},E1131&amp;" gkmo"))-1))),0)</f>
        <v>150</v>
      </c>
      <c r="J1131" s="6" t="str" cm="1">
        <f t="array" ref="J1131">IFERROR(TRIM(MID(E1131,MIN(FIND({" ";"g";"k";"m";"o"},E1131&amp;" gkmo")),10)),"unknown")</f>
        <v>g</v>
      </c>
      <c r="K1131" s="6" t="str">
        <f t="shared" si="68"/>
        <v>g</v>
      </c>
      <c r="L1131" s="6" t="str">
        <f t="shared" si="69"/>
        <v>Lindt</v>
      </c>
      <c r="M1131" s="6" t="str">
        <f t="shared" si="70"/>
        <v>Création Crème Brà»Lée</v>
      </c>
      <c r="N1131" s="6" t="str">
        <f t="shared" si="71"/>
        <v>France</v>
      </c>
    </row>
    <row r="1132" spans="1:14" x14ac:dyDescent="0.25">
      <c r="A1132" s="6" t="s">
        <v>2882</v>
      </c>
      <c r="B1132" s="6">
        <v>5944</v>
      </c>
      <c r="C1132" s="6" t="s">
        <v>7202</v>
      </c>
      <c r="D1132" s="7" t="s">
        <v>1606</v>
      </c>
      <c r="E1132" s="6" t="s">
        <v>1592</v>
      </c>
      <c r="F1132" s="6" t="s">
        <v>8032</v>
      </c>
      <c r="G1132" s="8">
        <v>45779</v>
      </c>
      <c r="H1132" s="6">
        <v>18.52</v>
      </c>
      <c r="I1132" s="6" cm="1">
        <f t="array" ref="I1132">IFERROR(VALUE(TRIM(LEFT(E1132,MIN(FIND({" ";"g";"k";"m";"o"},E1132&amp;" gkmo"))-1))),0)</f>
        <v>265</v>
      </c>
      <c r="J1132" s="6" t="str" cm="1">
        <f t="array" ref="J1132">IFERROR(TRIM(MID(E1132,MIN(FIND({" ";"g";"k";"m";"o"},E1132&amp;" gkmo")),10)),"unknown")</f>
        <v>g</v>
      </c>
      <c r="K1132" s="6" t="str">
        <f t="shared" si="68"/>
        <v>g</v>
      </c>
      <c r="L1132" s="6" t="str">
        <f t="shared" si="69"/>
        <v>Bonduelle</v>
      </c>
      <c r="M1132" s="6" t="str">
        <f t="shared" si="70"/>
        <v>Macédoine 1/2</v>
      </c>
      <c r="N1132" s="6" t="str">
        <f t="shared" si="71"/>
        <v>France,France, République Tchèque</v>
      </c>
    </row>
    <row r="1133" spans="1:14" x14ac:dyDescent="0.25">
      <c r="A1133" s="6" t="s">
        <v>2883</v>
      </c>
      <c r="B1133" s="6">
        <v>10241</v>
      </c>
      <c r="C1133" s="6" t="s">
        <v>2884</v>
      </c>
      <c r="D1133" s="7" t="s">
        <v>1606</v>
      </c>
      <c r="E1133" s="6" t="s">
        <v>1487</v>
      </c>
      <c r="F1133" s="6" t="s">
        <v>8311</v>
      </c>
      <c r="G1133" s="8">
        <v>45791</v>
      </c>
      <c r="H1133" s="6">
        <v>17.8</v>
      </c>
      <c r="I1133" s="6" cm="1">
        <f t="array" ref="I1133">IFERROR(VALUE(TRIM(LEFT(E1133,MIN(FIND({" ";"g";"k";"m";"o"},E1133&amp;" gkmo"))-1))),0)</f>
        <v>320</v>
      </c>
      <c r="J1133" s="6" t="str" cm="1">
        <f t="array" ref="J1133">IFERROR(TRIM(MID(E1133,MIN(FIND({" ";"g";"k";"m";"o"},E1133&amp;" gkmo")),10)),"unknown")</f>
        <v>g</v>
      </c>
      <c r="K1133" s="6" t="str">
        <f t="shared" si="68"/>
        <v>g</v>
      </c>
      <c r="L1133" s="6" t="str">
        <f t="shared" si="69"/>
        <v>Bonduelle</v>
      </c>
      <c r="M1133" s="6" t="str">
        <f t="shared" si="70"/>
        <v>Riz Provencal 320G</v>
      </c>
      <c r="N1133" s="6" t="str">
        <f t="shared" si="71"/>
        <v>France, Belgium</v>
      </c>
    </row>
    <row r="1134" spans="1:14" x14ac:dyDescent="0.25">
      <c r="A1134" s="6" t="s">
        <v>2885</v>
      </c>
      <c r="B1134" s="6">
        <v>14777</v>
      </c>
      <c r="C1134" s="6" t="s">
        <v>2886</v>
      </c>
      <c r="D1134" s="7" t="s">
        <v>7017</v>
      </c>
      <c r="E1134" s="6" t="s">
        <v>151</v>
      </c>
      <c r="F1134" s="6" t="s">
        <v>213</v>
      </c>
      <c r="G1134" s="8">
        <v>45527</v>
      </c>
      <c r="H1134" s="6">
        <v>21.67</v>
      </c>
      <c r="I1134" s="6" cm="1">
        <f t="array" ref="I1134">IFERROR(VALUE(TRIM(LEFT(E1134,MIN(FIND({" ";"g";"k";"m";"o"},E1134&amp;" gkmo"))-1))),0)</f>
        <v>200</v>
      </c>
      <c r="J1134" s="6" t="str" cm="1">
        <f t="array" ref="J1134">IFERROR(TRIM(MID(E1134,MIN(FIND({" ";"g";"k";"m";"o"},E1134&amp;" gkmo")),10)),"unknown")</f>
        <v>g</v>
      </c>
      <c r="K1134" s="6" t="str">
        <f t="shared" si="68"/>
        <v>g</v>
      </c>
      <c r="L1134" s="6" t="str">
        <f t="shared" si="69"/>
        <v>Unknown</v>
      </c>
      <c r="M1134" s="6" t="str">
        <f t="shared" si="70"/>
        <v>Longfizz</v>
      </c>
      <c r="N1134" s="6" t="str">
        <f t="shared" si="71"/>
        <v>Belgium,France</v>
      </c>
    </row>
    <row r="1135" spans="1:14" x14ac:dyDescent="0.25">
      <c r="A1135" s="6" t="s">
        <v>2887</v>
      </c>
      <c r="B1135" s="6">
        <v>8019</v>
      </c>
      <c r="C1135" s="6" t="s">
        <v>2888</v>
      </c>
      <c r="D1135" s="7" t="s">
        <v>488</v>
      </c>
      <c r="E1135" s="6" t="s">
        <v>335</v>
      </c>
      <c r="F1135" s="6" t="s">
        <v>139</v>
      </c>
      <c r="G1135" s="8">
        <v>45340</v>
      </c>
      <c r="H1135" s="6">
        <v>2.93</v>
      </c>
      <c r="I1135" s="6" cm="1">
        <f t="array" ref="I1135">IFERROR(VALUE(TRIM(LEFT(E1135,MIN(FIND({" ";"g";"k";"m";"o"},E1135&amp;" gkmo"))-1))),0)</f>
        <v>250</v>
      </c>
      <c r="J1135" s="6" t="str" cm="1">
        <f t="array" ref="J1135">IFERROR(TRIM(MID(E1135,MIN(FIND({" ";"g";"k";"m";"o"},E1135&amp;" gkmo")),10)),"unknown")</f>
        <v>g</v>
      </c>
      <c r="K1135" s="6" t="str">
        <f t="shared" si="68"/>
        <v>g</v>
      </c>
      <c r="L1135" s="6" t="str">
        <f t="shared" si="69"/>
        <v>Bonne Maman</v>
      </c>
      <c r="M1135" s="6" t="str">
        <f t="shared" si="70"/>
        <v>Biscuits A La Cuillere</v>
      </c>
      <c r="N1135" s="6" t="str">
        <f t="shared" si="71"/>
        <v>France</v>
      </c>
    </row>
    <row r="1136" spans="1:14" x14ac:dyDescent="0.25">
      <c r="A1136" s="6" t="s">
        <v>2889</v>
      </c>
      <c r="B1136" s="6">
        <v>8112</v>
      </c>
      <c r="C1136" s="6" t="s">
        <v>7696</v>
      </c>
      <c r="D1136" s="7" t="s">
        <v>854</v>
      </c>
      <c r="E1136" s="6" t="s">
        <v>14</v>
      </c>
      <c r="F1136" s="6" t="s">
        <v>213</v>
      </c>
      <c r="G1136" s="8">
        <v>45497</v>
      </c>
      <c r="H1136" s="6">
        <v>19.010000000000002</v>
      </c>
      <c r="I1136" s="6" cm="1">
        <f t="array" ref="I1136">IFERROR(VALUE(TRIM(LEFT(E1136,MIN(FIND({" ";"g";"k";"m";"o"},E1136&amp;" gkmo"))-1))),0)</f>
        <v>300</v>
      </c>
      <c r="J1136" s="6" t="str" cm="1">
        <f t="array" ref="J1136">IFERROR(TRIM(MID(E1136,MIN(FIND({" ";"g";"k";"m";"o"},E1136&amp;" gkmo")),10)),"unknown")</f>
        <v>g</v>
      </c>
      <c r="K1136" s="6" t="str">
        <f t="shared" si="68"/>
        <v>g</v>
      </c>
      <c r="L1136" s="6" t="str">
        <f t="shared" si="69"/>
        <v>Carrefour</v>
      </c>
      <c r="M1136" s="6" t="str">
        <f t="shared" si="70"/>
        <v>Carottes Rà¢Pées Au Jus De Citron*</v>
      </c>
      <c r="N1136" s="6" t="str">
        <f t="shared" si="71"/>
        <v>Belgium,France</v>
      </c>
    </row>
    <row r="1137" spans="1:14" x14ac:dyDescent="0.25">
      <c r="A1137" s="6" t="s">
        <v>2890</v>
      </c>
      <c r="B1137" s="6">
        <v>5181</v>
      </c>
      <c r="C1137" s="6" t="s">
        <v>7203</v>
      </c>
      <c r="D1137" s="7" t="s">
        <v>2891</v>
      </c>
      <c r="E1137" s="6" t="s">
        <v>28</v>
      </c>
      <c r="F1137" s="6" t="s">
        <v>139</v>
      </c>
      <c r="G1137" s="8">
        <v>45898</v>
      </c>
      <c r="H1137" s="6">
        <v>11.53</v>
      </c>
      <c r="I1137" s="6" cm="1">
        <f t="array" ref="I1137">IFERROR(VALUE(TRIM(LEFT(E1137,MIN(FIND({" ";"g";"k";"m";"o"},E1137&amp;" gkmo"))-1))),0)</f>
        <v>125</v>
      </c>
      <c r="J1137" s="6" t="str" cm="1">
        <f t="array" ref="J1137">IFERROR(TRIM(MID(E1137,MIN(FIND({" ";"g";"k";"m";"o"},E1137&amp;" gkmo")),10)),"unknown")</f>
        <v>g</v>
      </c>
      <c r="K1137" s="6" t="str">
        <f t="shared" si="68"/>
        <v>g</v>
      </c>
      <c r="L1137" s="6" t="str">
        <f t="shared" si="69"/>
        <v>Altho, Brets</v>
      </c>
      <c r="M1137" s="6" t="str">
        <f t="shared" si="70"/>
        <v>Chips A L'Ancienne Sel De Guérande Brets</v>
      </c>
      <c r="N1137" s="6" t="str">
        <f t="shared" si="71"/>
        <v>France</v>
      </c>
    </row>
    <row r="1138" spans="1:14" x14ac:dyDescent="0.25">
      <c r="A1138" s="6" t="s">
        <v>2892</v>
      </c>
      <c r="B1138" s="6">
        <v>14956</v>
      </c>
      <c r="C1138" s="6" t="s">
        <v>2893</v>
      </c>
      <c r="D1138" s="7" t="s">
        <v>7161</v>
      </c>
      <c r="E1138" s="6" t="s">
        <v>2894</v>
      </c>
      <c r="F1138" s="6" t="s">
        <v>139</v>
      </c>
      <c r="G1138" s="8">
        <v>45462</v>
      </c>
      <c r="H1138" s="6">
        <v>2.29</v>
      </c>
      <c r="I1138" s="6" cm="1">
        <f t="array" ref="I1138">IFERROR(VALUE(TRIM(LEFT(E1138,MIN(FIND({" ";"g";"k";"m";"o"},E1138&amp;" gkmo"))-1))),0)</f>
        <v>350</v>
      </c>
      <c r="J1138" s="6" t="str" cm="1">
        <f t="array" ref="J1138">IFERROR(TRIM(MID(E1138,MIN(FIND({" ";"g";"k";"m";"o"},E1138&amp;" gkmo")),10)),"unknown")</f>
        <v>g (10 x 3</v>
      </c>
      <c r="K1138" s="6" t="str">
        <f t="shared" si="68"/>
        <v>g</v>
      </c>
      <c r="L1138" s="6" t="str">
        <f t="shared" si="69"/>
        <v>La Fournée Dorée</v>
      </c>
      <c r="M1138" s="6" t="str">
        <f t="shared" si="70"/>
        <v>10 Pains Au Lait</v>
      </c>
      <c r="N1138" s="6" t="str">
        <f t="shared" si="71"/>
        <v>France</v>
      </c>
    </row>
    <row r="1139" spans="1:14" x14ac:dyDescent="0.25">
      <c r="A1139" s="6" t="s">
        <v>2895</v>
      </c>
      <c r="B1139" s="6">
        <v>5772</v>
      </c>
      <c r="C1139" s="6" t="s">
        <v>2896</v>
      </c>
      <c r="D1139" s="7" t="s">
        <v>2664</v>
      </c>
      <c r="E1139" s="6" t="s">
        <v>2897</v>
      </c>
      <c r="F1139" s="6" t="s">
        <v>400</v>
      </c>
      <c r="G1139" s="8">
        <v>45611</v>
      </c>
      <c r="H1139" s="6">
        <v>17.920000000000002</v>
      </c>
      <c r="I1139" s="6" cm="1">
        <f t="array" ref="I1139">IFERROR(VALUE(TRIM(LEFT(E1139,MIN(FIND({" ";"g";"k";"m";"o"},E1139&amp;" gkmo"))-1))),0)</f>
        <v>262</v>
      </c>
      <c r="J1139" s="6" t="str" cm="1">
        <f t="array" ref="J1139">IFERROR(TRIM(MID(E1139,MIN(FIND({" ";"g";"k";"m";"o"},E1139&amp;" gkmo")),10)),"unknown")</f>
        <v>g pack</v>
      </c>
      <c r="K1139" s="6" t="str">
        <f t="shared" si="68"/>
        <v>g</v>
      </c>
      <c r="L1139" s="6" t="str">
        <f t="shared" si="69"/>
        <v>Mcvities</v>
      </c>
      <c r="M1139" s="6" t="str">
        <f t="shared" si="70"/>
        <v>Hobnobs Milk Chocolate</v>
      </c>
      <c r="N1139" s="6" t="str">
        <f t="shared" si="71"/>
        <v>France,United Kingdom</v>
      </c>
    </row>
    <row r="1140" spans="1:14" x14ac:dyDescent="0.25">
      <c r="A1140" s="6" t="s">
        <v>2898</v>
      </c>
      <c r="B1140" s="6">
        <v>5715</v>
      </c>
      <c r="C1140" s="6" t="s">
        <v>2899</v>
      </c>
      <c r="D1140" s="7" t="s">
        <v>2099</v>
      </c>
      <c r="E1140" s="6" t="s">
        <v>2900</v>
      </c>
      <c r="F1140" s="6" t="s">
        <v>8033</v>
      </c>
      <c r="G1140" s="8">
        <v>45550</v>
      </c>
      <c r="H1140" s="6">
        <v>21.49</v>
      </c>
      <c r="I1140" s="6" cm="1">
        <f t="array" ref="I1140">IFERROR(VALUE(TRIM(LEFT(E1140,MIN(FIND({" ";"g";"k";"m";"o"},E1140&amp;" gkmo"))-1))),0)</f>
        <v>400</v>
      </c>
      <c r="J1140" s="6" t="str" cm="1">
        <f t="array" ref="J1140">IFERROR(TRIM(MID(E1140,MIN(FIND({" ";"g";"k";"m";"o"},E1140&amp;" gkmo")),10)),"unknown")</f>
        <v>gr</v>
      </c>
      <c r="K1140" s="6" t="str">
        <f t="shared" si="68"/>
        <v>g</v>
      </c>
      <c r="L1140" s="6" t="str">
        <f t="shared" si="69"/>
        <v>Papadopoulos</v>
      </c>
      <c r="M1140" s="6" t="str">
        <f t="shared" si="70"/>
        <v>Caprice</v>
      </c>
      <c r="N1140" s="6" t="str">
        <f t="shared" si="71"/>
        <v>Bulgaria, France, Greece, Cyprus</v>
      </c>
    </row>
    <row r="1141" spans="1:14" x14ac:dyDescent="0.25">
      <c r="A1141" s="6" t="s">
        <v>2901</v>
      </c>
      <c r="B1141" s="6">
        <v>5011</v>
      </c>
      <c r="C1141" s="6" t="s">
        <v>7697</v>
      </c>
      <c r="D1141" s="7" t="s">
        <v>7204</v>
      </c>
      <c r="E1141" s="6" t="s">
        <v>228</v>
      </c>
      <c r="F1141" s="6" t="s">
        <v>7698</v>
      </c>
      <c r="G1141" s="8">
        <v>45533</v>
      </c>
      <c r="H1141" s="6">
        <v>3.2</v>
      </c>
      <c r="I1141" s="6" cm="1">
        <f t="array" ref="I1141">IFERROR(VALUE(TRIM(LEFT(E1141,MIN(FIND({" ";"g";"k";"m";"o"},E1141&amp;" gkmo"))-1))),0)</f>
        <v>350</v>
      </c>
      <c r="J1141" s="6" t="str" cm="1">
        <f t="array" ref="J1141">IFERROR(TRIM(MID(E1141,MIN(FIND({" ";"g";"k";"m";"o"},E1141&amp;" gkmo")),10)),"unknown")</f>
        <v>g</v>
      </c>
      <c r="K1141" s="6" t="str">
        <f t="shared" si="68"/>
        <v>g</v>
      </c>
      <c r="L1141" s="6" t="str">
        <f t="shared" si="69"/>
        <v>Calvé</v>
      </c>
      <c r="M1141" s="6" t="str">
        <f t="shared" si="70"/>
        <v>Pà¢Te De Cacahuète Pindakaas</v>
      </c>
      <c r="N1141" s="6" t="str">
        <f t="shared" si="71"/>
        <v>Belgien, Frankreich, Luxemburg, Rumà¤Nien, Germany</v>
      </c>
    </row>
    <row r="1142" spans="1:14" x14ac:dyDescent="0.25">
      <c r="A1142" s="6" t="s">
        <v>2902</v>
      </c>
      <c r="B1142" s="6">
        <v>12100</v>
      </c>
      <c r="C1142" s="6" t="s">
        <v>2903</v>
      </c>
      <c r="D1142" s="7" t="s">
        <v>814</v>
      </c>
      <c r="E1142" s="6">
        <v>30</v>
      </c>
      <c r="F1142" s="6" t="s">
        <v>8034</v>
      </c>
      <c r="G1142" s="8">
        <v>45709</v>
      </c>
      <c r="H1142" s="6">
        <v>14.82</v>
      </c>
      <c r="I1142" s="6" cm="1">
        <f t="array" ref="I1142">IFERROR(VALUE(TRIM(LEFT(E1142,MIN(FIND({" ";"g";"k";"m";"o"},E1142&amp;" gkmo"))-1))),0)</f>
        <v>30</v>
      </c>
      <c r="J1142" s="6" t="str" cm="1">
        <f t="array" ref="J1142">IFERROR(TRIM(MID(E1142,MIN(FIND({" ";"g";"k";"m";"o"},E1142&amp;" gkmo")),10)),"unknown")</f>
        <v/>
      </c>
      <c r="K1142" s="6" t="str">
        <f t="shared" si="68"/>
        <v>unknown</v>
      </c>
      <c r="L1142" s="6" t="str">
        <f t="shared" si="69"/>
        <v>Mondelez</v>
      </c>
      <c r="M1142" s="6" t="str">
        <f t="shared" si="70"/>
        <v>Barni Lapte</v>
      </c>
      <c r="N1142" s="6" t="str">
        <f t="shared" si="71"/>
        <v>France, Romania, Bulgaria</v>
      </c>
    </row>
    <row r="1143" spans="1:14" x14ac:dyDescent="0.25">
      <c r="A1143" s="6" t="s">
        <v>2904</v>
      </c>
      <c r="B1143" s="6">
        <v>13201</v>
      </c>
      <c r="C1143" s="6" t="s">
        <v>2905</v>
      </c>
      <c r="D1143" s="7" t="s">
        <v>7017</v>
      </c>
      <c r="E1143" s="6" t="s">
        <v>335</v>
      </c>
      <c r="F1143" s="6" t="s">
        <v>8008</v>
      </c>
      <c r="G1143" s="8">
        <v>45455</v>
      </c>
      <c r="H1143" s="6">
        <v>17.95</v>
      </c>
      <c r="I1143" s="6" cm="1">
        <f t="array" ref="I1143">IFERROR(VALUE(TRIM(LEFT(E1143,MIN(FIND({" ";"g";"k";"m";"o"},E1143&amp;" gkmo"))-1))),0)</f>
        <v>250</v>
      </c>
      <c r="J1143" s="6" t="str" cm="1">
        <f t="array" ref="J1143">IFERROR(TRIM(MID(E1143,MIN(FIND({" ";"g";"k";"m";"o"},E1143&amp;" gkmo")),10)),"unknown")</f>
        <v>g</v>
      </c>
      <c r="K1143" s="6" t="str">
        <f t="shared" si="68"/>
        <v>g</v>
      </c>
      <c r="L1143" s="6" t="str">
        <f t="shared" si="69"/>
        <v>Unknown</v>
      </c>
      <c r="M1143" s="6" t="str">
        <f t="shared" si="70"/>
        <v>Fiori D'Acqua</v>
      </c>
      <c r="N1143" s="6" t="str">
        <f t="shared" si="71"/>
        <v>Italy, France</v>
      </c>
    </row>
    <row r="1144" spans="1:14" x14ac:dyDescent="0.25">
      <c r="A1144" s="6" t="s">
        <v>2906</v>
      </c>
      <c r="B1144" s="6">
        <v>14324</v>
      </c>
      <c r="C1144" s="6" t="s">
        <v>2907</v>
      </c>
      <c r="D1144" s="7" t="s">
        <v>7578</v>
      </c>
      <c r="E1144" s="6" t="s">
        <v>132</v>
      </c>
      <c r="F1144" s="6" t="s">
        <v>8035</v>
      </c>
      <c r="G1144" s="8">
        <v>45999</v>
      </c>
      <c r="H1144" s="6">
        <v>3.52</v>
      </c>
      <c r="I1144" s="6" cm="1">
        <f t="array" ref="I1144">IFERROR(VALUE(TRIM(LEFT(E1144,MIN(FIND({" ";"g";"k";"m";"o"},E1144&amp;" gkmo"))-1))),0)</f>
        <v>350</v>
      </c>
      <c r="J1144" s="6" t="str" cm="1">
        <f t="array" ref="J1144">IFERROR(TRIM(MID(E1144,MIN(FIND({" ";"g";"k";"m";"o"},E1144&amp;" gkmo")),10)),"unknown")</f>
        <v>g</v>
      </c>
      <c r="K1144" s="6" t="str">
        <f t="shared" si="68"/>
        <v>g</v>
      </c>
      <c r="L1144" s="6" t="str">
        <f t="shared" si="69"/>
        <v>Gullà³N</v>
      </c>
      <c r="M1144" s="6" t="str">
        <f t="shared" si="70"/>
        <v>Mini Fish</v>
      </c>
      <c r="N1144" s="6" t="str">
        <f t="shared" si="71"/>
        <v>France, Spain, Morocco</v>
      </c>
    </row>
    <row r="1145" spans="1:14" x14ac:dyDescent="0.25">
      <c r="A1145" s="6" t="s">
        <v>2908</v>
      </c>
      <c r="B1145" s="6">
        <v>14644</v>
      </c>
      <c r="C1145" s="6" t="s">
        <v>2909</v>
      </c>
      <c r="D1145" s="7" t="s">
        <v>7621</v>
      </c>
      <c r="E1145" s="6"/>
      <c r="F1145" s="6" t="s">
        <v>7699</v>
      </c>
      <c r="G1145" s="8">
        <v>46009</v>
      </c>
      <c r="H1145" s="6">
        <v>21.14</v>
      </c>
      <c r="I1145" s="6" cm="1">
        <f t="array" ref="I1145">IFERROR(VALUE(TRIM(LEFT(E1145,MIN(FIND({" ";"g";"k";"m";"o"},E1145&amp;" gkmo"))-1))),0)</f>
        <v>0</v>
      </c>
      <c r="J1145" s="6" t="str" cm="1">
        <f t="array" ref="J1145">IFERROR(TRIM(MID(E1145,MIN(FIND({" ";"g";"k";"m";"o"},E1145&amp;" gkmo")),10)),"unknown")</f>
        <v/>
      </c>
      <c r="K1145" s="6" t="str">
        <f t="shared" si="68"/>
        <v>unknown</v>
      </c>
      <c r="L1145" s="6" t="str">
        <f t="shared" si="69"/>
        <v>Gullà³N</v>
      </c>
      <c r="M1145" s="6" t="str">
        <f t="shared" si="70"/>
        <v>Sandwich Sabor Yogurt</v>
      </c>
      <c r="N1145" s="6" t="str">
        <f t="shared" si="71"/>
        <v>Franà§A,Alemanha,Hungria,Portugal,Espanha</v>
      </c>
    </row>
    <row r="1146" spans="1:14" x14ac:dyDescent="0.25">
      <c r="A1146" s="6" t="s">
        <v>2910</v>
      </c>
      <c r="B1146" s="6">
        <v>11310</v>
      </c>
      <c r="C1146" s="6" t="s">
        <v>2911</v>
      </c>
      <c r="D1146" s="7" t="s">
        <v>7017</v>
      </c>
      <c r="E1146" s="8">
        <v>45311</v>
      </c>
      <c r="F1146" s="6" t="s">
        <v>8036</v>
      </c>
      <c r="G1146" s="8">
        <v>45694</v>
      </c>
      <c r="H1146" s="6">
        <v>13.16</v>
      </c>
      <c r="I1146" s="6" cm="1">
        <f t="array" ref="I1146">IFERROR(VALUE(TRIM(LEFT(E1146,MIN(FIND({" ";"g";"k";"m";"o"},E1146&amp;" gkmo"))-1))),0)</f>
        <v>45311</v>
      </c>
      <c r="J1146" s="6" t="str" cm="1">
        <f t="array" ref="J1146">IFERROR(TRIM(MID(E1146,MIN(FIND({" ";"g";"k";"m";"o"},E1146&amp;" gkmo")),10)),"unknown")</f>
        <v/>
      </c>
      <c r="K1146" s="6" t="str">
        <f t="shared" si="68"/>
        <v>unknown</v>
      </c>
      <c r="L1146" s="6" t="str">
        <f t="shared" si="69"/>
        <v>Unknown</v>
      </c>
      <c r="M1146" s="6" t="str">
        <f t="shared" si="70"/>
        <v>Leader Chips</v>
      </c>
      <c r="N1146" s="6" t="str">
        <f t="shared" si="71"/>
        <v>Ma</v>
      </c>
    </row>
    <row r="1147" spans="1:14" x14ac:dyDescent="0.25">
      <c r="A1147" s="6" t="s">
        <v>2912</v>
      </c>
      <c r="B1147" s="6">
        <v>13056</v>
      </c>
      <c r="C1147" s="6" t="s">
        <v>2913</v>
      </c>
      <c r="D1147" s="7" t="s">
        <v>2914</v>
      </c>
      <c r="E1147" s="6" t="s">
        <v>14</v>
      </c>
      <c r="F1147" s="6" t="s">
        <v>139</v>
      </c>
      <c r="G1147" s="8">
        <v>45330</v>
      </c>
      <c r="H1147" s="6">
        <v>6.13</v>
      </c>
      <c r="I1147" s="6" cm="1">
        <f t="array" ref="I1147">IFERROR(VALUE(TRIM(LEFT(E1147,MIN(FIND({" ";"g";"k";"m";"o"},E1147&amp;" gkmo"))-1))),0)</f>
        <v>300</v>
      </c>
      <c r="J1147" s="6" t="str" cm="1">
        <f t="array" ref="J1147">IFERROR(TRIM(MID(E1147,MIN(FIND({" ";"g";"k";"m";"o"},E1147&amp;" gkmo")),10)),"unknown")</f>
        <v>g</v>
      </c>
      <c r="K1147" s="6" t="str">
        <f t="shared" si="68"/>
        <v>g</v>
      </c>
      <c r="L1147" s="6" t="str">
        <f t="shared" si="69"/>
        <v>Florelli</v>
      </c>
      <c r="M1147" s="6" t="str">
        <f t="shared" si="70"/>
        <v>Grissini Artigianali Romarin</v>
      </c>
      <c r="N1147" s="6" t="str">
        <f t="shared" si="71"/>
        <v>France</v>
      </c>
    </row>
    <row r="1148" spans="1:14" x14ac:dyDescent="0.25">
      <c r="A1148" s="6" t="s">
        <v>2915</v>
      </c>
      <c r="B1148" s="6">
        <v>11003</v>
      </c>
      <c r="C1148" s="6" t="s">
        <v>175</v>
      </c>
      <c r="D1148" s="7" t="s">
        <v>2916</v>
      </c>
      <c r="E1148" s="6" t="s">
        <v>18</v>
      </c>
      <c r="F1148" s="6" t="s">
        <v>2973</v>
      </c>
      <c r="G1148" s="8">
        <v>45838</v>
      </c>
      <c r="H1148" s="6">
        <v>3.08</v>
      </c>
      <c r="I1148" s="6" cm="1">
        <f t="array" ref="I1148">IFERROR(VALUE(TRIM(LEFT(E1148,MIN(FIND({" ";"g";"k";"m";"o"},E1148&amp;" gkmo"))-1))),0)</f>
        <v>100</v>
      </c>
      <c r="J1148" s="6" t="str" cm="1">
        <f t="array" ref="J1148">IFERROR(TRIM(MID(E1148,MIN(FIND({" ";"g";"k";"m";"o"},E1148&amp;" gkmo")),10)),"unknown")</f>
        <v>g</v>
      </c>
      <c r="K1148" s="6" t="str">
        <f t="shared" si="68"/>
        <v>g</v>
      </c>
      <c r="L1148" s="6" t="str">
        <f t="shared" si="69"/>
        <v>Waitrose &amp; Partners</v>
      </c>
      <c r="M1148" s="6" t="str">
        <f t="shared" si="70"/>
        <v>Dark Chocolate</v>
      </c>
      <c r="N1148" s="6" t="str">
        <f t="shared" si="71"/>
        <v>Gb</v>
      </c>
    </row>
    <row r="1149" spans="1:14" x14ac:dyDescent="0.25">
      <c r="A1149" s="6" t="s">
        <v>2917</v>
      </c>
      <c r="B1149" s="6">
        <v>5428</v>
      </c>
      <c r="C1149" s="6" t="s">
        <v>7205</v>
      </c>
      <c r="D1149" s="7" t="s">
        <v>646</v>
      </c>
      <c r="E1149" s="6" t="s">
        <v>2918</v>
      </c>
      <c r="F1149" s="6" t="s">
        <v>8283</v>
      </c>
      <c r="G1149" s="8">
        <v>45642</v>
      </c>
      <c r="H1149" s="6">
        <v>8.6</v>
      </c>
      <c r="I1149" s="6" cm="1">
        <f t="array" ref="I1149">IFERROR(VALUE(TRIM(LEFT(E1149,MIN(FIND({" ";"g";"k";"m";"o"},E1149&amp;" gkmo"))-1))),0)</f>
        <v>138</v>
      </c>
      <c r="J1149" s="6" t="str" cm="1">
        <f t="array" ref="J1149">IFERROR(TRIM(MID(E1149,MIN(FIND({" ";"g";"k";"m";"o"},E1149&amp;" gkmo")),10)),"unknown")</f>
        <v>g (6 x 23</v>
      </c>
      <c r="K1149" s="6" t="str">
        <f t="shared" si="68"/>
        <v>g</v>
      </c>
      <c r="L1149" s="6" t="str">
        <f t="shared" si="69"/>
        <v>Carrefour Bio, Carrefour</v>
      </c>
      <c r="M1149" s="6" t="str">
        <f t="shared" si="70"/>
        <v>Barre Céréales Chocolat</v>
      </c>
      <c r="N1149" s="6" t="str">
        <f t="shared" si="71"/>
        <v>France, Italie, Spain</v>
      </c>
    </row>
    <row r="1150" spans="1:14" x14ac:dyDescent="0.25">
      <c r="A1150" s="6" t="s">
        <v>2919</v>
      </c>
      <c r="B1150" s="6">
        <v>11422</v>
      </c>
      <c r="C1150" s="6" t="s">
        <v>2920</v>
      </c>
      <c r="D1150" s="7" t="s">
        <v>1098</v>
      </c>
      <c r="E1150" s="6"/>
      <c r="F1150" s="6" t="s">
        <v>7573</v>
      </c>
      <c r="G1150" s="8">
        <v>45884</v>
      </c>
      <c r="H1150" s="6">
        <v>10.44</v>
      </c>
      <c r="I1150" s="6" cm="1">
        <f t="array" ref="I1150">IFERROR(VALUE(TRIM(LEFT(E1150,MIN(FIND({" ";"g";"k";"m";"o"},E1150&amp;" gkmo"))-1))),0)</f>
        <v>0</v>
      </c>
      <c r="J1150" s="6" t="str" cm="1">
        <f t="array" ref="J1150">IFERROR(TRIM(MID(E1150,MIN(FIND({" ";"g";"k";"m";"o"},E1150&amp;" gkmo")),10)),"unknown")</f>
        <v/>
      </c>
      <c r="K1150" s="6" t="str">
        <f t="shared" si="68"/>
        <v>unknown</v>
      </c>
      <c r="L1150" s="6" t="str">
        <f t="shared" si="69"/>
        <v>Hacendado</v>
      </c>
      <c r="M1150" s="6" t="str">
        <f t="shared" si="70"/>
        <v>Patatas Light</v>
      </c>
      <c r="N1150" s="6" t="str">
        <f t="shared" si="71"/>
        <v>Portugal,Espaà±A</v>
      </c>
    </row>
    <row r="1151" spans="1:14" x14ac:dyDescent="0.25">
      <c r="A1151" s="6" t="s">
        <v>2921</v>
      </c>
      <c r="B1151" s="6">
        <v>11856</v>
      </c>
      <c r="C1151" s="6" t="s">
        <v>2922</v>
      </c>
      <c r="D1151" s="7" t="s">
        <v>13</v>
      </c>
      <c r="E1151" s="6"/>
      <c r="F1151" s="6" t="s">
        <v>2973</v>
      </c>
      <c r="G1151" s="8">
        <v>45975</v>
      </c>
      <c r="H1151" s="6">
        <v>13.16</v>
      </c>
      <c r="I1151" s="6" cm="1">
        <f t="array" ref="I1151">IFERROR(VALUE(TRIM(LEFT(E1151,MIN(FIND({" ";"g";"k";"m";"o"},E1151&amp;" gkmo"))-1))),0)</f>
        <v>0</v>
      </c>
      <c r="J1151" s="6" t="str" cm="1">
        <f t="array" ref="J1151">IFERROR(TRIM(MID(E1151,MIN(FIND({" ";"g";"k";"m";"o"},E1151&amp;" gkmo")),10)),"unknown")</f>
        <v/>
      </c>
      <c r="K1151" s="6" t="str">
        <f t="shared" si="68"/>
        <v>unknown</v>
      </c>
      <c r="L1151" s="6" t="str">
        <f t="shared" si="69"/>
        <v>Lu</v>
      </c>
      <c r="M1151" s="6" t="str">
        <f t="shared" si="70"/>
        <v>Le Petit Chocolat</v>
      </c>
      <c r="N1151" s="6" t="str">
        <f t="shared" si="71"/>
        <v>Gb</v>
      </c>
    </row>
    <row r="1152" spans="1:14" x14ac:dyDescent="0.25">
      <c r="A1152" s="6" t="s">
        <v>2923</v>
      </c>
      <c r="B1152" s="6">
        <v>5374</v>
      </c>
      <c r="C1152" s="6" t="s">
        <v>2924</v>
      </c>
      <c r="D1152" s="7" t="s">
        <v>112</v>
      </c>
      <c r="E1152" s="6" t="s">
        <v>840</v>
      </c>
      <c r="F1152" s="6" t="s">
        <v>2545</v>
      </c>
      <c r="G1152" s="8">
        <v>46048</v>
      </c>
      <c r="H1152" s="6">
        <v>12.19</v>
      </c>
      <c r="I1152" s="6" cm="1">
        <f t="array" ref="I1152">IFERROR(VALUE(TRIM(LEFT(E1152,MIN(FIND({" ";"g";"k";"m";"o"},E1152&amp;" gkmo"))-1))),0)</f>
        <v>175</v>
      </c>
      <c r="J1152" s="6" t="str" cm="1">
        <f t="array" ref="J1152">IFERROR(TRIM(MID(E1152,MIN(FIND({" ";"g";"k";"m";"o"},E1152&amp;" gkmo")),10)),"unknown")</f>
        <v>g</v>
      </c>
      <c r="K1152" s="6" t="str">
        <f t="shared" si="68"/>
        <v>g</v>
      </c>
      <c r="L1152" s="6" t="str">
        <f t="shared" si="69"/>
        <v>Pringles</v>
      </c>
      <c r="M1152" s="6" t="str">
        <f t="shared" si="70"/>
        <v>Texas Bbq - Sauce</v>
      </c>
      <c r="N1152" s="6" t="str">
        <f t="shared" si="71"/>
        <v>France,Italy</v>
      </c>
    </row>
    <row r="1153" spans="1:14" x14ac:dyDescent="0.25">
      <c r="A1153" s="6" t="s">
        <v>2925</v>
      </c>
      <c r="B1153" s="6">
        <v>12748</v>
      </c>
      <c r="C1153" s="6" t="s">
        <v>7700</v>
      </c>
      <c r="D1153" s="7" t="s">
        <v>60</v>
      </c>
      <c r="E1153" s="6" t="s">
        <v>10</v>
      </c>
      <c r="F1153" s="6" t="s">
        <v>139</v>
      </c>
      <c r="G1153" s="8">
        <v>45628</v>
      </c>
      <c r="H1153" s="6">
        <v>13.16</v>
      </c>
      <c r="I1153" s="6" cm="1">
        <f t="array" ref="I1153">IFERROR(VALUE(TRIM(LEFT(E1153,MIN(FIND({" ";"g";"k";"m";"o"},E1153&amp;" gkmo"))-1))),0)</f>
        <v>100</v>
      </c>
      <c r="J1153" s="6" t="str" cm="1">
        <f t="array" ref="J1153">IFERROR(TRIM(MID(E1153,MIN(FIND({" ";"g";"k";"m";"o"},E1153&amp;" gkmo")),10)),"unknown")</f>
        <v>g</v>
      </c>
      <c r="K1153" s="6" t="str">
        <f t="shared" si="68"/>
        <v>g</v>
      </c>
      <c r="L1153" s="6" t="str">
        <f t="shared" si="69"/>
        <v>Lindt</v>
      </c>
      <c r="M1153" s="6" t="str">
        <f t="shared" si="70"/>
        <v>Excellence Noir Supràªme Corsé 70% Cacao</v>
      </c>
      <c r="N1153" s="6" t="str">
        <f t="shared" si="71"/>
        <v>France</v>
      </c>
    </row>
    <row r="1154" spans="1:14" x14ac:dyDescent="0.25">
      <c r="A1154" s="6" t="s">
        <v>2926</v>
      </c>
      <c r="B1154" s="6">
        <v>12981</v>
      </c>
      <c r="C1154" s="6" t="s">
        <v>7206</v>
      </c>
      <c r="D1154" s="7" t="s">
        <v>2927</v>
      </c>
      <c r="E1154" s="6" t="s">
        <v>2928</v>
      </c>
      <c r="F1154" s="6" t="s">
        <v>8037</v>
      </c>
      <c r="G1154" s="8">
        <v>45667</v>
      </c>
      <c r="H1154" s="6">
        <v>19.329999999999998</v>
      </c>
      <c r="I1154" s="6" cm="1">
        <f t="array" ref="I1154">IFERROR(VALUE(TRIM(LEFT(E1154,MIN(FIND({" ";"g";"k";"m";"o"},E1154&amp;" gkmo"))-1))),0)</f>
        <v>0</v>
      </c>
      <c r="J1154" s="6" t="str" cm="1">
        <f t="array" ref="J1154">IFERROR(TRIM(MID(E1154,MIN(FIND({" ";"g";"k";"m";"o"},E1154&amp;" gkmo")),10)),"unknown")</f>
        <v/>
      </c>
      <c r="K1154" s="6" t="str">
        <f t="shared" si="68"/>
        <v>unknown</v>
      </c>
      <c r="L1154" s="6" t="str">
        <f t="shared" si="69"/>
        <v>Snack Day, Grafschafter</v>
      </c>
      <c r="M1154" s="6" t="str">
        <f t="shared" si="70"/>
        <v>Nature Wrap De Blé</v>
      </c>
      <c r="N1154" s="6" t="str">
        <f t="shared" si="71"/>
        <v>Germany, France</v>
      </c>
    </row>
    <row r="1155" spans="1:14" x14ac:dyDescent="0.25">
      <c r="A1155" s="6" t="s">
        <v>2929</v>
      </c>
      <c r="B1155" s="6">
        <v>6585</v>
      </c>
      <c r="C1155" s="6" t="s">
        <v>7701</v>
      </c>
      <c r="D1155" s="7" t="s">
        <v>2930</v>
      </c>
      <c r="E1155" s="6" t="s">
        <v>1177</v>
      </c>
      <c r="F1155" s="6" t="s">
        <v>2931</v>
      </c>
      <c r="G1155" s="8">
        <v>45565</v>
      </c>
      <c r="H1155" s="6">
        <v>18.850000000000001</v>
      </c>
      <c r="I1155" s="6" cm="1">
        <f t="array" ref="I1155">IFERROR(VALUE(TRIM(LEFT(E1155,MIN(FIND({" ";"g";"k";"m";"o"},E1155&amp;" gkmo"))-1))),0)</f>
        <v>370</v>
      </c>
      <c r="J1155" s="6" t="str" cm="1">
        <f t="array" ref="J1155">IFERROR(TRIM(MID(E1155,MIN(FIND({" ";"g";"k";"m";"o"},E1155&amp;" gkmo")),10)),"unknown")</f>
        <v>g</v>
      </c>
      <c r="K1155" s="6" t="str">
        <f t="shared" ref="K1155:K1218" si="72">IF(E1155="","unknown",IF(OR(J1155="g",LEFT(J1155,1)="g"),"g",IF(OR(LEFT(J1155,2)="kg",LEFT(J1155,2)="ki"),"kg",IF(OR(LEFT(J1155,2)="ml",LEFT(J1155,1)="m"),"ml",IF(LEFT(J1155,1)="l","l",IF(ISNUMBER(SEARCH("g",E1155)),"g",IF(ISNUMBER(SEARCH("kg",E1155)),"kg",IF(ISNUMBER(SEARCH("ml",E1155)),"ml","unknown"))))))))</f>
        <v>g</v>
      </c>
      <c r="L1155" s="6" t="str">
        <f t="shared" ref="L1155:L1218" si="73">IF(D1155="","Unknown",PROPER(TRIM(D1155)))</f>
        <v>Grafschafter, Snack Food Poco Loco, El Tequito</v>
      </c>
      <c r="M1155" s="6" t="str">
        <f t="shared" ref="M1155:M1218" si="74">IF(C1155="Unknown","Unknown",PROPER(TRIM(C1155)))</f>
        <v>Tortillas À  Base De Farine De Blé</v>
      </c>
      <c r="N1155" s="6" t="str">
        <f t="shared" ref="N1155:N1218" si="75">IF(F1155="","Unknown",PROPER(TRIM(F1155)))</f>
        <v>Bulgarien,Frankreich,Deutschland</v>
      </c>
    </row>
    <row r="1156" spans="1:14" x14ac:dyDescent="0.25">
      <c r="A1156" s="6" t="s">
        <v>2932</v>
      </c>
      <c r="B1156" s="6">
        <v>12756</v>
      </c>
      <c r="C1156" s="6" t="s">
        <v>2933</v>
      </c>
      <c r="D1156" s="7" t="s">
        <v>306</v>
      </c>
      <c r="E1156" s="6" t="s">
        <v>2934</v>
      </c>
      <c r="F1156" s="6" t="s">
        <v>139</v>
      </c>
      <c r="G1156" s="8">
        <v>45818</v>
      </c>
      <c r="H1156" s="6">
        <v>10.29</v>
      </c>
      <c r="I1156" s="6" cm="1">
        <f t="array" ref="I1156">IFERROR(VALUE(TRIM(LEFT(E1156,MIN(FIND({" ";"g";"k";"m";"o"},E1156&amp;" gkmo"))-1))),0)</f>
        <v>150</v>
      </c>
      <c r="J1156" s="6" t="str" cm="1">
        <f t="array" ref="J1156">IFERROR(TRIM(MID(E1156,MIN(FIND({" ";"g";"k";"m";"o"},E1156&amp;" gkmo")),10)),"unknown")</f>
        <v>g (5 x 30</v>
      </c>
      <c r="K1156" s="6" t="str">
        <f t="shared" si="72"/>
        <v>g</v>
      </c>
      <c r="L1156" s="6" t="str">
        <f t="shared" si="73"/>
        <v>Lu</v>
      </c>
      <c r="M1156" s="6" t="str">
        <f t="shared" si="74"/>
        <v>Lulu</v>
      </c>
      <c r="N1156" s="6" t="str">
        <f t="shared" si="75"/>
        <v>France</v>
      </c>
    </row>
    <row r="1157" spans="1:14" x14ac:dyDescent="0.25">
      <c r="A1157" s="6" t="s">
        <v>2935</v>
      </c>
      <c r="B1157" s="6">
        <v>13826</v>
      </c>
      <c r="C1157" s="6" t="s">
        <v>7702</v>
      </c>
      <c r="D1157" s="7" t="s">
        <v>7048</v>
      </c>
      <c r="E1157" s="6" t="s">
        <v>379</v>
      </c>
      <c r="F1157" s="6" t="s">
        <v>139</v>
      </c>
      <c r="G1157" s="8">
        <v>45501</v>
      </c>
      <c r="H1157" s="6">
        <v>18.12</v>
      </c>
      <c r="I1157" s="6" cm="1">
        <f t="array" ref="I1157">IFERROR(VALUE(TRIM(LEFT(E1157,MIN(FIND({" ";"g";"k";"m";"o"},E1157&amp;" gkmo"))-1))),0)</f>
        <v>145</v>
      </c>
      <c r="J1157" s="6" t="str" cm="1">
        <f t="array" ref="J1157">IFERROR(TRIM(MID(E1157,MIN(FIND({" ";"g";"k";"m";"o"},E1157&amp;" gkmo")),10)),"unknown")</f>
        <v>g</v>
      </c>
      <c r="K1157" s="6" t="str">
        <f t="shared" si="72"/>
        <v>g</v>
      </c>
      <c r="L1157" s="6" t="str">
        <f t="shared" si="73"/>
        <v>Céréal Bio</v>
      </c>
      <c r="M1157" s="6" t="str">
        <f t="shared" si="74"/>
        <v>Tartines Craquantes Riz Chà¢Taigne</v>
      </c>
      <c r="N1157" s="6" t="str">
        <f t="shared" si="75"/>
        <v>France</v>
      </c>
    </row>
    <row r="1158" spans="1:14" x14ac:dyDescent="0.25">
      <c r="A1158" s="6" t="s">
        <v>2936</v>
      </c>
      <c r="B1158" s="6">
        <v>7293</v>
      </c>
      <c r="C1158" s="6" t="s">
        <v>2937</v>
      </c>
      <c r="D1158" s="7" t="s">
        <v>1699</v>
      </c>
      <c r="E1158" s="6" t="s">
        <v>2938</v>
      </c>
      <c r="F1158" s="6" t="s">
        <v>1181</v>
      </c>
      <c r="G1158" s="8">
        <v>46038</v>
      </c>
      <c r="H1158" s="6">
        <v>4.6900000000000004</v>
      </c>
      <c r="I1158" s="6" cm="1">
        <f t="array" ref="I1158">IFERROR(VALUE(TRIM(LEFT(E1158,MIN(FIND({" ";"g";"k";"m";"o"},E1158&amp;" gkmo"))-1))),0)</f>
        <v>700</v>
      </c>
      <c r="J1158" s="6" t="str" cm="1">
        <f t="array" ref="J1158">IFERROR(TRIM(MID(E1158,MIN(FIND({" ";"g";"k";"m";"o"},E1158&amp;" gkmo")),10)),"unknown")</f>
        <v>g (2 x 3</v>
      </c>
      <c r="K1158" s="6" t="str">
        <f t="shared" si="72"/>
        <v>g</v>
      </c>
      <c r="L1158" s="6" t="str">
        <f t="shared" si="73"/>
        <v>Brioche Pasquier</v>
      </c>
      <c r="M1158" s="6" t="str">
        <f t="shared" si="74"/>
        <v>Pains Au Lait Format Familial</v>
      </c>
      <c r="N1158" s="6" t="str">
        <f t="shared" si="75"/>
        <v>France,Switzerland</v>
      </c>
    </row>
    <row r="1159" spans="1:14" x14ac:dyDescent="0.25">
      <c r="A1159" s="6" t="s">
        <v>2939</v>
      </c>
      <c r="B1159" s="6">
        <v>12032</v>
      </c>
      <c r="C1159" s="6" t="s">
        <v>2940</v>
      </c>
      <c r="D1159" s="7" t="s">
        <v>854</v>
      </c>
      <c r="E1159" s="6" t="s">
        <v>151</v>
      </c>
      <c r="F1159" s="6" t="s">
        <v>2941</v>
      </c>
      <c r="G1159" s="8">
        <v>45547</v>
      </c>
      <c r="H1159" s="6">
        <v>17</v>
      </c>
      <c r="I1159" s="6" cm="1">
        <f t="array" ref="I1159">IFERROR(VALUE(TRIM(LEFT(E1159,MIN(FIND({" ";"g";"k";"m";"o"},E1159&amp;" gkmo"))-1))),0)</f>
        <v>200</v>
      </c>
      <c r="J1159" s="6" t="str" cm="1">
        <f t="array" ref="J1159">IFERROR(TRIM(MID(E1159,MIN(FIND({" ";"g";"k";"m";"o"},E1159&amp;" gkmo")),10)),"unknown")</f>
        <v>g</v>
      </c>
      <c r="K1159" s="6" t="str">
        <f t="shared" si="72"/>
        <v>g</v>
      </c>
      <c r="L1159" s="6" t="str">
        <f t="shared" si="73"/>
        <v>Carrefour</v>
      </c>
      <c r="M1159" s="6" t="str">
        <f t="shared" si="74"/>
        <v>Noir Amandes Entieres</v>
      </c>
      <c r="N1159" s="6" t="str">
        <f t="shared" si="75"/>
        <v>France,Italy,Spain</v>
      </c>
    </row>
    <row r="1160" spans="1:14" x14ac:dyDescent="0.25">
      <c r="A1160" s="6" t="s">
        <v>2942</v>
      </c>
      <c r="B1160" s="6">
        <v>14249</v>
      </c>
      <c r="C1160" s="6" t="s">
        <v>7476</v>
      </c>
      <c r="D1160" s="7" t="s">
        <v>7477</v>
      </c>
      <c r="E1160" s="6" t="s">
        <v>151</v>
      </c>
      <c r="F1160" s="6" t="s">
        <v>8038</v>
      </c>
      <c r="G1160" s="8">
        <v>45512</v>
      </c>
      <c r="H1160" s="6">
        <v>7.32</v>
      </c>
      <c r="I1160" s="6" cm="1">
        <f t="array" ref="I1160">IFERROR(VALUE(TRIM(LEFT(E1160,MIN(FIND({" ";"g";"k";"m";"o"},E1160&amp;" gkmo"))-1))),0)</f>
        <v>200</v>
      </c>
      <c r="J1160" s="6" t="str" cm="1">
        <f t="array" ref="J1160">IFERROR(TRIM(MID(E1160,MIN(FIND({" ";"g";"k";"m";"o"},E1160&amp;" gkmo")),10)),"unknown")</f>
        <v>g</v>
      </c>
      <c r="K1160" s="6" t="str">
        <f t="shared" si="72"/>
        <v>g</v>
      </c>
      <c r="L1160" s="6" t="str">
        <f t="shared" si="73"/>
        <v>Marque Repère, Tokapi</v>
      </c>
      <c r="M1160" s="6" t="str">
        <f t="shared" si="74"/>
        <v>Cacahuètes Non Salées</v>
      </c>
      <c r="N1160" s="6" t="str">
        <f t="shared" si="75"/>
        <v>France, Re</v>
      </c>
    </row>
    <row r="1161" spans="1:14" x14ac:dyDescent="0.25">
      <c r="A1161" s="6" t="s">
        <v>2943</v>
      </c>
      <c r="B1161" s="6">
        <v>11197</v>
      </c>
      <c r="C1161" s="6" t="s">
        <v>2944</v>
      </c>
      <c r="D1161" s="7" t="s">
        <v>2945</v>
      </c>
      <c r="E1161" s="6" t="s">
        <v>106</v>
      </c>
      <c r="F1161" s="6" t="s">
        <v>2946</v>
      </c>
      <c r="G1161" s="8">
        <v>45735</v>
      </c>
      <c r="H1161" s="6">
        <v>3.77</v>
      </c>
      <c r="I1161" s="6" cm="1">
        <f t="array" ref="I1161">IFERROR(VALUE(TRIM(LEFT(E1161,MIN(FIND({" ";"g";"k";"m";"o"},E1161&amp;" gkmo"))-1))),0)</f>
        <v>20</v>
      </c>
      <c r="J1161" s="6" t="str" cm="1">
        <f t="array" ref="J1161">IFERROR(TRIM(MID(E1161,MIN(FIND({" ";"g";"k";"m";"o"},E1161&amp;" gkmo")),10)),"unknown")</f>
        <v>g</v>
      </c>
      <c r="K1161" s="6" t="str">
        <f t="shared" si="72"/>
        <v>g</v>
      </c>
      <c r="L1161" s="6" t="str">
        <f t="shared" si="73"/>
        <v>Corny</v>
      </c>
      <c r="M1161" s="6" t="str">
        <f t="shared" si="74"/>
        <v>Corny Free Schoko</v>
      </c>
      <c r="N1161" s="6" t="str">
        <f t="shared" si="75"/>
        <v>Bulgaria,France,Germany,Italy</v>
      </c>
    </row>
    <row r="1162" spans="1:14" x14ac:dyDescent="0.25">
      <c r="A1162" s="6" t="s">
        <v>2947</v>
      </c>
      <c r="B1162" s="6">
        <v>13845</v>
      </c>
      <c r="C1162" s="6" t="s">
        <v>2948</v>
      </c>
      <c r="D1162" s="7" t="s">
        <v>43</v>
      </c>
      <c r="E1162" s="6" t="s">
        <v>39</v>
      </c>
      <c r="F1162" s="6" t="s">
        <v>8375</v>
      </c>
      <c r="G1162" s="8">
        <v>45926</v>
      </c>
      <c r="H1162" s="6">
        <v>22.15</v>
      </c>
      <c r="I1162" s="6" cm="1">
        <f t="array" ref="I1162">IFERROR(VALUE(TRIM(LEFT(E1162,MIN(FIND({" ";"g";"k";"m";"o"},E1162&amp;" gkmo"))-1))),0)</f>
        <v>150</v>
      </c>
      <c r="J1162" s="6" t="str" cm="1">
        <f t="array" ref="J1162">IFERROR(TRIM(MID(E1162,MIN(FIND({" ";"g";"k";"m";"o"},E1162&amp;" gkmo")),10)),"unknown")</f>
        <v>g</v>
      </c>
      <c r="K1162" s="6" t="str">
        <f t="shared" si="72"/>
        <v>g</v>
      </c>
      <c r="L1162" s="6" t="str">
        <f t="shared" si="73"/>
        <v>Green &amp; Black'S</v>
      </c>
      <c r="M1162" s="6" t="str">
        <f t="shared" si="74"/>
        <v>Organic Dark Cooking Chocolate</v>
      </c>
      <c r="N1162" s="6" t="str">
        <f t="shared" si="75"/>
        <v>France,United Kingdom,États-Unis</v>
      </c>
    </row>
    <row r="1163" spans="1:14" x14ac:dyDescent="0.25">
      <c r="A1163" s="6" t="s">
        <v>2949</v>
      </c>
      <c r="B1163" s="6">
        <v>11171</v>
      </c>
      <c r="C1163" s="6" t="s">
        <v>2950</v>
      </c>
      <c r="D1163" s="7" t="s">
        <v>2951</v>
      </c>
      <c r="E1163" s="6" t="s">
        <v>10</v>
      </c>
      <c r="F1163" s="6" t="s">
        <v>8322</v>
      </c>
      <c r="G1163" s="8">
        <v>45494</v>
      </c>
      <c r="H1163" s="6">
        <v>15.95</v>
      </c>
      <c r="I1163" s="6" cm="1">
        <f t="array" ref="I1163">IFERROR(VALUE(TRIM(LEFT(E1163,MIN(FIND({" ";"g";"k";"m";"o"},E1163&amp;" gkmo"))-1))),0)</f>
        <v>100</v>
      </c>
      <c r="J1163" s="6" t="str" cm="1">
        <f t="array" ref="J1163">IFERROR(TRIM(MID(E1163,MIN(FIND({" ";"g";"k";"m";"o"},E1163&amp;" gkmo")),10)),"unknown")</f>
        <v>g</v>
      </c>
      <c r="K1163" s="6" t="str">
        <f t="shared" si="72"/>
        <v>g</v>
      </c>
      <c r="L1163" s="6" t="str">
        <f t="shared" si="73"/>
        <v>Lu, Mondelä“Z, Tuc</v>
      </c>
      <c r="M1163" s="6" t="str">
        <f t="shared" si="74"/>
        <v>Flavour Cheese</v>
      </c>
      <c r="N1163" s="6" t="str">
        <f t="shared" si="75"/>
        <v>Belgium,Dinamarca,Finlà¢Ndia,Franà§A,Alemanha,Ità¡Lia,Paà­Ses Baixos,Portugal,Espanha,Suécia,Suà­À§A</v>
      </c>
    </row>
    <row r="1164" spans="1:14" x14ac:dyDescent="0.25">
      <c r="A1164" s="6" t="s">
        <v>2952</v>
      </c>
      <c r="B1164" s="6">
        <v>5082</v>
      </c>
      <c r="C1164" s="6" t="s">
        <v>7703</v>
      </c>
      <c r="D1164" s="7" t="s">
        <v>7017</v>
      </c>
      <c r="E1164" s="6" t="s">
        <v>138</v>
      </c>
      <c r="F1164" s="6" t="s">
        <v>8235</v>
      </c>
      <c r="G1164" s="8">
        <v>45517</v>
      </c>
      <c r="H1164" s="6">
        <v>15.52</v>
      </c>
      <c r="I1164" s="6" cm="1">
        <f t="array" ref="I1164">IFERROR(VALUE(TRIM(LEFT(E1164,MIN(FIND({" ";"g";"k";"m";"o"},E1164&amp;" gkmo"))-1))),0)</f>
        <v>400</v>
      </c>
      <c r="J1164" s="6" t="str" cm="1">
        <f t="array" ref="J1164">IFERROR(TRIM(MID(E1164,MIN(FIND({" ";"g";"k";"m";"o"},E1164&amp;" gkmo")),10)),"unknown")</f>
        <v>g</v>
      </c>
      <c r="K1164" s="6" t="str">
        <f t="shared" si="72"/>
        <v>g</v>
      </c>
      <c r="L1164" s="6" t="str">
        <f t="shared" si="73"/>
        <v>Unknown</v>
      </c>
      <c r="M1164" s="6" t="str">
        <f t="shared" si="74"/>
        <v>Galleta Marà­A</v>
      </c>
      <c r="N1164" s="6" t="str">
        <f t="shared" si="75"/>
        <v>France,México,Espaà±A</v>
      </c>
    </row>
    <row r="1165" spans="1:14" x14ac:dyDescent="0.25">
      <c r="A1165" s="6" t="s">
        <v>2953</v>
      </c>
      <c r="B1165" s="6">
        <v>7190</v>
      </c>
      <c r="C1165" s="6" t="s">
        <v>478</v>
      </c>
      <c r="D1165" s="7" t="s">
        <v>287</v>
      </c>
      <c r="E1165" s="6" t="s">
        <v>2954</v>
      </c>
      <c r="F1165" s="6" t="s">
        <v>8408</v>
      </c>
      <c r="G1165" s="8">
        <v>45833</v>
      </c>
      <c r="H1165" s="6">
        <v>3.32</v>
      </c>
      <c r="I1165" s="6" cm="1">
        <f t="array" ref="I1165">IFERROR(VALUE(TRIM(LEFT(E1165,MIN(FIND({" ";"g";"k";"m";"o"},E1165&amp;" gkmo"))-1))),0)</f>
        <v>37.5</v>
      </c>
      <c r="J1165" s="6" t="str" cm="1">
        <f t="array" ref="J1165">IFERROR(TRIM(MID(E1165,MIN(FIND({" ";"g";"k";"m";"o"},E1165&amp;" gkmo")),10)),"unknown")</f>
        <v>g</v>
      </c>
      <c r="K1165" s="6" t="str">
        <f t="shared" si="72"/>
        <v>g</v>
      </c>
      <c r="L1165" s="6" t="str">
        <f t="shared" si="73"/>
        <v>Ferrero</v>
      </c>
      <c r="M1165" s="6" t="str">
        <f t="shared" si="74"/>
        <v>Ferrero Rocher</v>
      </c>
      <c r="N1165" s="6" t="str">
        <f t="shared" si="75"/>
        <v>Australia,Marruecos,Nueva Zelanda,Espaà±A,Emiratos ÀRabes Unidos,United Kingdom</v>
      </c>
    </row>
    <row r="1166" spans="1:14" x14ac:dyDescent="0.25">
      <c r="A1166" s="6" t="s">
        <v>2955</v>
      </c>
      <c r="B1166" s="6">
        <v>8857</v>
      </c>
      <c r="C1166" s="6" t="s">
        <v>2956</v>
      </c>
      <c r="D1166" s="7" t="s">
        <v>7704</v>
      </c>
      <c r="E1166" s="6"/>
      <c r="F1166" s="6" t="s">
        <v>8039</v>
      </c>
      <c r="G1166" s="8">
        <v>45731</v>
      </c>
      <c r="H1166" s="6">
        <v>4.5599999999999996</v>
      </c>
      <c r="I1166" s="6" cm="1">
        <f t="array" ref="I1166">IFERROR(VALUE(TRIM(LEFT(E1166,MIN(FIND({" ";"g";"k";"m";"o"},E1166&amp;" gkmo"))-1))),0)</f>
        <v>0</v>
      </c>
      <c r="J1166" s="6" t="str" cm="1">
        <f t="array" ref="J1166">IFERROR(TRIM(MID(E1166,MIN(FIND({" ";"g";"k";"m";"o"},E1166&amp;" gkmo")),10)),"unknown")</f>
        <v/>
      </c>
      <c r="K1166" s="6" t="str">
        <f t="shared" si="72"/>
        <v>unknown</v>
      </c>
      <c r="L1166" s="6" t="str">
        <f t="shared" si="73"/>
        <v>Kallà¸</v>
      </c>
      <c r="M1166" s="6" t="str">
        <f t="shared" si="74"/>
        <v>Belgian Dark Chocolate</v>
      </c>
      <c r="N1166" s="6" t="str">
        <f t="shared" si="75"/>
        <v>Gb</v>
      </c>
    </row>
    <row r="1167" spans="1:14" x14ac:dyDescent="0.25">
      <c r="A1167" s="6" t="s">
        <v>2957</v>
      </c>
      <c r="B1167" s="6">
        <v>6647</v>
      </c>
      <c r="C1167" s="6" t="s">
        <v>2663</v>
      </c>
      <c r="D1167" s="7" t="s">
        <v>2958</v>
      </c>
      <c r="E1167" s="6"/>
      <c r="F1167" s="6" t="s">
        <v>2959</v>
      </c>
      <c r="G1167" s="8">
        <v>45906</v>
      </c>
      <c r="H1167" s="6">
        <v>2.31</v>
      </c>
      <c r="I1167" s="6" cm="1">
        <f t="array" ref="I1167">IFERROR(VALUE(TRIM(LEFT(E1167,MIN(FIND({" ";"g";"k";"m";"o"},E1167&amp;" gkmo"))-1))),0)</f>
        <v>0</v>
      </c>
      <c r="J1167" s="6" t="str" cm="1">
        <f t="array" ref="J1167">IFERROR(TRIM(MID(E1167,MIN(FIND({" ";"g";"k";"m";"o"},E1167&amp;" gkmo")),10)),"unknown")</f>
        <v/>
      </c>
      <c r="K1167" s="6" t="str">
        <f t="shared" si="72"/>
        <v>unknown</v>
      </c>
      <c r="L1167" s="6" t="str">
        <f t="shared" si="73"/>
        <v>Hatherwood</v>
      </c>
      <c r="M1167" s="6" t="str">
        <f t="shared" si="74"/>
        <v>Digestives</v>
      </c>
      <c r="N1167" s="6" t="str">
        <f t="shared" si="75"/>
        <v>Bulgaria</v>
      </c>
    </row>
    <row r="1168" spans="1:14" x14ac:dyDescent="0.25">
      <c r="A1168" s="6" t="s">
        <v>2960</v>
      </c>
      <c r="B1168" s="6">
        <v>10470</v>
      </c>
      <c r="C1168" s="6" t="s">
        <v>2961</v>
      </c>
      <c r="D1168" s="7" t="s">
        <v>2962</v>
      </c>
      <c r="E1168" s="6" t="s">
        <v>1389</v>
      </c>
      <c r="F1168" s="6" t="s">
        <v>8340</v>
      </c>
      <c r="G1168" s="8">
        <v>45672</v>
      </c>
      <c r="H1168" s="6">
        <v>1.67</v>
      </c>
      <c r="I1168" s="6" cm="1">
        <f t="array" ref="I1168">IFERROR(VALUE(TRIM(LEFT(E1168,MIN(FIND({" ";"g";"k";"m";"o"},E1168&amp;" gkmo"))-1))),0)</f>
        <v>40</v>
      </c>
      <c r="J1168" s="6" t="str" cm="1">
        <f t="array" ref="J1168">IFERROR(TRIM(MID(E1168,MIN(FIND({" ";"g";"k";"m";"o"},E1168&amp;" gkmo")),10)),"unknown")</f>
        <v>g</v>
      </c>
      <c r="K1168" s="6" t="str">
        <f t="shared" si="72"/>
        <v>g</v>
      </c>
      <c r="L1168" s="6" t="str">
        <f t="shared" si="73"/>
        <v>Knoppers</v>
      </c>
      <c r="M1168" s="6" t="str">
        <f t="shared" si="74"/>
        <v>Knoppers Nussriegel Einzelpackung</v>
      </c>
      <c r="N1168" s="6" t="str">
        <f t="shared" si="75"/>
        <v>Germany,Morocco,Pologne,Roumanie,Switzerland</v>
      </c>
    </row>
    <row r="1169" spans="1:14" x14ac:dyDescent="0.25">
      <c r="A1169" s="6" t="s">
        <v>2963</v>
      </c>
      <c r="B1169" s="6">
        <v>10811</v>
      </c>
      <c r="C1169" s="6" t="s">
        <v>2964</v>
      </c>
      <c r="D1169" s="7" t="s">
        <v>660</v>
      </c>
      <c r="E1169" s="6" t="s">
        <v>44</v>
      </c>
      <c r="F1169" s="6" t="s">
        <v>177</v>
      </c>
      <c r="G1169" s="8">
        <v>45554</v>
      </c>
      <c r="H1169" s="6">
        <v>13.83</v>
      </c>
      <c r="I1169" s="6" cm="1">
        <f t="array" ref="I1169">IFERROR(VALUE(TRIM(LEFT(E1169,MIN(FIND({" ";"g";"k";"m";"o"},E1169&amp;" gkmo"))-1))),0)</f>
        <v>90</v>
      </c>
      <c r="J1169" s="6" t="str" cm="1">
        <f t="array" ref="J1169">IFERROR(TRIM(MID(E1169,MIN(FIND({" ";"g";"k";"m";"o"},E1169&amp;" gkmo")),10)),"unknown")</f>
        <v>g</v>
      </c>
      <c r="K1169" s="6" t="str">
        <f t="shared" si="72"/>
        <v>g</v>
      </c>
      <c r="L1169" s="6" t="str">
        <f t="shared" si="73"/>
        <v>Montezuma'S</v>
      </c>
      <c r="M1169" s="6" t="str">
        <f t="shared" si="74"/>
        <v>Happy Hippy 74% Cocoa Organic Orange &amp; Geranium Dark Chocolate</v>
      </c>
      <c r="N1169" s="6" t="str">
        <f t="shared" si="75"/>
        <v>United Kingdom</v>
      </c>
    </row>
    <row r="1170" spans="1:14" x14ac:dyDescent="0.25">
      <c r="A1170" s="6" t="s">
        <v>2965</v>
      </c>
      <c r="B1170" s="6">
        <v>7322</v>
      </c>
      <c r="C1170" s="6" t="s">
        <v>451</v>
      </c>
      <c r="D1170" s="7" t="s">
        <v>690</v>
      </c>
      <c r="E1170" s="6" t="s">
        <v>279</v>
      </c>
      <c r="F1170" s="6" t="s">
        <v>2966</v>
      </c>
      <c r="G1170" s="8">
        <v>45474</v>
      </c>
      <c r="H1170" s="6">
        <v>7.67</v>
      </c>
      <c r="I1170" s="6" cm="1">
        <f t="array" ref="I1170">IFERROR(VALUE(TRIM(LEFT(E1170,MIN(FIND({" ";"g";"k";"m";"o"},E1170&amp;" gkmo"))-1))),0)</f>
        <v>425</v>
      </c>
      <c r="J1170" s="6" t="str" cm="1">
        <f t="array" ref="J1170">IFERROR(TRIM(MID(E1170,MIN(FIND({" ";"g";"k";"m";"o"},E1170&amp;" gkmo")),10)),"unknown")</f>
        <v>g</v>
      </c>
      <c r="K1170" s="6" t="str">
        <f t="shared" si="72"/>
        <v>g</v>
      </c>
      <c r="L1170" s="6" t="str">
        <f t="shared" si="73"/>
        <v>Lidl,Sondey</v>
      </c>
      <c r="M1170" s="6" t="str">
        <f t="shared" si="74"/>
        <v>Digestive Avena</v>
      </c>
      <c r="N1170" s="6" t="str">
        <f t="shared" si="75"/>
        <v>Portugal,Spain</v>
      </c>
    </row>
    <row r="1171" spans="1:14" x14ac:dyDescent="0.25">
      <c r="A1171" s="6" t="s">
        <v>2967</v>
      </c>
      <c r="B1171" s="6">
        <v>8786</v>
      </c>
      <c r="C1171" s="6" t="s">
        <v>2968</v>
      </c>
      <c r="D1171" s="7" t="s">
        <v>204</v>
      </c>
      <c r="E1171" s="6" t="s">
        <v>2969</v>
      </c>
      <c r="F1171" s="6" t="s">
        <v>2970</v>
      </c>
      <c r="G1171" s="8">
        <v>45348</v>
      </c>
      <c r="H1171" s="6">
        <v>17.72</v>
      </c>
      <c r="I1171" s="6" cm="1">
        <f t="array" ref="I1171">IFERROR(VALUE(TRIM(LEFT(E1171,MIN(FIND({" ";"g";"k";"m";"o"},E1171&amp;" gkmo"))-1))),0)</f>
        <v>255</v>
      </c>
      <c r="J1171" s="6" t="str" cm="1">
        <f t="array" ref="J1171">IFERROR(TRIM(MID(E1171,MIN(FIND({" ";"g";"k";"m";"o"},E1171&amp;" gkmo")),10)),"unknown")</f>
        <v>g</v>
      </c>
      <c r="K1171" s="6" t="str">
        <f t="shared" si="72"/>
        <v>g</v>
      </c>
      <c r="L1171" s="6" t="str">
        <f t="shared" si="73"/>
        <v>Mcvitie'S</v>
      </c>
      <c r="M1171" s="6" t="str">
        <f t="shared" si="74"/>
        <v>Hobnobs</v>
      </c>
      <c r="N1171" s="6" t="str">
        <f t="shared" si="75"/>
        <v>United Kingdom,France</v>
      </c>
    </row>
    <row r="1172" spans="1:14" x14ac:dyDescent="0.25">
      <c r="A1172" s="6" t="s">
        <v>2971</v>
      </c>
      <c r="B1172" s="6">
        <v>12872</v>
      </c>
      <c r="C1172" s="6" t="s">
        <v>2972</v>
      </c>
      <c r="D1172" s="7" t="s">
        <v>1307</v>
      </c>
      <c r="E1172" s="6" t="s">
        <v>18</v>
      </c>
      <c r="F1172" s="6" t="s">
        <v>2973</v>
      </c>
      <c r="G1172" s="8">
        <v>45894</v>
      </c>
      <c r="H1172" s="6">
        <v>9.98</v>
      </c>
      <c r="I1172" s="6" cm="1">
        <f t="array" ref="I1172">IFERROR(VALUE(TRIM(LEFT(E1172,MIN(FIND({" ";"g";"k";"m";"o"},E1172&amp;" gkmo"))-1))),0)</f>
        <v>100</v>
      </c>
      <c r="J1172" s="6" t="str" cm="1">
        <f t="array" ref="J1172">IFERROR(TRIM(MID(E1172,MIN(FIND({" ";"g";"k";"m";"o"},E1172&amp;" gkmo")),10)),"unknown")</f>
        <v>g</v>
      </c>
      <c r="K1172" s="6" t="str">
        <f t="shared" si="72"/>
        <v>g</v>
      </c>
      <c r="L1172" s="6" t="str">
        <f t="shared" si="73"/>
        <v>Graze</v>
      </c>
      <c r="M1172" s="6" t="str">
        <f t="shared" si="74"/>
        <v>Salt &amp; Vinegar (Crunch)</v>
      </c>
      <c r="N1172" s="6" t="str">
        <f t="shared" si="75"/>
        <v>Gb</v>
      </c>
    </row>
    <row r="1173" spans="1:14" x14ac:dyDescent="0.25">
      <c r="A1173" s="6" t="s">
        <v>2974</v>
      </c>
      <c r="B1173" s="6">
        <v>12098</v>
      </c>
      <c r="C1173" s="6" t="s">
        <v>2975</v>
      </c>
      <c r="D1173" s="7" t="s">
        <v>1859</v>
      </c>
      <c r="E1173" s="6" t="s">
        <v>2976</v>
      </c>
      <c r="F1173" s="6" t="s">
        <v>7916</v>
      </c>
      <c r="G1173" s="8">
        <v>45623</v>
      </c>
      <c r="H1173" s="6">
        <v>23.67</v>
      </c>
      <c r="I1173" s="6" cm="1">
        <f t="array" ref="I1173">IFERROR(VALUE(TRIM(LEFT(E1173,MIN(FIND({" ";"g";"k";"m";"o"},E1173&amp;" gkmo"))-1))),0)</f>
        <v>111</v>
      </c>
      <c r="J1173" s="6" t="str" cm="1">
        <f t="array" ref="J1173">IFERROR(TRIM(MID(E1173,MIN(FIND({" ";"g";"k";"m";"o"},E1173&amp;" gkmo")),10)),"unknown")</f>
        <v>g</v>
      </c>
      <c r="K1173" s="6" t="str">
        <f t="shared" si="72"/>
        <v>g</v>
      </c>
      <c r="L1173" s="6" t="str">
        <f t="shared" si="73"/>
        <v>Bahlsen</v>
      </c>
      <c r="M1173" s="6" t="str">
        <f t="shared" si="74"/>
        <v>Choco Leibniz - Dark</v>
      </c>
      <c r="N1173" s="6" t="str">
        <f t="shared" si="75"/>
        <v>United-Kingdom</v>
      </c>
    </row>
    <row r="1174" spans="1:14" x14ac:dyDescent="0.25">
      <c r="A1174" s="6" t="s">
        <v>2977</v>
      </c>
      <c r="B1174" s="6">
        <v>5437</v>
      </c>
      <c r="C1174" s="6" t="s">
        <v>2978</v>
      </c>
      <c r="D1174" s="7" t="s">
        <v>2979</v>
      </c>
      <c r="E1174" s="6"/>
      <c r="F1174" s="6" t="s">
        <v>48</v>
      </c>
      <c r="G1174" s="8">
        <v>45715</v>
      </c>
      <c r="H1174" s="6">
        <v>16.18</v>
      </c>
      <c r="I1174" s="6" cm="1">
        <f t="array" ref="I1174">IFERROR(VALUE(TRIM(LEFT(E1174,MIN(FIND({" ";"g";"k";"m";"o"},E1174&amp;" gkmo"))-1))),0)</f>
        <v>0</v>
      </c>
      <c r="J1174" s="6" t="str" cm="1">
        <f t="array" ref="J1174">IFERROR(TRIM(MID(E1174,MIN(FIND({" ";"g";"k";"m";"o"},E1174&amp;" gkmo")),10)),"unknown")</f>
        <v/>
      </c>
      <c r="K1174" s="6" t="str">
        <f t="shared" si="72"/>
        <v>unknown</v>
      </c>
      <c r="L1174" s="6" t="str">
        <f t="shared" si="73"/>
        <v>Be Biscuits</v>
      </c>
      <c r="M1174" s="6" t="str">
        <f t="shared" si="74"/>
        <v>Fun</v>
      </c>
      <c r="N1174" s="6" t="str">
        <f t="shared" si="75"/>
        <v>Morocco</v>
      </c>
    </row>
    <row r="1175" spans="1:14" x14ac:dyDescent="0.25">
      <c r="A1175" s="6" t="s">
        <v>2980</v>
      </c>
      <c r="B1175" s="6">
        <v>9939</v>
      </c>
      <c r="C1175" s="6" t="s">
        <v>7017</v>
      </c>
      <c r="D1175" s="7" t="s">
        <v>7017</v>
      </c>
      <c r="E1175" s="6"/>
      <c r="F1175" s="6" t="s">
        <v>48</v>
      </c>
      <c r="G1175" s="8">
        <v>45364</v>
      </c>
      <c r="H1175" s="6">
        <v>13.16</v>
      </c>
      <c r="I1175" s="6" cm="1">
        <f t="array" ref="I1175">IFERROR(VALUE(TRIM(LEFT(E1175,MIN(FIND({" ";"g";"k";"m";"o"},E1175&amp;" gkmo"))-1))),0)</f>
        <v>0</v>
      </c>
      <c r="J1175" s="6" t="str" cm="1">
        <f t="array" ref="J1175">IFERROR(TRIM(MID(E1175,MIN(FIND({" ";"g";"k";"m";"o"},E1175&amp;" gkmo")),10)),"unknown")</f>
        <v/>
      </c>
      <c r="K1175" s="6" t="str">
        <f t="shared" si="72"/>
        <v>unknown</v>
      </c>
      <c r="L1175" s="6" t="str">
        <f t="shared" si="73"/>
        <v>Unknown</v>
      </c>
      <c r="M1175" s="6" t="str">
        <f t="shared" si="74"/>
        <v>Unknown</v>
      </c>
      <c r="N1175" s="6" t="str">
        <f t="shared" si="75"/>
        <v>Morocco</v>
      </c>
    </row>
    <row r="1176" spans="1:14" x14ac:dyDescent="0.25">
      <c r="A1176" s="6" t="s">
        <v>2981</v>
      </c>
      <c r="B1176" s="6">
        <v>6468</v>
      </c>
      <c r="C1176" s="6" t="s">
        <v>2982</v>
      </c>
      <c r="D1176" s="7" t="s">
        <v>7207</v>
      </c>
      <c r="E1176" s="6" t="s">
        <v>2983</v>
      </c>
      <c r="F1176" s="6" t="s">
        <v>1092</v>
      </c>
      <c r="G1176" s="8">
        <v>45483</v>
      </c>
      <c r="H1176" s="6">
        <v>15.05</v>
      </c>
      <c r="I1176" s="6" cm="1">
        <f t="array" ref="I1176">IFERROR(VALUE(TRIM(LEFT(E1176,MIN(FIND({" ";"g";"k";"m";"o"},E1176&amp;" gkmo"))-1))),0)</f>
        <v>135</v>
      </c>
      <c r="J1176" s="6" t="str" cm="1">
        <f t="array" ref="J1176">IFERROR(TRIM(MID(E1176,MIN(FIND({" ";"g";"k";"m";"o"},E1176&amp;" gkmo")),10)),"unknown")</f>
        <v>g (4 * 33</v>
      </c>
      <c r="K1176" s="6" t="str">
        <f t="shared" si="72"/>
        <v>g</v>
      </c>
      <c r="L1176" s="6" t="str">
        <f t="shared" si="73"/>
        <v>Saveurs De Nos Régions</v>
      </c>
      <c r="M1176" s="6" t="str">
        <f t="shared" si="74"/>
        <v>Galettes De Pont-Aven</v>
      </c>
      <c r="N1176" s="6" t="str">
        <f t="shared" si="75"/>
        <v>Frankrijk</v>
      </c>
    </row>
    <row r="1177" spans="1:14" x14ac:dyDescent="0.25">
      <c r="A1177" s="6" t="s">
        <v>2984</v>
      </c>
      <c r="B1177" s="6">
        <v>13246</v>
      </c>
      <c r="C1177" s="6" t="s">
        <v>7208</v>
      </c>
      <c r="D1177" s="7" t="s">
        <v>961</v>
      </c>
      <c r="E1177" s="6" t="s">
        <v>2985</v>
      </c>
      <c r="F1177" s="6" t="s">
        <v>139</v>
      </c>
      <c r="G1177" s="8">
        <v>45400</v>
      </c>
      <c r="H1177" s="6">
        <v>14.21</v>
      </c>
      <c r="I1177" s="6" cm="1">
        <f t="array" ref="I1177">IFERROR(VALUE(TRIM(LEFT(E1177,MIN(FIND({" ";"g";"k";"m";"o"},E1177&amp;" gkmo"))-1))),0)</f>
        <v>400</v>
      </c>
      <c r="J1177" s="6" t="str" cm="1">
        <f t="array" ref="J1177">IFERROR(TRIM(MID(E1177,MIN(FIND({" ";"g";"k";"m";"o"},E1177&amp;" gkmo")),10)),"unknown")</f>
        <v>g, 8 sach</v>
      </c>
      <c r="K1177" s="6" t="str">
        <f t="shared" si="72"/>
        <v>g</v>
      </c>
      <c r="L1177" s="6" t="str">
        <f t="shared" si="73"/>
        <v>Sondey</v>
      </c>
      <c r="M1177" s="6" t="str">
        <f t="shared" si="74"/>
        <v>Envitas Miel &amp; Pépites De Chocolat</v>
      </c>
      <c r="N1177" s="6" t="str">
        <f t="shared" si="75"/>
        <v>France</v>
      </c>
    </row>
    <row r="1178" spans="1:14" x14ac:dyDescent="0.25">
      <c r="A1178" s="6" t="s">
        <v>2986</v>
      </c>
      <c r="B1178" s="6">
        <v>14644</v>
      </c>
      <c r="C1178" s="6" t="s">
        <v>2987</v>
      </c>
      <c r="D1178" s="7" t="s">
        <v>1063</v>
      </c>
      <c r="E1178" s="6" t="s">
        <v>151</v>
      </c>
      <c r="F1178" s="6" t="s">
        <v>557</v>
      </c>
      <c r="G1178" s="8">
        <v>45800</v>
      </c>
      <c r="H1178" s="6">
        <v>13.04</v>
      </c>
      <c r="I1178" s="6" cm="1">
        <f t="array" ref="I1178">IFERROR(VALUE(TRIM(LEFT(E1178,MIN(FIND({" ";"g";"k";"m";"o"},E1178&amp;" gkmo"))-1))),0)</f>
        <v>200</v>
      </c>
      <c r="J1178" s="6" t="str" cm="1">
        <f t="array" ref="J1178">IFERROR(TRIM(MID(E1178,MIN(FIND({" ";"g";"k";"m";"o"},E1178&amp;" gkmo")),10)),"unknown")</f>
        <v>g</v>
      </c>
      <c r="K1178" s="6" t="str">
        <f t="shared" si="72"/>
        <v>g</v>
      </c>
      <c r="L1178" s="6" t="str">
        <f t="shared" si="73"/>
        <v>Lu, Mondelez</v>
      </c>
      <c r="M1178" s="6" t="str">
        <f t="shared" si="74"/>
        <v>Cracotte Fraise</v>
      </c>
      <c r="N1178" s="6" t="str">
        <f t="shared" si="75"/>
        <v>Belgium,France,Switzerland</v>
      </c>
    </row>
    <row r="1179" spans="1:14" x14ac:dyDescent="0.25">
      <c r="A1179" s="6" t="s">
        <v>2988</v>
      </c>
      <c r="B1179" s="6">
        <v>13068</v>
      </c>
      <c r="C1179" s="6" t="s">
        <v>2989</v>
      </c>
      <c r="D1179" s="7" t="s">
        <v>60</v>
      </c>
      <c r="E1179" s="6" t="s">
        <v>39</v>
      </c>
      <c r="F1179" s="6" t="s">
        <v>139</v>
      </c>
      <c r="G1179" s="8">
        <v>46015</v>
      </c>
      <c r="H1179" s="6">
        <v>5.75</v>
      </c>
      <c r="I1179" s="6" cm="1">
        <f t="array" ref="I1179">IFERROR(VALUE(TRIM(LEFT(E1179,MIN(FIND({" ";"g";"k";"m";"o"},E1179&amp;" gkmo"))-1))),0)</f>
        <v>150</v>
      </c>
      <c r="J1179" s="6" t="str" cm="1">
        <f t="array" ref="J1179">IFERROR(TRIM(MID(E1179,MIN(FIND({" ";"g";"k";"m";"o"},E1179&amp;" gkmo")),10)),"unknown")</f>
        <v>g</v>
      </c>
      <c r="K1179" s="6" t="str">
        <f t="shared" si="72"/>
        <v>g</v>
      </c>
      <c r="L1179" s="6" t="str">
        <f t="shared" si="73"/>
        <v>Lindt</v>
      </c>
      <c r="M1179" s="6" t="str">
        <f t="shared" si="74"/>
        <v>150G Lindor Lait Lindt</v>
      </c>
      <c r="N1179" s="6" t="str">
        <f t="shared" si="75"/>
        <v>France</v>
      </c>
    </row>
    <row r="1180" spans="1:14" x14ac:dyDescent="0.25">
      <c r="A1180" s="6" t="s">
        <v>2990</v>
      </c>
      <c r="B1180" s="6">
        <v>14481</v>
      </c>
      <c r="C1180" s="6" t="s">
        <v>7705</v>
      </c>
      <c r="D1180" s="7" t="s">
        <v>2991</v>
      </c>
      <c r="E1180" s="6" t="s">
        <v>39</v>
      </c>
      <c r="F1180" s="6" t="s">
        <v>557</v>
      </c>
      <c r="G1180" s="8">
        <v>46031</v>
      </c>
      <c r="H1180" s="6">
        <v>9.6</v>
      </c>
      <c r="I1180" s="6" cm="1">
        <f t="array" ref="I1180">IFERROR(VALUE(TRIM(LEFT(E1180,MIN(FIND({" ";"g";"k";"m";"o"},E1180&amp;" gkmo"))-1))),0)</f>
        <v>150</v>
      </c>
      <c r="J1180" s="6" t="str" cm="1">
        <f t="array" ref="J1180">IFERROR(TRIM(MID(E1180,MIN(FIND({" ";"g";"k";"m";"o"},E1180&amp;" gkmo")),10)),"unknown")</f>
        <v>g</v>
      </c>
      <c r="K1180" s="6" t="str">
        <f t="shared" si="72"/>
        <v>g</v>
      </c>
      <c r="L1180" s="6" t="str">
        <f t="shared" si="73"/>
        <v>Ekibio,Le Pain Des Fleurs</v>
      </c>
      <c r="M1180" s="6" t="str">
        <f t="shared" si="74"/>
        <v>Tartines Craquantes Bio À  La Chà¢Taigne Sans Gluten</v>
      </c>
      <c r="N1180" s="6" t="str">
        <f t="shared" si="75"/>
        <v>Belgium,France,Switzerland</v>
      </c>
    </row>
    <row r="1181" spans="1:14" x14ac:dyDescent="0.25">
      <c r="A1181" s="6" t="s">
        <v>2992</v>
      </c>
      <c r="B1181" s="6">
        <v>6796</v>
      </c>
      <c r="C1181" s="6" t="s">
        <v>2993</v>
      </c>
      <c r="D1181" s="7" t="s">
        <v>7017</v>
      </c>
      <c r="E1181" s="6" t="s">
        <v>2994</v>
      </c>
      <c r="F1181" s="6" t="s">
        <v>1181</v>
      </c>
      <c r="G1181" s="8">
        <v>45538</v>
      </c>
      <c r="H1181" s="6">
        <v>3.2</v>
      </c>
      <c r="I1181" s="6" cm="1">
        <f t="array" ref="I1181">IFERROR(VALUE(TRIM(LEFT(E1181,MIN(FIND({" ";"g";"k";"m";"o"},E1181&amp;" gkmo"))-1))),0)</f>
        <v>15</v>
      </c>
      <c r="J1181" s="6" t="str" cm="1">
        <f t="array" ref="J1181">IFERROR(TRIM(MID(E1181,MIN(FIND({" ";"g";"k";"m";"o"},E1181&amp;" gkmo")),10)),"unknown")</f>
        <v>biscuits</v>
      </c>
      <c r="K1181" s="6" t="str">
        <f t="shared" si="72"/>
        <v>g</v>
      </c>
      <c r="L1181" s="6" t="str">
        <f t="shared" si="73"/>
        <v>Unknown</v>
      </c>
      <c r="M1181" s="6" t="str">
        <f t="shared" si="74"/>
        <v>Choco Bisson Cacao</v>
      </c>
      <c r="N1181" s="6" t="str">
        <f t="shared" si="75"/>
        <v>France,Switzerland</v>
      </c>
    </row>
    <row r="1182" spans="1:14" x14ac:dyDescent="0.25">
      <c r="A1182" s="6" t="s">
        <v>2995</v>
      </c>
      <c r="B1182" s="6">
        <v>13914</v>
      </c>
      <c r="C1182" s="6" t="s">
        <v>2996</v>
      </c>
      <c r="D1182" s="7" t="s">
        <v>2997</v>
      </c>
      <c r="E1182" s="6" t="s">
        <v>2998</v>
      </c>
      <c r="F1182" s="6" t="s">
        <v>2999</v>
      </c>
      <c r="G1182" s="8">
        <v>45559</v>
      </c>
      <c r="H1182" s="6">
        <v>13.16</v>
      </c>
      <c r="I1182" s="6" cm="1">
        <f t="array" ref="I1182">IFERROR(VALUE(TRIM(LEFT(E1182,MIN(FIND({" ";"g";"k";"m";"o"},E1182&amp;" gkmo"))-1))),0)</f>
        <v>70</v>
      </c>
      <c r="J1182" s="6" t="str" cm="1">
        <f t="array" ref="J1182">IFERROR(TRIM(MID(E1182,MIN(FIND({" ";"g";"k";"m";"o"},E1182&amp;" gkmo")),10)),"unknown")</f>
        <v>g</v>
      </c>
      <c r="K1182" s="6" t="str">
        <f t="shared" si="72"/>
        <v>g</v>
      </c>
      <c r="L1182" s="6" t="str">
        <f t="shared" si="73"/>
        <v>Maretti</v>
      </c>
      <c r="M1182" s="6" t="str">
        <f t="shared" si="74"/>
        <v>Bruschette Chips</v>
      </c>
      <c r="N1182" s="6" t="str">
        <f t="shared" si="75"/>
        <v>Bulgaria,Czech Republic,France,Germany,Hungary,Morocco,Romania,Serbia</v>
      </c>
    </row>
    <row r="1183" spans="1:14" x14ac:dyDescent="0.25">
      <c r="A1183" s="6" t="s">
        <v>3000</v>
      </c>
      <c r="B1183" s="6">
        <v>12217</v>
      </c>
      <c r="C1183" s="6" t="s">
        <v>3001</v>
      </c>
      <c r="D1183" s="7" t="s">
        <v>3002</v>
      </c>
      <c r="E1183" s="6" t="s">
        <v>580</v>
      </c>
      <c r="F1183" s="6" t="s">
        <v>3003</v>
      </c>
      <c r="G1183" s="8">
        <v>45669</v>
      </c>
      <c r="H1183" s="6">
        <v>5.88</v>
      </c>
      <c r="I1183" s="6" cm="1">
        <f t="array" ref="I1183">IFERROR(VALUE(TRIM(LEFT(E1183,MIN(FIND({" ";"g";"k";"m";"o"},E1183&amp;" gkmo"))-1))),0)</f>
        <v>250</v>
      </c>
      <c r="J1183" s="6" t="str" cm="1">
        <f t="array" ref="J1183">IFERROR(TRIM(MID(E1183,MIN(FIND({" ";"g";"k";"m";"o"},E1183&amp;" gkmo")),10)),"unknown")</f>
        <v>g</v>
      </c>
      <c r="K1183" s="6" t="str">
        <f t="shared" si="72"/>
        <v>g</v>
      </c>
      <c r="L1183" s="6" t="str">
        <f t="shared" si="73"/>
        <v>M&amp;M'S</v>
      </c>
      <c r="M1183" s="6" t="str">
        <f t="shared" si="74"/>
        <v>Peanut</v>
      </c>
      <c r="N1183" s="6" t="str">
        <f t="shared" si="75"/>
        <v>France,Germany,Italy,Luxembourg,Romania,Switzerland</v>
      </c>
    </row>
    <row r="1184" spans="1:14" x14ac:dyDescent="0.25">
      <c r="A1184" s="6" t="s">
        <v>3004</v>
      </c>
      <c r="B1184" s="6">
        <v>10213</v>
      </c>
      <c r="C1184" s="6" t="s">
        <v>3005</v>
      </c>
      <c r="D1184" s="7" t="s">
        <v>1720</v>
      </c>
      <c r="E1184" s="6"/>
      <c r="F1184" s="6" t="s">
        <v>7926</v>
      </c>
      <c r="G1184" s="8">
        <v>45936</v>
      </c>
      <c r="H1184" s="6">
        <v>16.399999999999999</v>
      </c>
      <c r="I1184" s="6" cm="1">
        <f t="array" ref="I1184">IFERROR(VALUE(TRIM(LEFT(E1184,MIN(FIND({" ";"g";"k";"m";"o"},E1184&amp;" gkmo"))-1))),0)</f>
        <v>0</v>
      </c>
      <c r="J1184" s="6" t="str" cm="1">
        <f t="array" ref="J1184">IFERROR(TRIM(MID(E1184,MIN(FIND({" ";"g";"k";"m";"o"},E1184&amp;" gkmo")),10)),"unknown")</f>
        <v/>
      </c>
      <c r="K1184" s="6" t="str">
        <f t="shared" si="72"/>
        <v>unknown</v>
      </c>
      <c r="L1184" s="6" t="str">
        <f t="shared" si="73"/>
        <v>Jordans</v>
      </c>
      <c r="M1184" s="6" t="str">
        <f t="shared" si="74"/>
        <v>Frusli Juicy Red Berries Chewy Cereals Bars 6 X (180G)</v>
      </c>
      <c r="N1184" s="6" t="str">
        <f t="shared" si="75"/>
        <v>France, United-Kingdom</v>
      </c>
    </row>
    <row r="1185" spans="1:14" x14ac:dyDescent="0.25">
      <c r="A1185" s="6" t="s">
        <v>3006</v>
      </c>
      <c r="B1185" s="6">
        <v>9770</v>
      </c>
      <c r="C1185" s="6" t="s">
        <v>3007</v>
      </c>
      <c r="D1185" s="7" t="s">
        <v>2478</v>
      </c>
      <c r="E1185" s="6" t="s">
        <v>1389</v>
      </c>
      <c r="F1185" s="6" t="s">
        <v>2472</v>
      </c>
      <c r="G1185" s="8">
        <v>45349</v>
      </c>
      <c r="H1185" s="6">
        <v>6.33</v>
      </c>
      <c r="I1185" s="6" cm="1">
        <f t="array" ref="I1185">IFERROR(VALUE(TRIM(LEFT(E1185,MIN(FIND({" ";"g";"k";"m";"o"},E1185&amp;" gkmo"))-1))),0)</f>
        <v>40</v>
      </c>
      <c r="J1185" s="6" t="str" cm="1">
        <f t="array" ref="J1185">IFERROR(TRIM(MID(E1185,MIN(FIND({" ";"g";"k";"m";"o"},E1185&amp;" gkmo")),10)),"unknown")</f>
        <v>g</v>
      </c>
      <c r="K1185" s="6" t="str">
        <f t="shared" si="72"/>
        <v>g</v>
      </c>
      <c r="L1185" s="6" t="str">
        <f t="shared" si="73"/>
        <v>Pipers,Pepsico</v>
      </c>
      <c r="M1185" s="6" t="str">
        <f t="shared" si="74"/>
        <v>Pipers Burrow Hill Cider Vinegar &amp; Sea Salt Crisps</v>
      </c>
      <c r="N1185" s="6" t="str">
        <f t="shared" si="75"/>
        <v>France,Switzerland,United Kingdom</v>
      </c>
    </row>
    <row r="1186" spans="1:14" x14ac:dyDescent="0.25">
      <c r="A1186" s="6" t="s">
        <v>3008</v>
      </c>
      <c r="B1186" s="6">
        <v>13733</v>
      </c>
      <c r="C1186" s="6" t="s">
        <v>3009</v>
      </c>
      <c r="D1186" s="7" t="s">
        <v>7017</v>
      </c>
      <c r="E1186" s="6"/>
      <c r="F1186" s="6" t="s">
        <v>3010</v>
      </c>
      <c r="G1186" s="8">
        <v>45980</v>
      </c>
      <c r="H1186" s="6">
        <v>24</v>
      </c>
      <c r="I1186" s="6" cm="1">
        <f t="array" ref="I1186">IFERROR(VALUE(TRIM(LEFT(E1186,MIN(FIND({" ";"g";"k";"m";"o"},E1186&amp;" gkmo"))-1))),0)</f>
        <v>0</v>
      </c>
      <c r="J1186" s="6" t="str" cm="1">
        <f t="array" ref="J1186">IFERROR(TRIM(MID(E1186,MIN(FIND({" ";"g";"k";"m";"o"},E1186&amp;" gkmo")),10)),"unknown")</f>
        <v/>
      </c>
      <c r="K1186" s="6" t="str">
        <f t="shared" si="72"/>
        <v>unknown</v>
      </c>
      <c r="L1186" s="6" t="str">
        <f t="shared" si="73"/>
        <v>Unknown</v>
      </c>
      <c r="M1186" s="6" t="str">
        <f t="shared" si="74"/>
        <v>Hand-Cooked Crisps Lightly Sea Salted</v>
      </c>
      <c r="N1186" s="6" t="str">
        <f t="shared" si="75"/>
        <v>France,United Kingdom,Ireland</v>
      </c>
    </row>
    <row r="1187" spans="1:14" x14ac:dyDescent="0.25">
      <c r="A1187" s="6" t="s">
        <v>3011</v>
      </c>
      <c r="B1187" s="6">
        <v>12197</v>
      </c>
      <c r="C1187" s="6" t="s">
        <v>3012</v>
      </c>
      <c r="D1187" s="7" t="s">
        <v>3013</v>
      </c>
      <c r="E1187" s="6" t="s">
        <v>10</v>
      </c>
      <c r="F1187" s="6" t="s">
        <v>997</v>
      </c>
      <c r="G1187" s="8">
        <v>45846</v>
      </c>
      <c r="H1187" s="6">
        <v>3.2</v>
      </c>
      <c r="I1187" s="6" cm="1">
        <f t="array" ref="I1187">IFERROR(VALUE(TRIM(LEFT(E1187,MIN(FIND({" ";"g";"k";"m";"o"},E1187&amp;" gkmo"))-1))),0)</f>
        <v>100</v>
      </c>
      <c r="J1187" s="6" t="str" cm="1">
        <f t="array" ref="J1187">IFERROR(TRIM(MID(E1187,MIN(FIND({" ";"g";"k";"m";"o"},E1187&amp;" gkmo")),10)),"unknown")</f>
        <v>g</v>
      </c>
      <c r="K1187" s="6" t="str">
        <f t="shared" si="72"/>
        <v>g</v>
      </c>
      <c r="L1187" s="6" t="str">
        <f t="shared" si="73"/>
        <v>Galbusera</v>
      </c>
      <c r="M1187" s="6" t="str">
        <f t="shared" si="74"/>
        <v>Gran Saraceno</v>
      </c>
      <c r="N1187" s="6" t="str">
        <f t="shared" si="75"/>
        <v>Italy</v>
      </c>
    </row>
    <row r="1188" spans="1:14" x14ac:dyDescent="0.25">
      <c r="A1188" s="6" t="s">
        <v>3014</v>
      </c>
      <c r="B1188" s="6">
        <v>10840</v>
      </c>
      <c r="C1188" s="6" t="s">
        <v>3015</v>
      </c>
      <c r="D1188" s="7" t="s">
        <v>2466</v>
      </c>
      <c r="E1188" s="6" t="s">
        <v>2810</v>
      </c>
      <c r="F1188" s="6" t="s">
        <v>997</v>
      </c>
      <c r="G1188" s="8">
        <v>45816</v>
      </c>
      <c r="H1188" s="6">
        <v>6.48</v>
      </c>
      <c r="I1188" s="6" cm="1">
        <f t="array" ref="I1188">IFERROR(VALUE(TRIM(LEFT(E1188,MIN(FIND({" ";"g";"k";"m";"o"},E1188&amp;" gkmo"))-1))),0)</f>
        <v>290</v>
      </c>
      <c r="J1188" s="6" t="str" cm="1">
        <f t="array" ref="J1188">IFERROR(TRIM(MID(E1188,MIN(FIND({" ";"g";"k";"m";"o"},E1188&amp;" gkmo")),10)),"unknown")</f>
        <v>g</v>
      </c>
      <c r="K1188" s="6" t="str">
        <f t="shared" si="72"/>
        <v>g</v>
      </c>
      <c r="L1188" s="6" t="str">
        <f t="shared" si="73"/>
        <v>Misura</v>
      </c>
      <c r="M1188" s="6" t="str">
        <f t="shared" si="74"/>
        <v>Misura Privolat</v>
      </c>
      <c r="N1188" s="6" t="str">
        <f t="shared" si="75"/>
        <v>Italy</v>
      </c>
    </row>
    <row r="1189" spans="1:14" x14ac:dyDescent="0.25">
      <c r="A1189" s="6" t="s">
        <v>3016</v>
      </c>
      <c r="B1189" s="6">
        <v>13386</v>
      </c>
      <c r="C1189" s="6" t="s">
        <v>3017</v>
      </c>
      <c r="D1189" s="7" t="s">
        <v>1434</v>
      </c>
      <c r="E1189" s="6" t="s">
        <v>352</v>
      </c>
      <c r="F1189" s="6" t="s">
        <v>3018</v>
      </c>
      <c r="G1189" s="8">
        <v>46000</v>
      </c>
      <c r="H1189" s="6">
        <v>4.21</v>
      </c>
      <c r="I1189" s="6" cm="1">
        <f t="array" ref="I1189">IFERROR(VALUE(TRIM(LEFT(E1189,MIN(FIND({" ";"g";"k";"m";"o"},E1189&amp;" gkmo"))-1))),0)</f>
        <v>170</v>
      </c>
      <c r="J1189" s="6" t="str" cm="1">
        <f t="array" ref="J1189">IFERROR(TRIM(MID(E1189,MIN(FIND({" ";"g";"k";"m";"o"},E1189&amp;" gkmo")),10)),"unknown")</f>
        <v>g</v>
      </c>
      <c r="K1189" s="6" t="str">
        <f t="shared" si="72"/>
        <v>g</v>
      </c>
      <c r="L1189" s="6" t="str">
        <f t="shared" si="73"/>
        <v>Doritos</v>
      </c>
      <c r="M1189" s="6" t="str">
        <f t="shared" si="74"/>
        <v>Doritos Nacho Cheese</v>
      </c>
      <c r="N1189" s="6" t="str">
        <f t="shared" si="75"/>
        <v>Belgium</v>
      </c>
    </row>
    <row r="1190" spans="1:14" x14ac:dyDescent="0.25">
      <c r="A1190" s="6" t="s">
        <v>3019</v>
      </c>
      <c r="B1190" s="6">
        <v>8012</v>
      </c>
      <c r="C1190" s="6" t="s">
        <v>3020</v>
      </c>
      <c r="D1190" s="7" t="s">
        <v>3021</v>
      </c>
      <c r="E1190" s="6"/>
      <c r="F1190" s="6" t="s">
        <v>48</v>
      </c>
      <c r="G1190" s="8">
        <v>45975</v>
      </c>
      <c r="H1190" s="6">
        <v>13.16</v>
      </c>
      <c r="I1190" s="6" cm="1">
        <f t="array" ref="I1190">IFERROR(VALUE(TRIM(LEFT(E1190,MIN(FIND({" ";"g";"k";"m";"o"},E1190&amp;" gkmo"))-1))),0)</f>
        <v>0</v>
      </c>
      <c r="J1190" s="6" t="str" cm="1">
        <f t="array" ref="J1190">IFERROR(TRIM(MID(E1190,MIN(FIND({" ";"g";"k";"m";"o"},E1190&amp;" gkmo")),10)),"unknown")</f>
        <v/>
      </c>
      <c r="K1190" s="6" t="str">
        <f t="shared" si="72"/>
        <v>unknown</v>
      </c>
      <c r="L1190" s="6" t="str">
        <f t="shared" si="73"/>
        <v>Piccadeli</v>
      </c>
      <c r="M1190" s="6" t="str">
        <f t="shared" si="74"/>
        <v>Roxta</v>
      </c>
      <c r="N1190" s="6" t="str">
        <f t="shared" si="75"/>
        <v>Morocco</v>
      </c>
    </row>
    <row r="1191" spans="1:14" x14ac:dyDescent="0.25">
      <c r="A1191" s="6" t="s">
        <v>3022</v>
      </c>
      <c r="B1191" s="6">
        <v>9995</v>
      </c>
      <c r="C1191" s="6" t="s">
        <v>3023</v>
      </c>
      <c r="D1191" s="7" t="s">
        <v>7017</v>
      </c>
      <c r="E1191" s="6"/>
      <c r="F1191" s="6" t="s">
        <v>177</v>
      </c>
      <c r="G1191" s="8">
        <v>45644</v>
      </c>
      <c r="H1191" s="6">
        <v>18.18</v>
      </c>
      <c r="I1191" s="6" cm="1">
        <f t="array" ref="I1191">IFERROR(VALUE(TRIM(LEFT(E1191,MIN(FIND({" ";"g";"k";"m";"o"},E1191&amp;" gkmo"))-1))),0)</f>
        <v>0</v>
      </c>
      <c r="J1191" s="6" t="str" cm="1">
        <f t="array" ref="J1191">IFERROR(TRIM(MID(E1191,MIN(FIND({" ";"g";"k";"m";"o"},E1191&amp;" gkmo")),10)),"unknown")</f>
        <v/>
      </c>
      <c r="K1191" s="6" t="str">
        <f t="shared" si="72"/>
        <v>unknown</v>
      </c>
      <c r="L1191" s="6" t="str">
        <f t="shared" si="73"/>
        <v>Unknown</v>
      </c>
      <c r="M1191" s="6" t="str">
        <f t="shared" si="74"/>
        <v>Almond Butter &amp; Salted Caramel Cups</v>
      </c>
      <c r="N1191" s="6" t="str">
        <f t="shared" si="75"/>
        <v>United Kingdom</v>
      </c>
    </row>
    <row r="1192" spans="1:14" x14ac:dyDescent="0.25">
      <c r="A1192" s="6" t="s">
        <v>3024</v>
      </c>
      <c r="B1192" s="6">
        <v>9988</v>
      </c>
      <c r="C1192" s="6" t="s">
        <v>3025</v>
      </c>
      <c r="D1192" s="7" t="s">
        <v>7017</v>
      </c>
      <c r="E1192" s="6"/>
      <c r="F1192" s="6" t="s">
        <v>860</v>
      </c>
      <c r="G1192" s="8">
        <v>45685</v>
      </c>
      <c r="H1192" s="6">
        <v>7.01</v>
      </c>
      <c r="I1192" s="6" cm="1">
        <f t="array" ref="I1192">IFERROR(VALUE(TRIM(LEFT(E1192,MIN(FIND({" ";"g";"k";"m";"o"},E1192&amp;" gkmo"))-1))),0)</f>
        <v>0</v>
      </c>
      <c r="J1192" s="6" t="str" cm="1">
        <f t="array" ref="J1192">IFERROR(TRIM(MID(E1192,MIN(FIND({" ";"g";"k";"m";"o"},E1192&amp;" gkmo")),10)),"unknown")</f>
        <v/>
      </c>
      <c r="K1192" s="6" t="str">
        <f t="shared" si="72"/>
        <v>unknown</v>
      </c>
      <c r="L1192" s="6" t="str">
        <f t="shared" si="73"/>
        <v>Unknown</v>
      </c>
      <c r="M1192" s="6" t="str">
        <f t="shared" si="74"/>
        <v>Maxi Croust</v>
      </c>
      <c r="N1192" s="6" t="str">
        <f t="shared" si="75"/>
        <v>Ma</v>
      </c>
    </row>
    <row r="1193" spans="1:14" x14ac:dyDescent="0.25">
      <c r="A1193" s="6" t="s">
        <v>3026</v>
      </c>
      <c r="B1193" s="6">
        <v>9818</v>
      </c>
      <c r="C1193" s="6" t="s">
        <v>3027</v>
      </c>
      <c r="D1193" s="7" t="s">
        <v>2840</v>
      </c>
      <c r="E1193" s="6" t="s">
        <v>1228</v>
      </c>
      <c r="F1193" s="6" t="s">
        <v>139</v>
      </c>
      <c r="G1193" s="8">
        <v>45774</v>
      </c>
      <c r="H1193" s="6">
        <v>18.260000000000002</v>
      </c>
      <c r="I1193" s="6" cm="1">
        <f t="array" ref="I1193">IFERROR(VALUE(TRIM(LEFT(E1193,MIN(FIND({" ";"g";"k";"m";"o"},E1193&amp;" gkmo"))-1))),0)</f>
        <v>60</v>
      </c>
      <c r="J1193" s="6" t="str" cm="1">
        <f t="array" ref="J1193">IFERROR(TRIM(MID(E1193,MIN(FIND({" ";"g";"k";"m";"o"},E1193&amp;" gkmo")),10)),"unknown")</f>
        <v>g</v>
      </c>
      <c r="K1193" s="6" t="str">
        <f t="shared" si="72"/>
        <v>g</v>
      </c>
      <c r="L1193" s="6" t="str">
        <f t="shared" si="73"/>
        <v>Ferrero, Kinder</v>
      </c>
      <c r="M1193" s="6" t="str">
        <f t="shared" si="74"/>
        <v>Kinder Joy</v>
      </c>
      <c r="N1193" s="6" t="str">
        <f t="shared" si="75"/>
        <v>France</v>
      </c>
    </row>
    <row r="1194" spans="1:14" x14ac:dyDescent="0.25">
      <c r="A1194" s="6" t="s">
        <v>3028</v>
      </c>
      <c r="B1194" s="6">
        <v>14818</v>
      </c>
      <c r="C1194" s="6" t="s">
        <v>3029</v>
      </c>
      <c r="D1194" s="7" t="s">
        <v>652</v>
      </c>
      <c r="E1194" s="6" t="s">
        <v>653</v>
      </c>
      <c r="F1194" s="6" t="s">
        <v>139</v>
      </c>
      <c r="G1194" s="8">
        <v>45958</v>
      </c>
      <c r="H1194" s="6">
        <v>4.16</v>
      </c>
      <c r="I1194" s="6" cm="1">
        <f t="array" ref="I1194">IFERROR(VALUE(TRIM(LEFT(E1194,MIN(FIND({" ";"g";"k";"m";"o"},E1194&amp;" gkmo"))-1))),0)</f>
        <v>310</v>
      </c>
      <c r="J1194" s="6" t="str" cm="1">
        <f t="array" ref="J1194">IFERROR(TRIM(MID(E1194,MIN(FIND({" ";"g";"k";"m";"o"},E1194&amp;" gkmo")),10)),"unknown")</f>
        <v>g</v>
      </c>
      <c r="K1194" s="6" t="str">
        <f t="shared" si="72"/>
        <v>g</v>
      </c>
      <c r="L1194" s="6" t="str">
        <f t="shared" si="73"/>
        <v>Brossard</v>
      </c>
      <c r="M1194" s="6" t="str">
        <f t="shared" si="74"/>
        <v>Savane Tout Choco</v>
      </c>
      <c r="N1194" s="6" t="str">
        <f t="shared" si="75"/>
        <v>France</v>
      </c>
    </row>
    <row r="1195" spans="1:14" x14ac:dyDescent="0.25">
      <c r="A1195" s="6" t="s">
        <v>3030</v>
      </c>
      <c r="B1195" s="6">
        <v>14231</v>
      </c>
      <c r="C1195" s="6" t="s">
        <v>3031</v>
      </c>
      <c r="D1195" s="7" t="s">
        <v>3032</v>
      </c>
      <c r="E1195" s="6" t="s">
        <v>1389</v>
      </c>
      <c r="F1195" s="6" t="s">
        <v>8359</v>
      </c>
      <c r="G1195" s="8">
        <v>45405</v>
      </c>
      <c r="H1195" s="6">
        <v>16.59</v>
      </c>
      <c r="I1195" s="6" cm="1">
        <f t="array" ref="I1195">IFERROR(VALUE(TRIM(LEFT(E1195,MIN(FIND({" ";"g";"k";"m";"o"},E1195&amp;" gkmo"))-1))),0)</f>
        <v>40</v>
      </c>
      <c r="J1195" s="6" t="str" cm="1">
        <f t="array" ref="J1195">IFERROR(TRIM(MID(E1195,MIN(FIND({" ";"g";"k";"m";"o"},E1195&amp;" gkmo")),10)),"unknown")</f>
        <v>g</v>
      </c>
      <c r="K1195" s="6" t="str">
        <f t="shared" si="72"/>
        <v>g</v>
      </c>
      <c r="L1195" s="6" t="str">
        <f t="shared" si="73"/>
        <v>Kind,Mars Wrigley</v>
      </c>
      <c r="M1195" s="6" t="str">
        <f t="shared" si="74"/>
        <v>Dark Chocolate Nuts &amp; Sea Salt</v>
      </c>
      <c r="N1195" s="6" t="str">
        <f t="shared" si="75"/>
        <v>France,Germany,Espaà±A,Switzerland</v>
      </c>
    </row>
    <row r="1196" spans="1:14" x14ac:dyDescent="0.25">
      <c r="A1196" s="6" t="s">
        <v>3033</v>
      </c>
      <c r="B1196" s="6">
        <v>11633</v>
      </c>
      <c r="C1196" s="6" t="s">
        <v>3034</v>
      </c>
      <c r="D1196" s="7" t="s">
        <v>452</v>
      </c>
      <c r="E1196" s="6" t="s">
        <v>39</v>
      </c>
      <c r="F1196" s="6" t="s">
        <v>1185</v>
      </c>
      <c r="G1196" s="8">
        <v>45605</v>
      </c>
      <c r="H1196" s="6">
        <v>14.44</v>
      </c>
      <c r="I1196" s="6" cm="1">
        <f t="array" ref="I1196">IFERROR(VALUE(TRIM(LEFT(E1196,MIN(FIND({" ";"g";"k";"m";"o"},E1196&amp;" gkmo"))-1))),0)</f>
        <v>150</v>
      </c>
      <c r="J1196" s="6" t="str" cm="1">
        <f t="array" ref="J1196">IFERROR(TRIM(MID(E1196,MIN(FIND({" ";"g";"k";"m";"o"},E1196&amp;" gkmo")),10)),"unknown")</f>
        <v>g</v>
      </c>
      <c r="K1196" s="6" t="str">
        <f t="shared" si="72"/>
        <v>g</v>
      </c>
      <c r="L1196" s="6" t="str">
        <f t="shared" si="73"/>
        <v>Hacendado</v>
      </c>
      <c r="M1196" s="6" t="str">
        <f t="shared" si="74"/>
        <v>Nachos</v>
      </c>
      <c r="N1196" s="6" t="str">
        <f t="shared" si="75"/>
        <v>Spain</v>
      </c>
    </row>
    <row r="1197" spans="1:14" x14ac:dyDescent="0.25">
      <c r="A1197" s="6" t="s">
        <v>3035</v>
      </c>
      <c r="B1197" s="6">
        <v>7068</v>
      </c>
      <c r="C1197" s="6" t="s">
        <v>7017</v>
      </c>
      <c r="D1197" s="7" t="s">
        <v>1742</v>
      </c>
      <c r="E1197" s="6" t="s">
        <v>3036</v>
      </c>
      <c r="F1197" s="6" t="s">
        <v>8040</v>
      </c>
      <c r="G1197" s="8">
        <v>45947</v>
      </c>
      <c r="H1197" s="6">
        <v>13.16</v>
      </c>
      <c r="I1197" s="6" cm="1">
        <f t="array" ref="I1197">IFERROR(VALUE(TRIM(LEFT(E1197,MIN(FIND({" ";"g";"k";"m";"o"},E1197&amp;" gkmo"))-1))),0)</f>
        <v>252</v>
      </c>
      <c r="J1197" s="6" t="str" cm="1">
        <f t="array" ref="J1197">IFERROR(TRIM(MID(E1197,MIN(FIND({" ";"g";"k";"m";"o"},E1197&amp;" gkmo")),10)),"unknown")</f>
        <v>g</v>
      </c>
      <c r="K1197" s="6" t="str">
        <f t="shared" si="72"/>
        <v>g</v>
      </c>
      <c r="L1197" s="6" t="str">
        <f t="shared" si="73"/>
        <v>Crownfield</v>
      </c>
      <c r="M1197" s="6" t="str">
        <f t="shared" si="74"/>
        <v>Unknown</v>
      </c>
      <c r="N1197" s="6" t="str">
        <f t="shared" si="75"/>
        <v>United Kingdom, France</v>
      </c>
    </row>
    <row r="1198" spans="1:14" x14ac:dyDescent="0.25">
      <c r="A1198" s="6" t="s">
        <v>3037</v>
      </c>
      <c r="B1198" s="6">
        <v>13235</v>
      </c>
      <c r="C1198" s="6" t="s">
        <v>3038</v>
      </c>
      <c r="D1198" s="7" t="s">
        <v>452</v>
      </c>
      <c r="E1198" s="6" t="s">
        <v>335</v>
      </c>
      <c r="F1198" s="6" t="s">
        <v>7595</v>
      </c>
      <c r="G1198" s="8">
        <v>45634</v>
      </c>
      <c r="H1198" s="6">
        <v>8</v>
      </c>
      <c r="I1198" s="6" cm="1">
        <f t="array" ref="I1198">IFERROR(VALUE(TRIM(LEFT(E1198,MIN(FIND({" ";"g";"k";"m";"o"},E1198&amp;" gkmo"))-1))),0)</f>
        <v>250</v>
      </c>
      <c r="J1198" s="6" t="str" cm="1">
        <f t="array" ref="J1198">IFERROR(TRIM(MID(E1198,MIN(FIND({" ";"g";"k";"m";"o"},E1198&amp;" gkmo")),10)),"unknown")</f>
        <v>g</v>
      </c>
      <c r="K1198" s="6" t="str">
        <f t="shared" si="72"/>
        <v>g</v>
      </c>
      <c r="L1198" s="6" t="str">
        <f t="shared" si="73"/>
        <v>Hacendado</v>
      </c>
      <c r="M1198" s="6" t="str">
        <f t="shared" si="74"/>
        <v>Galletas Chocolate 0%</v>
      </c>
      <c r="N1198" s="6" t="str">
        <f t="shared" si="75"/>
        <v>Espaà±A</v>
      </c>
    </row>
    <row r="1199" spans="1:14" x14ac:dyDescent="0.25">
      <c r="A1199" s="6" t="s">
        <v>3039</v>
      </c>
      <c r="B1199" s="6">
        <v>12122</v>
      </c>
      <c r="C1199" s="6" t="s">
        <v>3040</v>
      </c>
      <c r="D1199" s="7" t="s">
        <v>306</v>
      </c>
      <c r="E1199" s="6"/>
      <c r="F1199" s="6" t="s">
        <v>8041</v>
      </c>
      <c r="G1199" s="8">
        <v>45968</v>
      </c>
      <c r="H1199" s="6">
        <v>5.99</v>
      </c>
      <c r="I1199" s="6" cm="1">
        <f t="array" ref="I1199">IFERROR(VALUE(TRIM(LEFT(E1199,MIN(FIND({" ";"g";"k";"m";"o"},E1199&amp;" gkmo"))-1))),0)</f>
        <v>0</v>
      </c>
      <c r="J1199" s="6" t="str" cm="1">
        <f t="array" ref="J1199">IFERROR(TRIM(MID(E1199,MIN(FIND({" ";"g";"k";"m";"o"},E1199&amp;" gkmo")),10)),"unknown")</f>
        <v/>
      </c>
      <c r="K1199" s="6" t="str">
        <f t="shared" si="72"/>
        <v>unknown</v>
      </c>
      <c r="L1199" s="6" t="str">
        <f t="shared" si="73"/>
        <v>Lu</v>
      </c>
      <c r="M1199" s="6" t="str">
        <f t="shared" si="74"/>
        <v>Bourn Vita 500Gram Pauch</v>
      </c>
      <c r="N1199" s="6" t="str">
        <f t="shared" si="75"/>
        <v>India, Romania, United Kingdom, United States, Bulgaria</v>
      </c>
    </row>
    <row r="1200" spans="1:14" x14ac:dyDescent="0.25">
      <c r="A1200" s="6" t="s">
        <v>3041</v>
      </c>
      <c r="B1200" s="6">
        <v>9046</v>
      </c>
      <c r="C1200" s="6" t="s">
        <v>3042</v>
      </c>
      <c r="D1200" s="7" t="s">
        <v>7017</v>
      </c>
      <c r="E1200" s="6" t="s">
        <v>3043</v>
      </c>
      <c r="F1200" s="6" t="s">
        <v>3044</v>
      </c>
      <c r="G1200" s="8">
        <v>45633</v>
      </c>
      <c r="H1200" s="6">
        <v>18.5</v>
      </c>
      <c r="I1200" s="6" cm="1">
        <f t="array" ref="I1200">IFERROR(VALUE(TRIM(LEFT(E1200,MIN(FIND({" ";"g";"k";"m";"o"},E1200&amp;" gkmo"))-1))),0)</f>
        <v>560</v>
      </c>
      <c r="J1200" s="6" t="str" cm="1">
        <f t="array" ref="J1200">IFERROR(TRIM(MID(E1200,MIN(FIND({" ";"g";"k";"m";"o"},E1200&amp;" gkmo")),10)),"unknown")</f>
        <v>g</v>
      </c>
      <c r="K1200" s="6" t="str">
        <f t="shared" si="72"/>
        <v>g</v>
      </c>
      <c r="L1200" s="6" t="str">
        <f t="shared" si="73"/>
        <v>Unknown</v>
      </c>
      <c r="M1200" s="6" t="str">
        <f t="shared" si="74"/>
        <v>Gpav Cracker Salato Pav 560 Gr</v>
      </c>
      <c r="N1200" s="6" t="str">
        <f t="shared" si="75"/>
        <v>Italy, Germany, France</v>
      </c>
    </row>
    <row r="1201" spans="1:14" x14ac:dyDescent="0.25">
      <c r="A1201" s="6" t="s">
        <v>3045</v>
      </c>
      <c r="B1201" s="6">
        <v>8970</v>
      </c>
      <c r="C1201" s="6" t="s">
        <v>3046</v>
      </c>
      <c r="D1201" s="7" t="s">
        <v>906</v>
      </c>
      <c r="E1201" s="6"/>
      <c r="F1201" s="6" t="s">
        <v>177</v>
      </c>
      <c r="G1201" s="8">
        <v>45931</v>
      </c>
      <c r="H1201" s="6">
        <v>5.43</v>
      </c>
      <c r="I1201" s="6" cm="1">
        <f t="array" ref="I1201">IFERROR(VALUE(TRIM(LEFT(E1201,MIN(FIND({" ";"g";"k";"m";"o"},E1201&amp;" gkmo"))-1))),0)</f>
        <v>0</v>
      </c>
      <c r="J1201" s="6" t="str" cm="1">
        <f t="array" ref="J1201">IFERROR(TRIM(MID(E1201,MIN(FIND({" ";"g";"k";"m";"o"},E1201&amp;" gkmo")),10)),"unknown")</f>
        <v/>
      </c>
      <c r="K1201" s="6" t="str">
        <f t="shared" si="72"/>
        <v>unknown</v>
      </c>
      <c r="L1201" s="6" t="str">
        <f t="shared" si="73"/>
        <v>Sainsbury'S</v>
      </c>
      <c r="M1201" s="6" t="str">
        <f t="shared" si="74"/>
        <v>Dominican Dark Chocolate</v>
      </c>
      <c r="N1201" s="6" t="str">
        <f t="shared" si="75"/>
        <v>United Kingdom</v>
      </c>
    </row>
    <row r="1202" spans="1:14" x14ac:dyDescent="0.25">
      <c r="A1202" s="6" t="s">
        <v>3047</v>
      </c>
      <c r="B1202" s="6">
        <v>6875</v>
      </c>
      <c r="C1202" s="6" t="s">
        <v>3048</v>
      </c>
      <c r="D1202" s="7" t="s">
        <v>43</v>
      </c>
      <c r="E1202" s="6" t="s">
        <v>44</v>
      </c>
      <c r="F1202" s="6" t="s">
        <v>2973</v>
      </c>
      <c r="G1202" s="8">
        <v>45790</v>
      </c>
      <c r="H1202" s="6">
        <v>13.16</v>
      </c>
      <c r="I1202" s="6" cm="1">
        <f t="array" ref="I1202">IFERROR(VALUE(TRIM(LEFT(E1202,MIN(FIND({" ";"g";"k";"m";"o"},E1202&amp;" gkmo"))-1))),0)</f>
        <v>90</v>
      </c>
      <c r="J1202" s="6" t="str" cm="1">
        <f t="array" ref="J1202">IFERROR(TRIM(MID(E1202,MIN(FIND({" ";"g";"k";"m";"o"},E1202&amp;" gkmo")),10)),"unknown")</f>
        <v>g</v>
      </c>
      <c r="K1202" s="6" t="str">
        <f t="shared" si="72"/>
        <v>g</v>
      </c>
      <c r="L1202" s="6" t="str">
        <f t="shared" si="73"/>
        <v>Green &amp; Black'S</v>
      </c>
      <c r="M1202" s="6" t="str">
        <f t="shared" si="74"/>
        <v>Smooth</v>
      </c>
      <c r="N1202" s="6" t="str">
        <f t="shared" si="75"/>
        <v>Gb</v>
      </c>
    </row>
    <row r="1203" spans="1:14" x14ac:dyDescent="0.25">
      <c r="A1203" s="6" t="s">
        <v>3049</v>
      </c>
      <c r="B1203" s="6">
        <v>7130</v>
      </c>
      <c r="C1203" s="6" t="s">
        <v>3050</v>
      </c>
      <c r="D1203" s="7" t="s">
        <v>2744</v>
      </c>
      <c r="E1203" s="6"/>
      <c r="F1203" s="6" t="s">
        <v>2973</v>
      </c>
      <c r="G1203" s="8">
        <v>45526</v>
      </c>
      <c r="H1203" s="6">
        <v>13.16</v>
      </c>
      <c r="I1203" s="6" cm="1">
        <f t="array" ref="I1203">IFERROR(VALUE(TRIM(LEFT(E1203,MIN(FIND({" ";"g";"k";"m";"o"},E1203&amp;" gkmo"))-1))),0)</f>
        <v>0</v>
      </c>
      <c r="J1203" s="6" t="str" cm="1">
        <f t="array" ref="J1203">IFERROR(TRIM(MID(E1203,MIN(FIND({" ";"g";"k";"m";"o"},E1203&amp;" gkmo")),10)),"unknown")</f>
        <v/>
      </c>
      <c r="K1203" s="6" t="str">
        <f t="shared" si="72"/>
        <v>unknown</v>
      </c>
      <c r="L1203" s="6" t="str">
        <f t="shared" si="73"/>
        <v>Walkers</v>
      </c>
      <c r="M1203" s="6" t="str">
        <f t="shared" si="74"/>
        <v>Lightly Salted</v>
      </c>
      <c r="N1203" s="6" t="str">
        <f t="shared" si="75"/>
        <v>Gb</v>
      </c>
    </row>
    <row r="1204" spans="1:14" x14ac:dyDescent="0.25">
      <c r="A1204" s="6" t="s">
        <v>3051</v>
      </c>
      <c r="B1204" s="6">
        <v>10583</v>
      </c>
      <c r="C1204" s="6" t="s">
        <v>3052</v>
      </c>
      <c r="D1204" s="7" t="s">
        <v>7017</v>
      </c>
      <c r="E1204" s="6" t="s">
        <v>10</v>
      </c>
      <c r="F1204" s="6" t="s">
        <v>177</v>
      </c>
      <c r="G1204" s="8">
        <v>45748</v>
      </c>
      <c r="H1204" s="6">
        <v>2.5</v>
      </c>
      <c r="I1204" s="6" cm="1">
        <f t="array" ref="I1204">IFERROR(VALUE(TRIM(LEFT(E1204,MIN(FIND({" ";"g";"k";"m";"o"},E1204&amp;" gkmo"))-1))),0)</f>
        <v>100</v>
      </c>
      <c r="J1204" s="6" t="str" cm="1">
        <f t="array" ref="J1204">IFERROR(TRIM(MID(E1204,MIN(FIND({" ";"g";"k";"m";"o"},E1204&amp;" gkmo")),10)),"unknown")</f>
        <v>g</v>
      </c>
      <c r="K1204" s="6" t="str">
        <f t="shared" si="72"/>
        <v>g</v>
      </c>
      <c r="L1204" s="6" t="str">
        <f t="shared" si="73"/>
        <v>Unknown</v>
      </c>
      <c r="M1204" s="6" t="str">
        <f t="shared" si="74"/>
        <v>Sea Salt Flavour Pea And Bean Sticks</v>
      </c>
      <c r="N1204" s="6" t="str">
        <f t="shared" si="75"/>
        <v>United Kingdom</v>
      </c>
    </row>
    <row r="1205" spans="1:14" x14ac:dyDescent="0.25">
      <c r="A1205" s="6" t="s">
        <v>3053</v>
      </c>
      <c r="B1205" s="6">
        <v>8563</v>
      </c>
      <c r="C1205" s="6" t="s">
        <v>3054</v>
      </c>
      <c r="D1205" s="7" t="s">
        <v>452</v>
      </c>
      <c r="E1205" s="6" t="s">
        <v>786</v>
      </c>
      <c r="F1205" s="6" t="s">
        <v>7595</v>
      </c>
      <c r="G1205" s="8">
        <v>46002</v>
      </c>
      <c r="H1205" s="6">
        <v>2.71</v>
      </c>
      <c r="I1205" s="6" cm="1">
        <f t="array" ref="I1205">IFERROR(VALUE(TRIM(LEFT(E1205,MIN(FIND({" ";"g";"k";"m";"o"},E1205&amp;" gkmo"))-1))),0)</f>
        <v>130</v>
      </c>
      <c r="J1205" s="6" t="str" cm="1">
        <f t="array" ref="J1205">IFERROR(TRIM(MID(E1205,MIN(FIND({" ";"g";"k";"m";"o"},E1205&amp;" gkmo")),10)),"unknown")</f>
        <v>g</v>
      </c>
      <c r="K1205" s="6" t="str">
        <f t="shared" si="72"/>
        <v>g</v>
      </c>
      <c r="L1205" s="6" t="str">
        <f t="shared" si="73"/>
        <v>Hacendado</v>
      </c>
      <c r="M1205" s="6" t="str">
        <f t="shared" si="74"/>
        <v>Patatas Fritas 0% Sal</v>
      </c>
      <c r="N1205" s="6" t="str">
        <f t="shared" si="75"/>
        <v>Espaà±A</v>
      </c>
    </row>
    <row r="1206" spans="1:14" x14ac:dyDescent="0.25">
      <c r="A1206" s="6" t="s">
        <v>3055</v>
      </c>
      <c r="B1206" s="6">
        <v>7824</v>
      </c>
      <c r="C1206" s="6" t="s">
        <v>3056</v>
      </c>
      <c r="D1206" s="7" t="s">
        <v>3057</v>
      </c>
      <c r="E1206" s="6" t="s">
        <v>138</v>
      </c>
      <c r="F1206" s="6" t="s">
        <v>139</v>
      </c>
      <c r="G1206" s="8">
        <v>45652</v>
      </c>
      <c r="H1206" s="6">
        <v>6.02</v>
      </c>
      <c r="I1206" s="6" cm="1">
        <f t="array" ref="I1206">IFERROR(VALUE(TRIM(LEFT(E1206,MIN(FIND({" ";"g";"k";"m";"o"},E1206&amp;" gkmo"))-1))),0)</f>
        <v>400</v>
      </c>
      <c r="J1206" s="6" t="str" cm="1">
        <f t="array" ref="J1206">IFERROR(TRIM(MID(E1206,MIN(FIND({" ";"g";"k";"m";"o"},E1206&amp;" gkmo")),10)),"unknown")</f>
        <v>g</v>
      </c>
      <c r="K1206" s="6" t="str">
        <f t="shared" si="72"/>
        <v>g</v>
      </c>
      <c r="L1206" s="6" t="str">
        <f t="shared" si="73"/>
        <v>Maitre Jeanpierre</v>
      </c>
      <c r="M1206" s="6" t="str">
        <f t="shared" si="74"/>
        <v>10 Pains Au Lait</v>
      </c>
      <c r="N1206" s="6" t="str">
        <f t="shared" si="75"/>
        <v>France</v>
      </c>
    </row>
    <row r="1207" spans="1:14" x14ac:dyDescent="0.25">
      <c r="A1207" s="6" t="s">
        <v>3058</v>
      </c>
      <c r="B1207" s="6">
        <v>6163</v>
      </c>
      <c r="C1207" s="6" t="s">
        <v>2330</v>
      </c>
      <c r="D1207" s="7" t="s">
        <v>2331</v>
      </c>
      <c r="E1207" s="6" t="s">
        <v>3059</v>
      </c>
      <c r="F1207" s="6" t="s">
        <v>2333</v>
      </c>
      <c r="G1207" s="8">
        <v>45390</v>
      </c>
      <c r="H1207" s="6">
        <v>4.7300000000000004</v>
      </c>
      <c r="I1207" s="6" cm="1">
        <f t="array" ref="I1207">IFERROR(VALUE(TRIM(LEFT(E1207,MIN(FIND({" ";"g";"k";"m";"o"},E1207&amp;" gkmo"))-1))),0)</f>
        <v>12.5</v>
      </c>
      <c r="J1207" s="6" t="str" cm="1">
        <f t="array" ref="J1207">IFERROR(TRIM(MID(E1207,MIN(FIND({" ";"g";"k";"m";"o"},E1207&amp;" gkmo")),10)),"unknown")</f>
        <v>OZ (354 g</v>
      </c>
      <c r="K1207" s="6" t="str">
        <f t="shared" si="72"/>
        <v>g</v>
      </c>
      <c r="L1207" s="6" t="str">
        <f t="shared" si="73"/>
        <v>Triscuit</v>
      </c>
      <c r="M1207" s="6" t="str">
        <f t="shared" si="74"/>
        <v>Original Made With Sea Salt</v>
      </c>
      <c r="N1207" s="6" t="str">
        <f t="shared" si="75"/>
        <v>France,United States, World</v>
      </c>
    </row>
    <row r="1208" spans="1:14" x14ac:dyDescent="0.25">
      <c r="A1208" s="6" t="s">
        <v>3060</v>
      </c>
      <c r="B1208" s="6">
        <v>6226</v>
      </c>
      <c r="C1208" s="6" t="s">
        <v>3061</v>
      </c>
      <c r="D1208" s="7" t="s">
        <v>3062</v>
      </c>
      <c r="E1208" s="6" t="s">
        <v>3063</v>
      </c>
      <c r="F1208" s="6" t="s">
        <v>2333</v>
      </c>
      <c r="G1208" s="8">
        <v>45513</v>
      </c>
      <c r="H1208" s="6">
        <v>13.16</v>
      </c>
      <c r="I1208" s="6" cm="1">
        <f t="array" ref="I1208">IFERROR(VALUE(TRIM(LEFT(E1208,MIN(FIND({" ";"g";"k";"m";"o"},E1208&amp;" gkmo"))-1))),0)</f>
        <v>57</v>
      </c>
      <c r="J1208" s="6" t="str" cm="1">
        <f t="array" ref="J1208">IFERROR(TRIM(MID(E1208,MIN(FIND({" ";"g";"k";"m";"o"},E1208&amp;" gkmo")),10)),"unknown")</f>
        <v>g</v>
      </c>
      <c r="K1208" s="6" t="str">
        <f t="shared" si="72"/>
        <v>g</v>
      </c>
      <c r="L1208" s="6" t="str">
        <f t="shared" si="73"/>
        <v>Nature'S Bakery</v>
      </c>
      <c r="M1208" s="6" t="str">
        <f t="shared" si="74"/>
        <v>Fig Bar Raspberry</v>
      </c>
      <c r="N1208" s="6" t="str">
        <f t="shared" si="75"/>
        <v>France,United States, World</v>
      </c>
    </row>
    <row r="1209" spans="1:14" x14ac:dyDescent="0.25">
      <c r="A1209" s="6" t="s">
        <v>3064</v>
      </c>
      <c r="B1209" s="6">
        <v>6761</v>
      </c>
      <c r="C1209" s="6" t="s">
        <v>3065</v>
      </c>
      <c r="D1209" s="7" t="s">
        <v>633</v>
      </c>
      <c r="E1209" s="6" t="s">
        <v>621</v>
      </c>
      <c r="F1209" s="6" t="s">
        <v>7923</v>
      </c>
      <c r="G1209" s="8">
        <v>45675</v>
      </c>
      <c r="H1209" s="6">
        <v>12.98</v>
      </c>
      <c r="I1209" s="6" cm="1">
        <f t="array" ref="I1209">IFERROR(VALUE(TRIM(LEFT(E1209,MIN(FIND({" ";"g";"k";"m";"o"},E1209&amp;" gkmo"))-1))),0)</f>
        <v>160</v>
      </c>
      <c r="J1209" s="6" t="str" cm="1">
        <f t="array" ref="J1209">IFERROR(TRIM(MID(E1209,MIN(FIND({" ";"g";"k";"m";"o"},E1209&amp;" gkmo")),10)),"unknown")</f>
        <v>g</v>
      </c>
      <c r="K1209" s="6" t="str">
        <f t="shared" si="72"/>
        <v>g</v>
      </c>
      <c r="L1209" s="6" t="str">
        <f t="shared" si="73"/>
        <v>Nairn'S</v>
      </c>
      <c r="M1209" s="6" t="str">
        <f t="shared" si="74"/>
        <v>Fruit Oat Biscuit Breaks</v>
      </c>
      <c r="N1209" s="6" t="str">
        <f t="shared" si="75"/>
        <v>France, United Kingdom, Ireland</v>
      </c>
    </row>
    <row r="1210" spans="1:14" x14ac:dyDescent="0.25">
      <c r="A1210" s="6" t="s">
        <v>3066</v>
      </c>
      <c r="B1210" s="6">
        <v>8701</v>
      </c>
      <c r="C1210" s="6" t="s">
        <v>3067</v>
      </c>
      <c r="D1210" s="7" t="s">
        <v>3068</v>
      </c>
      <c r="E1210" s="6" t="s">
        <v>3069</v>
      </c>
      <c r="F1210" s="6" t="s">
        <v>8042</v>
      </c>
      <c r="G1210" s="8">
        <v>45595</v>
      </c>
      <c r="H1210" s="6">
        <v>20.58</v>
      </c>
      <c r="I1210" s="6" cm="1">
        <f t="array" ref="I1210">IFERROR(VALUE(TRIM(LEFT(E1210,MIN(FIND({" ";"g";"k";"m";"o"},E1210&amp;" gkmo"))-1))),0)</f>
        <v>3.2</v>
      </c>
      <c r="J1210" s="6" t="str" cm="1">
        <f t="array" ref="J1210">IFERROR(TRIM(MID(E1210,MIN(FIND({" ";"g";"k";"m";"o"},E1210&amp;" gkmo")),10)),"unknown")</f>
        <v>g</v>
      </c>
      <c r="K1210" s="6" t="str">
        <f t="shared" si="72"/>
        <v>g</v>
      </c>
      <c r="L1210" s="6" t="str">
        <f t="shared" si="73"/>
        <v>Chocolove</v>
      </c>
      <c r="M1210" s="6" t="str">
        <f t="shared" si="74"/>
        <v>Ginger Crystallized In Dark Chocolate</v>
      </c>
      <c r="N1210" s="6" t="str">
        <f t="shared" si="75"/>
        <v>United States, World, India</v>
      </c>
    </row>
    <row r="1211" spans="1:14" x14ac:dyDescent="0.25">
      <c r="A1211" s="6" t="s">
        <v>3070</v>
      </c>
      <c r="B1211" s="6">
        <v>6590</v>
      </c>
      <c r="C1211" s="6" t="s">
        <v>7478</v>
      </c>
      <c r="D1211" s="7" t="s">
        <v>961</v>
      </c>
      <c r="E1211" s="6" t="s">
        <v>138</v>
      </c>
      <c r="F1211" s="6" t="s">
        <v>1092</v>
      </c>
      <c r="G1211" s="8">
        <v>45431</v>
      </c>
      <c r="H1211" s="6">
        <v>3.14</v>
      </c>
      <c r="I1211" s="6" cm="1">
        <f t="array" ref="I1211">IFERROR(VALUE(TRIM(LEFT(E1211,MIN(FIND({" ";"g";"k";"m";"o"},E1211&amp;" gkmo"))-1))),0)</f>
        <v>400</v>
      </c>
      <c r="J1211" s="6" t="str" cm="1">
        <f t="array" ref="J1211">IFERROR(TRIM(MID(E1211,MIN(FIND({" ";"g";"k";"m";"o"},E1211&amp;" gkmo")),10)),"unknown")</f>
        <v>g</v>
      </c>
      <c r="K1211" s="6" t="str">
        <f t="shared" si="72"/>
        <v>g</v>
      </c>
      <c r="L1211" s="6" t="str">
        <f t="shared" si="73"/>
        <v>Sondey</v>
      </c>
      <c r="M1211" s="6" t="str">
        <f t="shared" si="74"/>
        <v>Envitas Céréales Complètes Et Pépites De Chocolat</v>
      </c>
      <c r="N1211" s="6" t="str">
        <f t="shared" si="75"/>
        <v>Frankrijk</v>
      </c>
    </row>
    <row r="1212" spans="1:14" x14ac:dyDescent="0.25">
      <c r="A1212" s="6" t="s">
        <v>3071</v>
      </c>
      <c r="B1212" s="6">
        <v>9651</v>
      </c>
      <c r="C1212" s="6" t="s">
        <v>3072</v>
      </c>
      <c r="D1212" s="7" t="s">
        <v>1277</v>
      </c>
      <c r="E1212" s="6" t="s">
        <v>1977</v>
      </c>
      <c r="F1212" s="6" t="s">
        <v>177</v>
      </c>
      <c r="G1212" s="8">
        <v>45327</v>
      </c>
      <c r="H1212" s="6">
        <v>13.16</v>
      </c>
      <c r="I1212" s="6" cm="1">
        <f t="array" ref="I1212">IFERROR(VALUE(TRIM(LEFT(E1212,MIN(FIND({" ";"g";"k";"m";"o"},E1212&amp;" gkmo"))-1))),0)</f>
        <v>170</v>
      </c>
      <c r="J1212" s="6" t="str" cm="1">
        <f t="array" ref="J1212">IFERROR(TRIM(MID(E1212,MIN(FIND({" ";"g";"k";"m";"o"},E1212&amp;" gkmo")),10)),"unknown")</f>
        <v>g</v>
      </c>
      <c r="K1212" s="6" t="str">
        <f t="shared" si="72"/>
        <v>g</v>
      </c>
      <c r="L1212" s="6" t="str">
        <f t="shared" si="73"/>
        <v>Deluxe</v>
      </c>
      <c r="M1212" s="6" t="str">
        <f t="shared" si="74"/>
        <v>Rosemary Crackers</v>
      </c>
      <c r="N1212" s="6" t="str">
        <f t="shared" si="75"/>
        <v>United Kingdom</v>
      </c>
    </row>
    <row r="1213" spans="1:14" x14ac:dyDescent="0.25">
      <c r="A1213" s="6" t="s">
        <v>3073</v>
      </c>
      <c r="B1213" s="6">
        <v>14606</v>
      </c>
      <c r="C1213" s="6" t="s">
        <v>3074</v>
      </c>
      <c r="D1213" s="7" t="s">
        <v>7209</v>
      </c>
      <c r="E1213" s="6" t="s">
        <v>335</v>
      </c>
      <c r="F1213" s="6" t="s">
        <v>139</v>
      </c>
      <c r="G1213" s="8">
        <v>45922</v>
      </c>
      <c r="H1213" s="6">
        <v>20.239999999999998</v>
      </c>
      <c r="I1213" s="6" cm="1">
        <f t="array" ref="I1213">IFERROR(VALUE(TRIM(LEFT(E1213,MIN(FIND({" ";"g";"k";"m";"o"},E1213&amp;" gkmo"))-1))),0)</f>
        <v>250</v>
      </c>
      <c r="J1213" s="6" t="str" cm="1">
        <f t="array" ref="J1213">IFERROR(TRIM(MID(E1213,MIN(FIND({" ";"g";"k";"m";"o"},E1213&amp;" gkmo")),10)),"unknown")</f>
        <v>g</v>
      </c>
      <c r="K1213" s="6" t="str">
        <f t="shared" si="72"/>
        <v>g</v>
      </c>
      <c r="L1213" s="6" t="str">
        <f t="shared" si="73"/>
        <v>Nestlé, Kit Kat Ball, Kitkat</v>
      </c>
      <c r="M1213" s="6" t="str">
        <f t="shared" si="74"/>
        <v>Kitkat Ball, Billes Au Chocolat Au Lait, 250G</v>
      </c>
      <c r="N1213" s="6" t="str">
        <f t="shared" si="75"/>
        <v>France</v>
      </c>
    </row>
    <row r="1214" spans="1:14" x14ac:dyDescent="0.25">
      <c r="A1214" s="6" t="s">
        <v>3075</v>
      </c>
      <c r="B1214" s="6">
        <v>10699</v>
      </c>
      <c r="C1214" s="6" t="s">
        <v>3076</v>
      </c>
      <c r="D1214" s="7" t="s">
        <v>3077</v>
      </c>
      <c r="E1214" s="6" t="s">
        <v>10</v>
      </c>
      <c r="F1214" s="6" t="s">
        <v>139</v>
      </c>
      <c r="G1214" s="8">
        <v>45908</v>
      </c>
      <c r="H1214" s="6">
        <v>23.09</v>
      </c>
      <c r="I1214" s="6" cm="1">
        <f t="array" ref="I1214">IFERROR(VALUE(TRIM(LEFT(E1214,MIN(FIND({" ";"g";"k";"m";"o"},E1214&amp;" gkmo"))-1))),0)</f>
        <v>100</v>
      </c>
      <c r="J1214" s="6" t="str" cm="1">
        <f t="array" ref="J1214">IFERROR(TRIM(MID(E1214,MIN(FIND({" ";"g";"k";"m";"o"},E1214&amp;" gkmo")),10)),"unknown")</f>
        <v>g</v>
      </c>
      <c r="K1214" s="6" t="str">
        <f t="shared" si="72"/>
        <v>g</v>
      </c>
      <c r="L1214" s="6" t="str">
        <f t="shared" si="73"/>
        <v>Tanoshi</v>
      </c>
      <c r="M1214" s="6" t="str">
        <f t="shared" si="74"/>
        <v>Pois Wasabi</v>
      </c>
      <c r="N1214" s="6" t="str">
        <f t="shared" si="75"/>
        <v>France</v>
      </c>
    </row>
    <row r="1215" spans="1:14" x14ac:dyDescent="0.25">
      <c r="A1215" s="6" t="s">
        <v>3078</v>
      </c>
      <c r="B1215" s="6">
        <v>11988</v>
      </c>
      <c r="C1215" s="6" t="s">
        <v>3079</v>
      </c>
      <c r="D1215" s="7" t="s">
        <v>72</v>
      </c>
      <c r="E1215" s="6" t="s">
        <v>151</v>
      </c>
      <c r="F1215" s="6" t="s">
        <v>139</v>
      </c>
      <c r="G1215" s="8">
        <v>45651</v>
      </c>
      <c r="H1215" s="6">
        <v>13.16</v>
      </c>
      <c r="I1215" s="6" cm="1">
        <f t="array" ref="I1215">IFERROR(VALUE(TRIM(LEFT(E1215,MIN(FIND({" ";"g";"k";"m";"o"},E1215&amp;" gkmo"))-1))),0)</f>
        <v>200</v>
      </c>
      <c r="J1215" s="6" t="str" cm="1">
        <f t="array" ref="J1215">IFERROR(TRIM(MID(E1215,MIN(FIND({" ";"g";"k";"m";"o"},E1215&amp;" gkmo")),10)),"unknown")</f>
        <v>g</v>
      </c>
      <c r="K1215" s="6" t="str">
        <f t="shared" si="72"/>
        <v>g</v>
      </c>
      <c r="L1215" s="6" t="str">
        <f t="shared" si="73"/>
        <v>Bjorg</v>
      </c>
      <c r="M1215" s="6" t="str">
        <f t="shared" si="74"/>
        <v>Lunettes Fraise</v>
      </c>
      <c r="N1215" s="6" t="str">
        <f t="shared" si="75"/>
        <v>France</v>
      </c>
    </row>
    <row r="1216" spans="1:14" x14ac:dyDescent="0.25">
      <c r="A1216" s="6" t="s">
        <v>3080</v>
      </c>
      <c r="B1216" s="6">
        <v>10072</v>
      </c>
      <c r="C1216" s="6" t="s">
        <v>3081</v>
      </c>
      <c r="D1216" s="7" t="s">
        <v>2199</v>
      </c>
      <c r="E1216" s="6" t="s">
        <v>151</v>
      </c>
      <c r="F1216" s="6" t="s">
        <v>139</v>
      </c>
      <c r="G1216" s="8">
        <v>45723</v>
      </c>
      <c r="H1216" s="6">
        <v>17.239999999999998</v>
      </c>
      <c r="I1216" s="6" cm="1">
        <f t="array" ref="I1216">IFERROR(VALUE(TRIM(LEFT(E1216,MIN(FIND({" ";"g";"k";"m";"o"},E1216&amp;" gkmo"))-1))),0)</f>
        <v>200</v>
      </c>
      <c r="J1216" s="6" t="str" cm="1">
        <f t="array" ref="J1216">IFERROR(TRIM(MID(E1216,MIN(FIND({" ";"g";"k";"m";"o"},E1216&amp;" gkmo")),10)),"unknown")</f>
        <v>g</v>
      </c>
      <c r="K1216" s="6" t="str">
        <f t="shared" si="72"/>
        <v>g</v>
      </c>
      <c r="L1216" s="6" t="str">
        <f t="shared" si="73"/>
        <v>U, U Bio</v>
      </c>
      <c r="M1216" s="6" t="str">
        <f t="shared" si="74"/>
        <v>Crackers Bio Emmental Et Graines De Courge Paquet De 200G</v>
      </c>
      <c r="N1216" s="6" t="str">
        <f t="shared" si="75"/>
        <v>France</v>
      </c>
    </row>
    <row r="1217" spans="1:14" x14ac:dyDescent="0.25">
      <c r="A1217" s="6" t="s">
        <v>3082</v>
      </c>
      <c r="B1217" s="6">
        <v>8017</v>
      </c>
      <c r="C1217" s="6" t="s">
        <v>7210</v>
      </c>
      <c r="D1217" s="7" t="s">
        <v>3083</v>
      </c>
      <c r="E1217" s="6" t="s">
        <v>39</v>
      </c>
      <c r="F1217" s="6" t="s">
        <v>1181</v>
      </c>
      <c r="G1217" s="8">
        <v>45643</v>
      </c>
      <c r="H1217" s="6">
        <v>17.37</v>
      </c>
      <c r="I1217" s="6" cm="1">
        <f t="array" ref="I1217">IFERROR(VALUE(TRIM(LEFT(E1217,MIN(FIND({" ";"g";"k";"m";"o"},E1217&amp;" gkmo"))-1))),0)</f>
        <v>150</v>
      </c>
      <c r="J1217" s="6" t="str" cm="1">
        <f t="array" ref="J1217">IFERROR(TRIM(MID(E1217,MIN(FIND({" ";"g";"k";"m";"o"},E1217&amp;" gkmo")),10)),"unknown")</f>
        <v>g</v>
      </c>
      <c r="K1217" s="6" t="str">
        <f t="shared" si="72"/>
        <v>g</v>
      </c>
      <c r="L1217" s="6" t="str">
        <f t="shared" si="73"/>
        <v>Le Pain Des Fleurs, Ekibio</v>
      </c>
      <c r="M1217" s="6" t="str">
        <f t="shared" si="74"/>
        <v>Tartines Bio Craquantes Multi-Céréales Sans Gluten</v>
      </c>
      <c r="N1217" s="6" t="str">
        <f t="shared" si="75"/>
        <v>France,Switzerland</v>
      </c>
    </row>
    <row r="1218" spans="1:14" x14ac:dyDescent="0.25">
      <c r="A1218" s="6" t="s">
        <v>3084</v>
      </c>
      <c r="B1218" s="6">
        <v>11738</v>
      </c>
      <c r="C1218" s="6" t="s">
        <v>7896</v>
      </c>
      <c r="D1218" s="7" t="s">
        <v>1551</v>
      </c>
      <c r="E1218" s="6" t="s">
        <v>39</v>
      </c>
      <c r="F1218" s="6" t="s">
        <v>139</v>
      </c>
      <c r="G1218" s="8">
        <v>45592</v>
      </c>
      <c r="H1218" s="6">
        <v>12.69</v>
      </c>
      <c r="I1218" s="6" cm="1">
        <f t="array" ref="I1218">IFERROR(VALUE(TRIM(LEFT(E1218,MIN(FIND({" ";"g";"k";"m";"o"},E1218&amp;" gkmo"))-1))),0)</f>
        <v>150</v>
      </c>
      <c r="J1218" s="6" t="str" cm="1">
        <f t="array" ref="J1218">IFERROR(TRIM(MID(E1218,MIN(FIND({" ";"g";"k";"m";"o"},E1218&amp;" gkmo")),10)),"unknown")</f>
        <v>g</v>
      </c>
      <c r="K1218" s="6" t="str">
        <f t="shared" si="72"/>
        <v>g</v>
      </c>
      <c r="L1218" s="6" t="str">
        <f t="shared" si="73"/>
        <v>Biocoop</v>
      </c>
      <c r="M1218" s="6" t="str">
        <f t="shared" si="74"/>
        <v>Galettes Aux Flocons D'Avoine Fourrées Chocolat Noir</v>
      </c>
      <c r="N1218" s="6" t="str">
        <f t="shared" si="75"/>
        <v>France</v>
      </c>
    </row>
    <row r="1219" spans="1:14" x14ac:dyDescent="0.25">
      <c r="A1219" s="6" t="s">
        <v>3085</v>
      </c>
      <c r="B1219" s="6">
        <v>7159</v>
      </c>
      <c r="C1219" s="6" t="s">
        <v>7211</v>
      </c>
      <c r="D1219" s="7" t="s">
        <v>150</v>
      </c>
      <c r="E1219" s="6" t="s">
        <v>64</v>
      </c>
      <c r="F1219" s="6" t="s">
        <v>2519</v>
      </c>
      <c r="G1219" s="8">
        <v>45652</v>
      </c>
      <c r="H1219" s="6">
        <v>17</v>
      </c>
      <c r="I1219" s="6" cm="1">
        <f t="array" ref="I1219">IFERROR(VALUE(TRIM(LEFT(E1219,MIN(FIND({" ";"g";"k";"m";"o"},E1219&amp;" gkmo"))-1))),0)</f>
        <v>150</v>
      </c>
      <c r="J1219" s="6" t="str" cm="1">
        <f t="array" ref="J1219">IFERROR(TRIM(MID(E1219,MIN(FIND({" ";"g";"k";"m";"o"},E1219&amp;" gkmo")),10)),"unknown")</f>
        <v>g</v>
      </c>
      <c r="K1219" s="6" t="str">
        <f t="shared" ref="K1219:K1282" si="76">IF(E1219="","unknown",IF(OR(J1219="g",LEFT(J1219,1)="g"),"g",IF(OR(LEFT(J1219,2)="kg",LEFT(J1219,2)="ki"),"kg",IF(OR(LEFT(J1219,2)="ml",LEFT(J1219,1)="m"),"ml",IF(LEFT(J1219,1)="l","l",IF(ISNUMBER(SEARCH("g",E1219)),"g",IF(ISNUMBER(SEARCH("kg",E1219)),"kg",IF(ISNUMBER(SEARCH("ml",E1219)),"ml","unknown"))))))))</f>
        <v>g</v>
      </c>
      <c r="L1219" s="6" t="str">
        <f t="shared" ref="L1219:L1282" si="77">IF(D1219="","Unknown",PROPER(TRIM(D1219)))</f>
        <v>Alesto</v>
      </c>
      <c r="M1219" s="6" t="str">
        <f t="shared" ref="M1219:M1282" si="78">IF(C1219="Unknown","Unknown",PROPER(TRIM(C1219)))</f>
        <v>Mix Énergie</v>
      </c>
      <c r="N1219" s="6" t="str">
        <f t="shared" ref="N1219:N1282" si="79">IF(F1219="","Unknown",PROPER(TRIM(F1219)))</f>
        <v>Frankrijk,Duitsland</v>
      </c>
    </row>
    <row r="1220" spans="1:14" x14ac:dyDescent="0.25">
      <c r="A1220" s="6" t="s">
        <v>3086</v>
      </c>
      <c r="B1220" s="6">
        <v>13082</v>
      </c>
      <c r="C1220" s="6" t="s">
        <v>3087</v>
      </c>
      <c r="D1220" s="7" t="s">
        <v>7706</v>
      </c>
      <c r="E1220" s="6" t="s">
        <v>10</v>
      </c>
      <c r="F1220" s="6" t="s">
        <v>213</v>
      </c>
      <c r="G1220" s="8">
        <v>45619</v>
      </c>
      <c r="H1220" s="6">
        <v>7.2</v>
      </c>
      <c r="I1220" s="6" cm="1">
        <f t="array" ref="I1220">IFERROR(VALUE(TRIM(LEFT(E1220,MIN(FIND({" ";"g";"k";"m";"o"},E1220&amp;" gkmo"))-1))),0)</f>
        <v>100</v>
      </c>
      <c r="J1220" s="6" t="str" cm="1">
        <f t="array" ref="J1220">IFERROR(TRIM(MID(E1220,MIN(FIND({" ";"g";"k";"m";"o"},E1220&amp;" gkmo")),10)),"unknown")</f>
        <v>g</v>
      </c>
      <c r="K1220" s="6" t="str">
        <f t="shared" si="76"/>
        <v>g</v>
      </c>
      <c r="L1220" s="6" t="str">
        <f t="shared" si="77"/>
        <v>Cà´Te D'Or,Fraft Foods</v>
      </c>
      <c r="M1220" s="6" t="str">
        <f t="shared" si="78"/>
        <v>100G Cote D'Or Noir Original</v>
      </c>
      <c r="N1220" s="6" t="str">
        <f t="shared" si="79"/>
        <v>Belgium,France</v>
      </c>
    </row>
    <row r="1221" spans="1:14" x14ac:dyDescent="0.25">
      <c r="A1221" s="6" t="s">
        <v>3088</v>
      </c>
      <c r="B1221" s="6">
        <v>5068</v>
      </c>
      <c r="C1221" s="6" t="s">
        <v>3089</v>
      </c>
      <c r="D1221" s="7" t="s">
        <v>3090</v>
      </c>
      <c r="E1221" s="6" t="s">
        <v>73</v>
      </c>
      <c r="F1221" s="6" t="s">
        <v>8449</v>
      </c>
      <c r="G1221" s="8">
        <v>45816</v>
      </c>
      <c r="H1221" s="6">
        <v>13.94</v>
      </c>
      <c r="I1221" s="6" cm="1">
        <f t="array" ref="I1221">IFERROR(VALUE(TRIM(LEFT(E1221,MIN(FIND({" ";"g";"k";"m";"o"},E1221&amp;" gkmo"))-1))),0)</f>
        <v>225</v>
      </c>
      <c r="J1221" s="6" t="str" cm="1">
        <f t="array" ref="J1221">IFERROR(TRIM(MID(E1221,MIN(FIND({" ";"g";"k";"m";"o"},E1221&amp;" gkmo")),10)),"unknown")</f>
        <v>g</v>
      </c>
      <c r="K1221" s="6" t="str">
        <f t="shared" si="76"/>
        <v>g</v>
      </c>
      <c r="L1221" s="6" t="str">
        <f t="shared" si="77"/>
        <v>Lotus, Lotus Bakeries</v>
      </c>
      <c r="M1221" s="6" t="str">
        <f t="shared" si="78"/>
        <v>Lotus Dinosaurus Original Chocolat Lait 225G (4X3P)</v>
      </c>
      <c r="N1221" s="6" t="str">
        <f t="shared" si="79"/>
        <v>France,La Reunion</v>
      </c>
    </row>
    <row r="1222" spans="1:14" x14ac:dyDescent="0.25">
      <c r="A1222" s="6" t="s">
        <v>3091</v>
      </c>
      <c r="B1222" s="6">
        <v>14614</v>
      </c>
      <c r="C1222" s="6" t="s">
        <v>722</v>
      </c>
      <c r="D1222" s="7" t="s">
        <v>1084</v>
      </c>
      <c r="E1222" s="6" t="s">
        <v>2311</v>
      </c>
      <c r="F1222" s="6" t="s">
        <v>3092</v>
      </c>
      <c r="G1222" s="8">
        <v>45828</v>
      </c>
      <c r="H1222" s="6">
        <v>15.51</v>
      </c>
      <c r="I1222" s="6" cm="1">
        <f t="array" ref="I1222">IFERROR(VALUE(TRIM(LEFT(E1222,MIN(FIND({" ";"g";"k";"m";"o"},E1222&amp;" gkmo"))-1))),0)</f>
        <v>186</v>
      </c>
      <c r="J1222" s="6" t="str" cm="1">
        <f t="array" ref="J1222">IFERROR(TRIM(MID(E1222,MIN(FIND({" ";"g";"k";"m";"o"},E1222&amp;" gkmo")),10)),"unknown")</f>
        <v>g</v>
      </c>
      <c r="K1222" s="6" t="str">
        <f t="shared" si="76"/>
        <v>g</v>
      </c>
      <c r="L1222" s="6" t="str">
        <f t="shared" si="77"/>
        <v>Lotus</v>
      </c>
      <c r="M1222" s="6" t="str">
        <f t="shared" si="78"/>
        <v>Biscoff</v>
      </c>
      <c r="N1222" s="6" t="str">
        <f t="shared" si="79"/>
        <v>Czech Republic,France,Italy,Spain,Switzerland,United Kingdom</v>
      </c>
    </row>
    <row r="1223" spans="1:14" x14ac:dyDescent="0.25">
      <c r="A1223" s="6" t="s">
        <v>3093</v>
      </c>
      <c r="B1223" s="6">
        <v>13083</v>
      </c>
      <c r="C1223" s="6" t="s">
        <v>3094</v>
      </c>
      <c r="D1223" s="7" t="s">
        <v>7017</v>
      </c>
      <c r="E1223" s="6"/>
      <c r="F1223" s="6" t="s">
        <v>8360</v>
      </c>
      <c r="G1223" s="8">
        <v>45917</v>
      </c>
      <c r="H1223" s="6">
        <v>6.67</v>
      </c>
      <c r="I1223" s="6" cm="1">
        <f t="array" ref="I1223">IFERROR(VALUE(TRIM(LEFT(E1223,MIN(FIND({" ";"g";"k";"m";"o"},E1223&amp;" gkmo"))-1))),0)</f>
        <v>0</v>
      </c>
      <c r="J1223" s="6" t="str" cm="1">
        <f t="array" ref="J1223">IFERROR(TRIM(MID(E1223,MIN(FIND({" ";"g";"k";"m";"o"},E1223&amp;" gkmo")),10)),"unknown")</f>
        <v/>
      </c>
      <c r="K1223" s="6" t="str">
        <f t="shared" si="76"/>
        <v>unknown</v>
      </c>
      <c r="L1223" s="6" t="str">
        <f t="shared" si="77"/>
        <v>Unknown</v>
      </c>
      <c r="M1223" s="6" t="str">
        <f t="shared" si="78"/>
        <v>Toblerone White</v>
      </c>
      <c r="N1223" s="6" t="str">
        <f t="shared" si="79"/>
        <v>Bolivia, France, Germany, Morocco, Switzerland</v>
      </c>
    </row>
    <row r="1224" spans="1:14" x14ac:dyDescent="0.25">
      <c r="A1224" s="6" t="s">
        <v>3095</v>
      </c>
      <c r="B1224" s="6">
        <v>10975</v>
      </c>
      <c r="C1224" s="6" t="s">
        <v>3096</v>
      </c>
      <c r="D1224" s="7" t="s">
        <v>3097</v>
      </c>
      <c r="E1224" s="6" t="s">
        <v>840</v>
      </c>
      <c r="F1224" s="6" t="s">
        <v>8323</v>
      </c>
      <c r="G1224" s="8">
        <v>45431</v>
      </c>
      <c r="H1224" s="6">
        <v>9.39</v>
      </c>
      <c r="I1224" s="6" cm="1">
        <f t="array" ref="I1224">IFERROR(VALUE(TRIM(LEFT(E1224,MIN(FIND({" ";"g";"k";"m";"o"},E1224&amp;" gkmo"))-1))),0)</f>
        <v>175</v>
      </c>
      <c r="J1224" s="6" t="str" cm="1">
        <f t="array" ref="J1224">IFERROR(TRIM(MID(E1224,MIN(FIND({" ";"g";"k";"m";"o"},E1224&amp;" gkmo")),10)),"unknown")</f>
        <v>g</v>
      </c>
      <c r="K1224" s="6" t="str">
        <f t="shared" si="76"/>
        <v>g</v>
      </c>
      <c r="L1224" s="6" t="str">
        <f t="shared" si="77"/>
        <v>Milka</v>
      </c>
      <c r="M1224" s="6" t="str">
        <f t="shared" si="78"/>
        <v>Milka Choc &amp; Choc</v>
      </c>
      <c r="N1224" s="6" t="str">
        <f t="shared" si="79"/>
        <v>Belgium,France,Germany,Espaà±A</v>
      </c>
    </row>
    <row r="1225" spans="1:14" x14ac:dyDescent="0.25">
      <c r="A1225" s="6" t="s">
        <v>3098</v>
      </c>
      <c r="B1225" s="6">
        <v>14898</v>
      </c>
      <c r="C1225" s="6" t="s">
        <v>3099</v>
      </c>
      <c r="D1225" s="7" t="s">
        <v>2050</v>
      </c>
      <c r="E1225" s="6" t="s">
        <v>185</v>
      </c>
      <c r="F1225" s="6" t="s">
        <v>8267</v>
      </c>
      <c r="G1225" s="8">
        <v>45788</v>
      </c>
      <c r="H1225" s="6">
        <v>11.25</v>
      </c>
      <c r="I1225" s="6" cm="1">
        <f t="array" ref="I1225">IFERROR(VALUE(TRIM(LEFT(E1225,MIN(FIND({" ";"g";"k";"m";"o"},E1225&amp;" gkmo"))-1))),0)</f>
        <v>270</v>
      </c>
      <c r="J1225" s="6" t="str" cm="1">
        <f t="array" ref="J1225">IFERROR(TRIM(MID(E1225,MIN(FIND({" ";"g";"k";"m";"o"},E1225&amp;" gkmo")),10)),"unknown")</f>
        <v>g</v>
      </c>
      <c r="K1225" s="6" t="str">
        <f t="shared" si="76"/>
        <v>g</v>
      </c>
      <c r="L1225" s="6" t="str">
        <f t="shared" si="77"/>
        <v>Milka,Mondelez</v>
      </c>
      <c r="M1225" s="6" t="str">
        <f t="shared" si="78"/>
        <v>Alpine Milk</v>
      </c>
      <c r="N1225" s="6" t="str">
        <f t="shared" si="79"/>
        <v>Austria,France,Germany,Portugal,Espaà±A</v>
      </c>
    </row>
    <row r="1226" spans="1:14" x14ac:dyDescent="0.25">
      <c r="A1226" s="6" t="s">
        <v>3100</v>
      </c>
      <c r="B1226" s="6">
        <v>13799</v>
      </c>
      <c r="C1226" s="6" t="s">
        <v>3101</v>
      </c>
      <c r="D1226" s="7" t="s">
        <v>3102</v>
      </c>
      <c r="E1226" s="6" t="s">
        <v>3103</v>
      </c>
      <c r="F1226" s="6" t="s">
        <v>8236</v>
      </c>
      <c r="G1226" s="8">
        <v>45803</v>
      </c>
      <c r="H1226" s="6">
        <v>13.52</v>
      </c>
      <c r="I1226" s="6" cm="1">
        <f t="array" ref="I1226">IFERROR(VALUE(TRIM(LEFT(E1226,MIN(FIND({" ";"g";"k";"m";"o"},E1226&amp;" gkmo"))-1))),0)</f>
        <v>160</v>
      </c>
      <c r="J1226" s="6" t="str" cm="1">
        <f t="array" ref="J1226">IFERROR(TRIM(MID(E1226,MIN(FIND({" ";"g";"k";"m";"o"},E1226&amp;" gkmo")),10)),"unknown")</f>
        <v>g (4 x 40</v>
      </c>
      <c r="K1226" s="6" t="str">
        <f t="shared" si="76"/>
        <v>g</v>
      </c>
      <c r="L1226" s="6" t="str">
        <f t="shared" si="77"/>
        <v>Oreo,Mondelez</v>
      </c>
      <c r="M1226" s="6" t="str">
        <f t="shared" si="78"/>
        <v>Mini Oreo</v>
      </c>
      <c r="N1226" s="6" t="str">
        <f t="shared" si="79"/>
        <v>Austria,France,Espaà±A</v>
      </c>
    </row>
    <row r="1227" spans="1:14" x14ac:dyDescent="0.25">
      <c r="A1227" s="6" t="s">
        <v>3104</v>
      </c>
      <c r="B1227" s="6">
        <v>11694</v>
      </c>
      <c r="C1227" s="6" t="s">
        <v>3105</v>
      </c>
      <c r="D1227" s="7" t="s">
        <v>3106</v>
      </c>
      <c r="E1227" s="6" t="s">
        <v>614</v>
      </c>
      <c r="F1227" s="6" t="s">
        <v>8043</v>
      </c>
      <c r="G1227" s="8">
        <v>45622</v>
      </c>
      <c r="H1227" s="6">
        <v>12.84</v>
      </c>
      <c r="I1227" s="6" cm="1">
        <f t="array" ref="I1227">IFERROR(VALUE(TRIM(LEFT(E1227,MIN(FIND({" ";"g";"k";"m";"o"},E1227&amp;" gkmo"))-1))),0)</f>
        <v>45</v>
      </c>
      <c r="J1227" s="6" t="str" cm="1">
        <f t="array" ref="J1227">IFERROR(TRIM(MID(E1227,MIN(FIND({" ";"g";"k";"m";"o"},E1227&amp;" gkmo")),10)),"unknown")</f>
        <v>g</v>
      </c>
      <c r="K1227" s="6" t="str">
        <f t="shared" si="76"/>
        <v>g</v>
      </c>
      <c r="L1227" s="6" t="str">
        <f t="shared" si="77"/>
        <v>Balconi</v>
      </c>
      <c r="M1227" s="6" t="str">
        <f t="shared" si="78"/>
        <v>Wafers Alla Vaniglia</v>
      </c>
      <c r="N1227" s="6" t="str">
        <f t="shared" si="79"/>
        <v>Italy, Morocco, France</v>
      </c>
    </row>
    <row r="1228" spans="1:14" x14ac:dyDescent="0.25">
      <c r="A1228" s="6" t="s">
        <v>3107</v>
      </c>
      <c r="B1228" s="6">
        <v>11321</v>
      </c>
      <c r="C1228" s="6" t="s">
        <v>3108</v>
      </c>
      <c r="D1228" s="7" t="s">
        <v>1434</v>
      </c>
      <c r="E1228" s="6" t="s">
        <v>3109</v>
      </c>
      <c r="F1228" s="6" t="s">
        <v>8219</v>
      </c>
      <c r="G1228" s="8">
        <v>45485</v>
      </c>
      <c r="H1228" s="6">
        <v>6.94</v>
      </c>
      <c r="I1228" s="6" cm="1">
        <f t="array" ref="I1228">IFERROR(VALUE(TRIM(LEFT(E1228,MIN(FIND({" ";"g";"k";"m";"o"},E1228&amp;" gkmo"))-1))),0)</f>
        <v>44</v>
      </c>
      <c r="J1228" s="6" t="str" cm="1">
        <f t="array" ref="J1228">IFERROR(TRIM(MID(E1228,MIN(FIND({" ";"g";"k";"m";"o"},E1228&amp;" gkmo")),10)),"unknown")</f>
        <v>g</v>
      </c>
      <c r="K1228" s="6" t="str">
        <f t="shared" si="76"/>
        <v>g</v>
      </c>
      <c r="L1228" s="6" t="str">
        <f t="shared" si="77"/>
        <v>Doritos</v>
      </c>
      <c r="M1228" s="6" t="str">
        <f t="shared" si="78"/>
        <v>Doritos Tex-Mex</v>
      </c>
      <c r="N1228" s="6" t="str">
        <f t="shared" si="79"/>
        <v>France,Marruecos,Espaà±A</v>
      </c>
    </row>
    <row r="1229" spans="1:14" x14ac:dyDescent="0.25">
      <c r="A1229" s="6" t="s">
        <v>3110</v>
      </c>
      <c r="B1229" s="6">
        <v>14600</v>
      </c>
      <c r="C1229" s="6" t="s">
        <v>3111</v>
      </c>
      <c r="D1229" s="7" t="s">
        <v>3112</v>
      </c>
      <c r="E1229" s="6" t="s">
        <v>3113</v>
      </c>
      <c r="F1229" s="6" t="s">
        <v>48</v>
      </c>
      <c r="G1229" s="8">
        <v>45893</v>
      </c>
      <c r="H1229" s="6">
        <v>13.16</v>
      </c>
      <c r="I1229" s="6" cm="1">
        <f t="array" ref="I1229">IFERROR(VALUE(TRIM(LEFT(E1229,MIN(FIND({" ";"g";"k";"m";"o"},E1229&amp;" gkmo"))-1))),0)</f>
        <v>2.5</v>
      </c>
      <c r="J1229" s="6" t="str" cm="1">
        <f t="array" ref="J1229">IFERROR(TRIM(MID(E1229,MIN(FIND({" ";"g";"k";"m";"o"},E1229&amp;" gkmo")),10)),"unknown")</f>
        <v>g</v>
      </c>
      <c r="K1229" s="6" t="str">
        <f t="shared" si="76"/>
        <v>g</v>
      </c>
      <c r="L1229" s="6" t="str">
        <f t="shared" si="77"/>
        <v>Ideal</v>
      </c>
      <c r="M1229" s="6" t="str">
        <f t="shared" si="78"/>
        <v>Flan</v>
      </c>
      <c r="N1229" s="6" t="str">
        <f t="shared" si="79"/>
        <v>Morocco</v>
      </c>
    </row>
    <row r="1230" spans="1:14" x14ac:dyDescent="0.25">
      <c r="A1230" s="6" t="s">
        <v>3114</v>
      </c>
      <c r="B1230" s="6">
        <v>10918</v>
      </c>
      <c r="C1230" s="6" t="s">
        <v>7707</v>
      </c>
      <c r="D1230" s="7" t="s">
        <v>7459</v>
      </c>
      <c r="E1230" s="6" t="s">
        <v>573</v>
      </c>
      <c r="F1230" s="6" t="s">
        <v>139</v>
      </c>
      <c r="G1230" s="8">
        <v>45802</v>
      </c>
      <c r="H1230" s="6">
        <v>20.51</v>
      </c>
      <c r="I1230" s="6" cm="1">
        <f t="array" ref="I1230">IFERROR(VALUE(TRIM(LEFT(E1230,MIN(FIND({" ";"g";"k";"m";"o"},E1230&amp;" gkmo"))-1))),0)</f>
        <v>280</v>
      </c>
      <c r="J1230" s="6" t="str" cm="1">
        <f t="array" ref="J1230">IFERROR(TRIM(MID(E1230,MIN(FIND({" ";"g";"k";"m";"o"},E1230&amp;" gkmo")),10)),"unknown")</f>
        <v>g</v>
      </c>
      <c r="K1230" s="6" t="str">
        <f t="shared" si="76"/>
        <v>g</v>
      </c>
      <c r="L1230" s="6" t="str">
        <f t="shared" si="77"/>
        <v>La Boulangère</v>
      </c>
      <c r="M1230" s="6" t="str">
        <f t="shared" si="78"/>
        <v>8 Pains Au Lait Frais Bio À  La Farine Complète 280G</v>
      </c>
      <c r="N1230" s="6" t="str">
        <f t="shared" si="79"/>
        <v>France</v>
      </c>
    </row>
    <row r="1231" spans="1:14" x14ac:dyDescent="0.25">
      <c r="A1231" s="6" t="s">
        <v>3115</v>
      </c>
      <c r="B1231" s="6">
        <v>7613</v>
      </c>
      <c r="C1231" s="6" t="s">
        <v>3116</v>
      </c>
      <c r="D1231" s="7" t="s">
        <v>452</v>
      </c>
      <c r="E1231" s="6" t="s">
        <v>1001</v>
      </c>
      <c r="F1231" s="6" t="s">
        <v>7595</v>
      </c>
      <c r="G1231" s="8">
        <v>45641</v>
      </c>
      <c r="H1231" s="6">
        <v>13.93</v>
      </c>
      <c r="I1231" s="6" cm="1">
        <f t="array" ref="I1231">IFERROR(VALUE(TRIM(LEFT(E1231,MIN(FIND({" ";"g";"k";"m";"o"},E1231&amp;" gkmo"))-1))),0)</f>
        <v>205</v>
      </c>
      <c r="J1231" s="6" t="str" cm="1">
        <f t="array" ref="J1231">IFERROR(TRIM(MID(E1231,MIN(FIND({" ";"g";"k";"m";"o"},E1231&amp;" gkmo")),10)),"unknown")</f>
        <v>g</v>
      </c>
      <c r="K1231" s="6" t="str">
        <f t="shared" si="76"/>
        <v>g</v>
      </c>
      <c r="L1231" s="6" t="str">
        <f t="shared" si="77"/>
        <v>Hacendado</v>
      </c>
      <c r="M1231" s="6" t="str">
        <f t="shared" si="78"/>
        <v>Galletas Maria Sin Gluten</v>
      </c>
      <c r="N1231" s="6" t="str">
        <f t="shared" si="79"/>
        <v>Espaà±A</v>
      </c>
    </row>
    <row r="1232" spans="1:14" x14ac:dyDescent="0.25">
      <c r="A1232" s="6" t="s">
        <v>3117</v>
      </c>
      <c r="B1232" s="6">
        <v>8543</v>
      </c>
      <c r="C1232" s="6" t="s">
        <v>3118</v>
      </c>
      <c r="D1232" s="7" t="s">
        <v>3119</v>
      </c>
      <c r="E1232" s="6" t="s">
        <v>10</v>
      </c>
      <c r="F1232" s="6" t="s">
        <v>139</v>
      </c>
      <c r="G1232" s="8">
        <v>45978</v>
      </c>
      <c r="H1232" s="6">
        <v>9.56</v>
      </c>
      <c r="I1232" s="6" cm="1">
        <f t="array" ref="I1232">IFERROR(VALUE(TRIM(LEFT(E1232,MIN(FIND({" ";"g";"k";"m";"o"},E1232&amp;" gkmo"))-1))),0)</f>
        <v>100</v>
      </c>
      <c r="J1232" s="6" t="str" cm="1">
        <f t="array" ref="J1232">IFERROR(TRIM(MID(E1232,MIN(FIND({" ";"g";"k";"m";"o"},E1232&amp;" gkmo")),10)),"unknown")</f>
        <v>g</v>
      </c>
      <c r="K1232" s="6" t="str">
        <f t="shared" si="76"/>
        <v>g</v>
      </c>
      <c r="L1232" s="6" t="str">
        <f t="shared" si="77"/>
        <v>Equador</v>
      </c>
      <c r="M1232" s="6" t="str">
        <f t="shared" si="78"/>
        <v>Noir Extra 99%</v>
      </c>
      <c r="N1232" s="6" t="str">
        <f t="shared" si="79"/>
        <v>France</v>
      </c>
    </row>
    <row r="1233" spans="1:14" x14ac:dyDescent="0.25">
      <c r="A1233" s="6" t="s">
        <v>3120</v>
      </c>
      <c r="B1233" s="6">
        <v>9132</v>
      </c>
      <c r="C1233" s="6" t="s">
        <v>3121</v>
      </c>
      <c r="D1233" s="7" t="s">
        <v>3122</v>
      </c>
      <c r="E1233" s="6" t="s">
        <v>2862</v>
      </c>
      <c r="F1233" s="6" t="s">
        <v>997</v>
      </c>
      <c r="G1233" s="8">
        <v>45426</v>
      </c>
      <c r="H1233" s="6">
        <v>14.33</v>
      </c>
      <c r="I1233" s="6" cm="1">
        <f t="array" ref="I1233">IFERROR(VALUE(TRIM(LEFT(E1233,MIN(FIND({" ";"g";"k";"m";"o"},E1233&amp;" gkmo"))-1))),0)</f>
        <v>700</v>
      </c>
      <c r="J1233" s="6" t="str" cm="1">
        <f t="array" ref="J1233">IFERROR(TRIM(MID(E1233,MIN(FIND({" ";"g";"k";"m";"o"},E1233&amp;" gkmo")),10)),"unknown")</f>
        <v>g</v>
      </c>
      <c r="K1233" s="6" t="str">
        <f t="shared" si="76"/>
        <v>g</v>
      </c>
      <c r="L1233" s="6" t="str">
        <f t="shared" si="77"/>
        <v>Balocco</v>
      </c>
      <c r="M1233" s="6" t="str">
        <f t="shared" si="78"/>
        <v>Fagottini</v>
      </c>
      <c r="N1233" s="6" t="str">
        <f t="shared" si="79"/>
        <v>Italy</v>
      </c>
    </row>
    <row r="1234" spans="1:14" x14ac:dyDescent="0.25">
      <c r="A1234" s="6" t="s">
        <v>3123</v>
      </c>
      <c r="B1234" s="6">
        <v>13894</v>
      </c>
      <c r="C1234" s="6" t="s">
        <v>3124</v>
      </c>
      <c r="D1234" s="7" t="s">
        <v>3125</v>
      </c>
      <c r="E1234" s="6"/>
      <c r="F1234" s="6" t="s">
        <v>2973</v>
      </c>
      <c r="G1234" s="8">
        <v>45688</v>
      </c>
      <c r="H1234" s="6">
        <v>3.42</v>
      </c>
      <c r="I1234" s="6" cm="1">
        <f t="array" ref="I1234">IFERROR(VALUE(TRIM(LEFT(E1234,MIN(FIND({" ";"g";"k";"m";"o"},E1234&amp;" gkmo"))-1))),0)</f>
        <v>0</v>
      </c>
      <c r="J1234" s="6" t="str" cm="1">
        <f t="array" ref="J1234">IFERROR(TRIM(MID(E1234,MIN(FIND({" ";"g";"k";"m";"o"},E1234&amp;" gkmo")),10)),"unknown")</f>
        <v/>
      </c>
      <c r="K1234" s="6" t="str">
        <f t="shared" si="76"/>
        <v>unknown</v>
      </c>
      <c r="L1234" s="6" t="str">
        <f t="shared" si="77"/>
        <v>Kind</v>
      </c>
      <c r="M1234" s="6" t="str">
        <f t="shared" si="78"/>
        <v>Caramel Almond &amp; Sea Salt Bar</v>
      </c>
      <c r="N1234" s="6" t="str">
        <f t="shared" si="79"/>
        <v>Gb</v>
      </c>
    </row>
    <row r="1235" spans="1:14" x14ac:dyDescent="0.25">
      <c r="A1235" s="6" t="s">
        <v>3126</v>
      </c>
      <c r="B1235" s="6">
        <v>8879</v>
      </c>
      <c r="C1235" s="6" t="s">
        <v>3127</v>
      </c>
      <c r="D1235" s="7" t="s">
        <v>3125</v>
      </c>
      <c r="E1235" s="6" t="s">
        <v>36</v>
      </c>
      <c r="F1235" s="6" t="s">
        <v>2973</v>
      </c>
      <c r="G1235" s="8">
        <v>45851</v>
      </c>
      <c r="H1235" s="6">
        <v>13.16</v>
      </c>
      <c r="I1235" s="6" cm="1">
        <f t="array" ref="I1235">IFERROR(VALUE(TRIM(LEFT(E1235,MIN(FIND({" ";"g";"k";"m";"o"},E1235&amp;" gkmo"))-1))),0)</f>
        <v>42</v>
      </c>
      <c r="J1235" s="6" t="str" cm="1">
        <f t="array" ref="J1235">IFERROR(TRIM(MID(E1235,MIN(FIND({" ";"g";"k";"m";"o"},E1235&amp;" gkmo")),10)),"unknown")</f>
        <v>g</v>
      </c>
      <c r="K1235" s="6" t="str">
        <f t="shared" si="76"/>
        <v>g</v>
      </c>
      <c r="L1235" s="6" t="str">
        <f t="shared" si="77"/>
        <v>Kind</v>
      </c>
      <c r="M1235" s="6" t="str">
        <f t="shared" si="78"/>
        <v>Kind Protein Dark Chocolate Nut</v>
      </c>
      <c r="N1235" s="6" t="str">
        <f t="shared" si="79"/>
        <v>Gb</v>
      </c>
    </row>
    <row r="1236" spans="1:14" x14ac:dyDescent="0.25">
      <c r="A1236" s="6" t="s">
        <v>3128</v>
      </c>
      <c r="B1236" s="6">
        <v>8219</v>
      </c>
      <c r="C1236" s="6" t="s">
        <v>7708</v>
      </c>
      <c r="D1236" s="7" t="s">
        <v>1231</v>
      </c>
      <c r="E1236" s="6" t="s">
        <v>3129</v>
      </c>
      <c r="F1236" s="6" t="s">
        <v>5759</v>
      </c>
      <c r="G1236" s="8">
        <v>45416</v>
      </c>
      <c r="H1236" s="6">
        <v>10.07</v>
      </c>
      <c r="I1236" s="6" cm="1">
        <f t="array" ref="I1236">IFERROR(VALUE(TRIM(LEFT(E1236,MIN(FIND({" ";"g";"k";"m";"o"},E1236&amp;" gkmo"))-1))),0)</f>
        <v>295</v>
      </c>
      <c r="J1236" s="6" t="str" cm="1">
        <f t="array" ref="J1236">IFERROR(TRIM(MID(E1236,MIN(FIND({" ";"g";"k";"m";"o"},E1236&amp;" gkmo")),10)),"unknown")</f>
        <v>g</v>
      </c>
      <c r="K1236" s="6" t="str">
        <f t="shared" si="76"/>
        <v>g</v>
      </c>
      <c r="L1236" s="6" t="str">
        <f t="shared" si="77"/>
        <v>Lay'S, Lays</v>
      </c>
      <c r="M1236" s="6" t="str">
        <f t="shared" si="78"/>
        <v>Recette À  L'Ancienne</v>
      </c>
      <c r="N1236" s="6" t="str">
        <f t="shared" si="79"/>
        <v>Fr</v>
      </c>
    </row>
    <row r="1237" spans="1:14" x14ac:dyDescent="0.25">
      <c r="A1237" s="6" t="s">
        <v>3130</v>
      </c>
      <c r="B1237" s="6">
        <v>10014</v>
      </c>
      <c r="C1237" s="6" t="s">
        <v>3131</v>
      </c>
      <c r="D1237" s="7" t="s">
        <v>3132</v>
      </c>
      <c r="E1237" s="6" t="s">
        <v>1790</v>
      </c>
      <c r="F1237" s="6" t="s">
        <v>139</v>
      </c>
      <c r="G1237" s="8">
        <v>45686</v>
      </c>
      <c r="H1237" s="6">
        <v>23.05</v>
      </c>
      <c r="I1237" s="6" cm="1">
        <f t="array" ref="I1237">IFERROR(VALUE(TRIM(LEFT(E1237,MIN(FIND({" ";"g";"k";"m";"o"},E1237&amp;" gkmo"))-1))),0)</f>
        <v>75</v>
      </c>
      <c r="J1237" s="6" t="str" cm="1">
        <f t="array" ref="J1237">IFERROR(TRIM(MID(E1237,MIN(FIND({" ";"g";"k";"m";"o"},E1237&amp;" gkmo")),10)),"unknown")</f>
        <v>g</v>
      </c>
      <c r="K1237" s="6" t="str">
        <f t="shared" si="76"/>
        <v>g</v>
      </c>
      <c r="L1237" s="6" t="str">
        <f t="shared" si="77"/>
        <v>Bodymass</v>
      </c>
      <c r="M1237" s="6" t="str">
        <f t="shared" si="78"/>
        <v>Protein Cookie Double Chocolate</v>
      </c>
      <c r="N1237" s="6" t="str">
        <f t="shared" si="79"/>
        <v>France</v>
      </c>
    </row>
    <row r="1238" spans="1:14" x14ac:dyDescent="0.25">
      <c r="A1238" s="6" t="s">
        <v>3133</v>
      </c>
      <c r="B1238" s="6">
        <v>7610</v>
      </c>
      <c r="C1238" s="6" t="s">
        <v>3134</v>
      </c>
      <c r="D1238" s="7" t="s">
        <v>546</v>
      </c>
      <c r="E1238" s="6" t="s">
        <v>151</v>
      </c>
      <c r="F1238" s="6" t="s">
        <v>8226</v>
      </c>
      <c r="G1238" s="8">
        <v>45661</v>
      </c>
      <c r="H1238" s="6">
        <v>4.0999999999999996</v>
      </c>
      <c r="I1238" s="6" cm="1">
        <f t="array" ref="I1238">IFERROR(VALUE(TRIM(LEFT(E1238,MIN(FIND({" ";"g";"k";"m";"o"},E1238&amp;" gkmo"))-1))),0)</f>
        <v>200</v>
      </c>
      <c r="J1238" s="6" t="str" cm="1">
        <f t="array" ref="J1238">IFERROR(TRIM(MID(E1238,MIN(FIND({" ";"g";"k";"m";"o"},E1238&amp;" gkmo")),10)),"unknown")</f>
        <v>g</v>
      </c>
      <c r="K1238" s="6" t="str">
        <f t="shared" si="76"/>
        <v>g</v>
      </c>
      <c r="L1238" s="6" t="str">
        <f t="shared" si="77"/>
        <v>Pavesi</v>
      </c>
      <c r="M1238" s="6" t="str">
        <f t="shared" si="78"/>
        <v>Pavesini 200 Gr</v>
      </c>
      <c r="N1238" s="6" t="str">
        <f t="shared" si="79"/>
        <v>France,Italia</v>
      </c>
    </row>
    <row r="1239" spans="1:14" x14ac:dyDescent="0.25">
      <c r="A1239" s="6" t="s">
        <v>3135</v>
      </c>
      <c r="B1239" s="6">
        <v>8123</v>
      </c>
      <c r="C1239" s="6" t="s">
        <v>2020</v>
      </c>
      <c r="D1239" s="7" t="s">
        <v>7017</v>
      </c>
      <c r="E1239" s="6"/>
      <c r="F1239" s="6" t="s">
        <v>860</v>
      </c>
      <c r="G1239" s="8">
        <v>46048</v>
      </c>
      <c r="H1239" s="6">
        <v>15.36</v>
      </c>
      <c r="I1239" s="6" cm="1">
        <f t="array" ref="I1239">IFERROR(VALUE(TRIM(LEFT(E1239,MIN(FIND({" ";"g";"k";"m";"o"},E1239&amp;" gkmo"))-1))),0)</f>
        <v>0</v>
      </c>
      <c r="J1239" s="6" t="str" cm="1">
        <f t="array" ref="J1239">IFERROR(TRIM(MID(E1239,MIN(FIND({" ";"g";"k";"m";"o"},E1239&amp;" gkmo")),10)),"unknown")</f>
        <v/>
      </c>
      <c r="K1239" s="6" t="str">
        <f t="shared" si="76"/>
        <v>unknown</v>
      </c>
      <c r="L1239" s="6" t="str">
        <f t="shared" si="77"/>
        <v>Unknown</v>
      </c>
      <c r="M1239" s="6" t="str">
        <f t="shared" si="78"/>
        <v>Donut</v>
      </c>
      <c r="N1239" s="6" t="str">
        <f t="shared" si="79"/>
        <v>Ma</v>
      </c>
    </row>
    <row r="1240" spans="1:14" x14ac:dyDescent="0.25">
      <c r="A1240" s="6" t="s">
        <v>3136</v>
      </c>
      <c r="B1240" s="6">
        <v>12661</v>
      </c>
      <c r="C1240" s="6" t="s">
        <v>7212</v>
      </c>
      <c r="D1240" s="7" t="s">
        <v>1830</v>
      </c>
      <c r="E1240" s="6" t="s">
        <v>3137</v>
      </c>
      <c r="F1240" s="6" t="s">
        <v>5759</v>
      </c>
      <c r="G1240" s="8">
        <v>45808</v>
      </c>
      <c r="H1240" s="6">
        <v>4.47</v>
      </c>
      <c r="I1240" s="6" cm="1">
        <f t="array" ref="I1240">IFERROR(VALUE(TRIM(LEFT(E1240,MIN(FIND({" ";"g";"k";"m";"o"},E1240&amp;" gkmo"))-1))),0)</f>
        <v>55</v>
      </c>
      <c r="J1240" s="6" t="str" cm="1">
        <f t="array" ref="J1240">IFERROR(TRIM(MID(E1240,MIN(FIND({" ";"g";"k";"m";"o"},E1240&amp;" gkmo")),10)),"unknown")</f>
        <v>g</v>
      </c>
      <c r="K1240" s="6" t="str">
        <f t="shared" si="76"/>
        <v>g</v>
      </c>
      <c r="L1240" s="6" t="str">
        <f t="shared" si="77"/>
        <v>Joyfuel</v>
      </c>
      <c r="M1240" s="6" t="str">
        <f t="shared" si="78"/>
        <v>Barre Protéinée</v>
      </c>
      <c r="N1240" s="6" t="str">
        <f t="shared" si="79"/>
        <v>Fr</v>
      </c>
    </row>
    <row r="1241" spans="1:14" x14ac:dyDescent="0.25">
      <c r="A1241" s="6" t="s">
        <v>3138</v>
      </c>
      <c r="B1241" s="6">
        <v>10063</v>
      </c>
      <c r="C1241" s="6" t="s">
        <v>3139</v>
      </c>
      <c r="D1241" s="7" t="s">
        <v>452</v>
      </c>
      <c r="E1241" s="6" t="s">
        <v>786</v>
      </c>
      <c r="F1241" s="6" t="s">
        <v>7595</v>
      </c>
      <c r="G1241" s="8">
        <v>45713</v>
      </c>
      <c r="H1241" s="6">
        <v>6.98</v>
      </c>
      <c r="I1241" s="6" cm="1">
        <f t="array" ref="I1241">IFERROR(VALUE(TRIM(LEFT(E1241,MIN(FIND({" ";"g";"k";"m";"o"},E1241&amp;" gkmo"))-1))),0)</f>
        <v>130</v>
      </c>
      <c r="J1241" s="6" t="str" cm="1">
        <f t="array" ref="J1241">IFERROR(TRIM(MID(E1241,MIN(FIND({" ";"g";"k";"m";"o"},E1241&amp;" gkmo")),10)),"unknown")</f>
        <v>g</v>
      </c>
      <c r="K1241" s="6" t="str">
        <f t="shared" si="76"/>
        <v>g</v>
      </c>
      <c r="L1241" s="6" t="str">
        <f t="shared" si="77"/>
        <v>Hacendado</v>
      </c>
      <c r="M1241" s="6" t="str">
        <f t="shared" si="78"/>
        <v>Palitos Frutos Secos</v>
      </c>
      <c r="N1241" s="6" t="str">
        <f t="shared" si="79"/>
        <v>Espaà±A</v>
      </c>
    </row>
    <row r="1242" spans="1:14" x14ac:dyDescent="0.25">
      <c r="A1242" s="6" t="s">
        <v>3140</v>
      </c>
      <c r="B1242" s="6">
        <v>7843</v>
      </c>
      <c r="C1242" s="6" t="s">
        <v>3141</v>
      </c>
      <c r="D1242" s="7" t="s">
        <v>7017</v>
      </c>
      <c r="E1242" s="6" t="s">
        <v>151</v>
      </c>
      <c r="F1242" s="6" t="s">
        <v>8237</v>
      </c>
      <c r="G1242" s="8">
        <v>45546</v>
      </c>
      <c r="H1242" s="6">
        <v>7.9</v>
      </c>
      <c r="I1242" s="6" cm="1">
        <f t="array" ref="I1242">IFERROR(VALUE(TRIM(LEFT(E1242,MIN(FIND({" ";"g";"k";"m";"o"},E1242&amp;" gkmo"))-1))),0)</f>
        <v>200</v>
      </c>
      <c r="J1242" s="6" t="str" cm="1">
        <f t="array" ref="J1242">IFERROR(TRIM(MID(E1242,MIN(FIND({" ";"g";"k";"m";"o"},E1242&amp;" gkmo")),10)),"unknown")</f>
        <v>g</v>
      </c>
      <c r="K1242" s="6" t="str">
        <f t="shared" si="76"/>
        <v>g</v>
      </c>
      <c r="L1242" s="6" t="str">
        <f t="shared" si="77"/>
        <v>Unknown</v>
      </c>
      <c r="M1242" s="6" t="str">
        <f t="shared" si="78"/>
        <v>Sfogliatine Glassate</v>
      </c>
      <c r="N1242" s="6" t="str">
        <f t="shared" si="79"/>
        <v>Bulgaria,France,Italia</v>
      </c>
    </row>
    <row r="1243" spans="1:14" x14ac:dyDescent="0.25">
      <c r="A1243" s="6" t="s">
        <v>3142</v>
      </c>
      <c r="B1243" s="6">
        <v>8790</v>
      </c>
      <c r="C1243" s="6" t="s">
        <v>3143</v>
      </c>
      <c r="D1243" s="7" t="s">
        <v>2080</v>
      </c>
      <c r="E1243" s="6" t="s">
        <v>7709</v>
      </c>
      <c r="F1243" s="6" t="s">
        <v>139</v>
      </c>
      <c r="G1243" s="8">
        <v>45758</v>
      </c>
      <c r="H1243" s="6">
        <v>13.16</v>
      </c>
      <c r="I1243" s="6" cm="1">
        <f t="array" ref="I1243">IFERROR(VALUE(TRIM(LEFT(E1243,MIN(FIND({" ";"g";"k";"m";"o"},E1243&amp;" gkmo"))-1))),0)</f>
        <v>195</v>
      </c>
      <c r="J1243" s="6" t="str" cm="1">
        <f t="array" ref="J1243">IFERROR(TRIM(MID(E1243,MIN(FIND({" ";"g";"k";"m";"o"},E1243&amp;" gkmo")),10)),"unknown")</f>
        <v>g (16à— 1</v>
      </c>
      <c r="K1243" s="6" t="str">
        <f t="shared" si="76"/>
        <v>g</v>
      </c>
      <c r="L1243" s="6" t="str">
        <f t="shared" si="77"/>
        <v>Lu,Mondelez International</v>
      </c>
      <c r="M1243" s="6" t="str">
        <f t="shared" si="78"/>
        <v>Granola Chocolat Noir</v>
      </c>
      <c r="N1243" s="6" t="str">
        <f t="shared" si="79"/>
        <v>France</v>
      </c>
    </row>
    <row r="1244" spans="1:14" x14ac:dyDescent="0.25">
      <c r="A1244" s="6" t="s">
        <v>3144</v>
      </c>
      <c r="B1244" s="6">
        <v>6623</v>
      </c>
      <c r="C1244" s="6" t="s">
        <v>3145</v>
      </c>
      <c r="D1244" s="7" t="s">
        <v>3146</v>
      </c>
      <c r="E1244" s="6" t="s">
        <v>151</v>
      </c>
      <c r="F1244" s="6" t="s">
        <v>213</v>
      </c>
      <c r="G1244" s="8">
        <v>45775</v>
      </c>
      <c r="H1244" s="6">
        <v>14.56</v>
      </c>
      <c r="I1244" s="6" cm="1">
        <f t="array" ref="I1244">IFERROR(VALUE(TRIM(LEFT(E1244,MIN(FIND({" ";"g";"k";"m";"o"},E1244&amp;" gkmo"))-1))),0)</f>
        <v>200</v>
      </c>
      <c r="J1244" s="6" t="str" cm="1">
        <f t="array" ref="J1244">IFERROR(TRIM(MID(E1244,MIN(FIND({" ";"g";"k";"m";"o"},E1244&amp;" gkmo")),10)),"unknown")</f>
        <v>g</v>
      </c>
      <c r="K1244" s="6" t="str">
        <f t="shared" si="76"/>
        <v>g</v>
      </c>
      <c r="L1244" s="6" t="str">
        <f t="shared" si="77"/>
        <v>Delacre, Ferrero</v>
      </c>
      <c r="M1244" s="6" t="str">
        <f t="shared" si="78"/>
        <v>Bruges Assortment Biscuits</v>
      </c>
      <c r="N1244" s="6" t="str">
        <f t="shared" si="79"/>
        <v>Belgium,France</v>
      </c>
    </row>
    <row r="1245" spans="1:14" x14ac:dyDescent="0.25">
      <c r="A1245" s="6" t="s">
        <v>3147</v>
      </c>
      <c r="B1245" s="6">
        <v>6892</v>
      </c>
      <c r="C1245" s="6" t="s">
        <v>3148</v>
      </c>
      <c r="D1245" s="7" t="s">
        <v>2808</v>
      </c>
      <c r="E1245" s="6" t="s">
        <v>3149</v>
      </c>
      <c r="F1245" s="6" t="s">
        <v>139</v>
      </c>
      <c r="G1245" s="8">
        <v>45827</v>
      </c>
      <c r="H1245" s="6">
        <v>23.56</v>
      </c>
      <c r="I1245" s="6" cm="1">
        <f t="array" ref="I1245">IFERROR(VALUE(TRIM(LEFT(E1245,MIN(FIND({" ";"g";"k";"m";"o"},E1245&amp;" gkmo"))-1))),0)</f>
        <v>0.185</v>
      </c>
      <c r="J1245" s="6" t="str" cm="1">
        <f t="array" ref="J1245">IFERROR(TRIM(MID(E1245,MIN(FIND({" ";"g";"k";"m";"o"},E1245&amp;" gkmo")),10)),"unknown")</f>
        <v>kg</v>
      </c>
      <c r="K1245" s="6" t="str">
        <f t="shared" si="76"/>
        <v>kg</v>
      </c>
      <c r="L1245" s="6" t="str">
        <f t="shared" si="77"/>
        <v>Lutti</v>
      </c>
      <c r="M1245" s="6" t="str">
        <f t="shared" si="78"/>
        <v>Lutti Guimauve Chocolat</v>
      </c>
      <c r="N1245" s="6" t="str">
        <f t="shared" si="79"/>
        <v>France</v>
      </c>
    </row>
    <row r="1246" spans="1:14" x14ac:dyDescent="0.25">
      <c r="A1246" s="6" t="s">
        <v>3150</v>
      </c>
      <c r="B1246" s="6">
        <v>12955</v>
      </c>
      <c r="C1246" s="6" t="s">
        <v>3151</v>
      </c>
      <c r="D1246" s="7" t="s">
        <v>2711</v>
      </c>
      <c r="E1246" s="6" t="s">
        <v>1790</v>
      </c>
      <c r="F1246" s="6" t="s">
        <v>139</v>
      </c>
      <c r="G1246" s="8">
        <v>45592</v>
      </c>
      <c r="H1246" s="6">
        <v>14.88</v>
      </c>
      <c r="I1246" s="6" cm="1">
        <f t="array" ref="I1246">IFERROR(VALUE(TRIM(LEFT(E1246,MIN(FIND({" ";"g";"k";"m";"o"},E1246&amp;" gkmo"))-1))),0)</f>
        <v>75</v>
      </c>
      <c r="J1246" s="6" t="str" cm="1">
        <f t="array" ref="J1246">IFERROR(TRIM(MID(E1246,MIN(FIND({" ";"g";"k";"m";"o"},E1246&amp;" gkmo")),10)),"unknown")</f>
        <v>g</v>
      </c>
      <c r="K1246" s="6" t="str">
        <f t="shared" si="76"/>
        <v>g</v>
      </c>
      <c r="L1246" s="6" t="str">
        <f t="shared" si="77"/>
        <v>Saint Michel</v>
      </c>
      <c r="M1246" s="6" t="str">
        <f t="shared" si="78"/>
        <v>Madeleines</v>
      </c>
      <c r="N1246" s="6" t="str">
        <f t="shared" si="79"/>
        <v>France</v>
      </c>
    </row>
    <row r="1247" spans="1:14" x14ac:dyDescent="0.25">
      <c r="A1247" s="6" t="s">
        <v>3152</v>
      </c>
      <c r="B1247" s="6">
        <v>8934</v>
      </c>
      <c r="C1247" s="6" t="s">
        <v>3153</v>
      </c>
      <c r="D1247" s="7" t="s">
        <v>7213</v>
      </c>
      <c r="E1247" s="6" t="s">
        <v>151</v>
      </c>
      <c r="F1247" s="6" t="s">
        <v>139</v>
      </c>
      <c r="G1247" s="8">
        <v>45574</v>
      </c>
      <c r="H1247" s="6">
        <v>13.92</v>
      </c>
      <c r="I1247" s="6" cm="1">
        <f t="array" ref="I1247">IFERROR(VALUE(TRIM(LEFT(E1247,MIN(FIND({" ";"g";"k";"m";"o"},E1247&amp;" gkmo"))-1))),0)</f>
        <v>200</v>
      </c>
      <c r="J1247" s="6" t="str" cm="1">
        <f t="array" ref="J1247">IFERROR(TRIM(MID(E1247,MIN(FIND({" ";"g";"k";"m";"o"},E1247&amp;" gkmo")),10)),"unknown")</f>
        <v>g</v>
      </c>
      <c r="K1247" s="6" t="str">
        <f t="shared" si="76"/>
        <v>g</v>
      </c>
      <c r="L1247" s="6" t="str">
        <f t="shared" si="77"/>
        <v>Intermarché, Ivoria</v>
      </c>
      <c r="M1247" s="6" t="str">
        <f t="shared" si="78"/>
        <v>Tablette Dessert Chocolat Noir 52% - 200G</v>
      </c>
      <c r="N1247" s="6" t="str">
        <f t="shared" si="79"/>
        <v>France</v>
      </c>
    </row>
    <row r="1248" spans="1:14" x14ac:dyDescent="0.25">
      <c r="A1248" s="6" t="s">
        <v>3154</v>
      </c>
      <c r="B1248" s="6">
        <v>10536</v>
      </c>
      <c r="C1248" s="6" t="s">
        <v>7214</v>
      </c>
      <c r="D1248" s="7" t="s">
        <v>854</v>
      </c>
      <c r="E1248" s="6" t="s">
        <v>156</v>
      </c>
      <c r="F1248" s="6" t="s">
        <v>139</v>
      </c>
      <c r="G1248" s="8">
        <v>45728</v>
      </c>
      <c r="H1248" s="6">
        <v>14.07</v>
      </c>
      <c r="I1248" s="6" cm="1">
        <f t="array" ref="I1248">IFERROR(VALUE(TRIM(LEFT(E1248,MIN(FIND({" ";"g";"k";"m";"o"},E1248&amp;" gkmo"))-1))),0)</f>
        <v>500</v>
      </c>
      <c r="J1248" s="6" t="str" cm="1">
        <f t="array" ref="J1248">IFERROR(TRIM(MID(E1248,MIN(FIND({" ";"g";"k";"m";"o"},E1248&amp;" gkmo")),10)),"unknown")</f>
        <v>g</v>
      </c>
      <c r="K1248" s="6" t="str">
        <f t="shared" si="76"/>
        <v>g</v>
      </c>
      <c r="L1248" s="6" t="str">
        <f t="shared" si="77"/>
        <v>Carrefour</v>
      </c>
      <c r="M1248" s="6" t="str">
        <f t="shared" si="78"/>
        <v>Brioche Tranchée</v>
      </c>
      <c r="N1248" s="6" t="str">
        <f t="shared" si="79"/>
        <v>France</v>
      </c>
    </row>
    <row r="1249" spans="1:14" x14ac:dyDescent="0.25">
      <c r="A1249" s="6" t="s">
        <v>3155</v>
      </c>
      <c r="B1249" s="6">
        <v>10679</v>
      </c>
      <c r="C1249" s="6" t="s">
        <v>7710</v>
      </c>
      <c r="D1249" s="7" t="s">
        <v>3156</v>
      </c>
      <c r="E1249" s="6" t="s">
        <v>14</v>
      </c>
      <c r="F1249" s="6" t="s">
        <v>139</v>
      </c>
      <c r="G1249" s="8">
        <v>45534</v>
      </c>
      <c r="H1249" s="6">
        <v>22.15</v>
      </c>
      <c r="I1249" s="6" cm="1">
        <f t="array" ref="I1249">IFERROR(VALUE(TRIM(LEFT(E1249,MIN(FIND({" ";"g";"k";"m";"o"},E1249&amp;" gkmo"))-1))),0)</f>
        <v>300</v>
      </c>
      <c r="J1249" s="6" t="str" cm="1">
        <f t="array" ref="J1249">IFERROR(TRIM(MID(E1249,MIN(FIND({" ";"g";"k";"m";"o"},E1249&amp;" gkmo")),10)),"unknown")</f>
        <v>g</v>
      </c>
      <c r="K1249" s="6" t="str">
        <f t="shared" si="76"/>
        <v>g</v>
      </c>
      <c r="L1249" s="6" t="str">
        <f t="shared" si="77"/>
        <v>Pierre Martinet</v>
      </c>
      <c r="M1249" s="6" t="str">
        <f t="shared" si="78"/>
        <v>Taboulé Au Poulet À  La Ciboulette</v>
      </c>
      <c r="N1249" s="6" t="str">
        <f t="shared" si="79"/>
        <v>France</v>
      </c>
    </row>
    <row r="1250" spans="1:14" x14ac:dyDescent="0.25">
      <c r="A1250" s="6" t="s">
        <v>3157</v>
      </c>
      <c r="B1250" s="6">
        <v>11598</v>
      </c>
      <c r="C1250" s="6" t="s">
        <v>3158</v>
      </c>
      <c r="D1250" s="7" t="s">
        <v>7456</v>
      </c>
      <c r="E1250" s="6" t="s">
        <v>138</v>
      </c>
      <c r="F1250" s="6" t="s">
        <v>139</v>
      </c>
      <c r="G1250" s="8">
        <v>45628</v>
      </c>
      <c r="H1250" s="6">
        <v>13.16</v>
      </c>
      <c r="I1250" s="6" cm="1">
        <f t="array" ref="I1250">IFERROR(VALUE(TRIM(LEFT(E1250,MIN(FIND({" ";"g";"k";"m";"o"},E1250&amp;" gkmo"))-1))),0)</f>
        <v>400</v>
      </c>
      <c r="J1250" s="6" t="str" cm="1">
        <f t="array" ref="J1250">IFERROR(TRIM(MID(E1250,MIN(FIND({" ";"g";"k";"m";"o"},E1250&amp;" gkmo")),10)),"unknown")</f>
        <v>g</v>
      </c>
      <c r="K1250" s="6" t="str">
        <f t="shared" si="76"/>
        <v>g</v>
      </c>
      <c r="L1250" s="6" t="str">
        <f t="shared" si="77"/>
        <v>La Boulangère</v>
      </c>
      <c r="M1250" s="6" t="str">
        <f t="shared" si="78"/>
        <v>8 Pains Au Chocolat Pur Beurre 400G</v>
      </c>
      <c r="N1250" s="6" t="str">
        <f t="shared" si="79"/>
        <v>France</v>
      </c>
    </row>
    <row r="1251" spans="1:14" x14ac:dyDescent="0.25">
      <c r="A1251" s="6" t="s">
        <v>3159</v>
      </c>
      <c r="B1251" s="6">
        <v>8372</v>
      </c>
      <c r="C1251" s="6" t="s">
        <v>3160</v>
      </c>
      <c r="D1251" s="7" t="s">
        <v>7017</v>
      </c>
      <c r="E1251" s="6" t="s">
        <v>573</v>
      </c>
      <c r="F1251" s="6" t="s">
        <v>139</v>
      </c>
      <c r="G1251" s="8">
        <v>45369</v>
      </c>
      <c r="H1251" s="6">
        <v>16.63</v>
      </c>
      <c r="I1251" s="6" cm="1">
        <f t="array" ref="I1251">IFERROR(VALUE(TRIM(LEFT(E1251,MIN(FIND({" ";"g";"k";"m";"o"},E1251&amp;" gkmo"))-1))),0)</f>
        <v>280</v>
      </c>
      <c r="J1251" s="6" t="str" cm="1">
        <f t="array" ref="J1251">IFERROR(TRIM(MID(E1251,MIN(FIND({" ";"g";"k";"m";"o"},E1251&amp;" gkmo")),10)),"unknown")</f>
        <v>g</v>
      </c>
      <c r="K1251" s="6" t="str">
        <f t="shared" si="76"/>
        <v>g</v>
      </c>
      <c r="L1251" s="6" t="str">
        <f t="shared" si="77"/>
        <v>Unknown</v>
      </c>
      <c r="M1251" s="6" t="str">
        <f t="shared" si="78"/>
        <v>8 Pains Au Lait</v>
      </c>
      <c r="N1251" s="6" t="str">
        <f t="shared" si="79"/>
        <v>France</v>
      </c>
    </row>
    <row r="1252" spans="1:14" x14ac:dyDescent="0.25">
      <c r="A1252" s="6" t="s">
        <v>3161</v>
      </c>
      <c r="B1252" s="6">
        <v>8834</v>
      </c>
      <c r="C1252" s="6" t="s">
        <v>3162</v>
      </c>
      <c r="D1252" s="7" t="s">
        <v>7530</v>
      </c>
      <c r="E1252" s="6" t="s">
        <v>335</v>
      </c>
      <c r="F1252" s="6" t="s">
        <v>139</v>
      </c>
      <c r="G1252" s="8">
        <v>45344</v>
      </c>
      <c r="H1252" s="6">
        <v>9.8000000000000007</v>
      </c>
      <c r="I1252" s="6" cm="1">
        <f t="array" ref="I1252">IFERROR(VALUE(TRIM(LEFT(E1252,MIN(FIND({" ";"g";"k";"m";"o"},E1252&amp;" gkmo"))-1))),0)</f>
        <v>250</v>
      </c>
      <c r="J1252" s="6" t="str" cm="1">
        <f t="array" ref="J1252">IFERROR(TRIM(MID(E1252,MIN(FIND({" ";"g";"k";"m";"o"},E1252&amp;" gkmo")),10)),"unknown")</f>
        <v>g</v>
      </c>
      <c r="K1252" s="6" t="str">
        <f t="shared" si="76"/>
        <v>g</v>
      </c>
      <c r="L1252" s="6" t="str">
        <f t="shared" si="77"/>
        <v>Marque Repère, Épi D'Or</v>
      </c>
      <c r="M1252" s="6" t="str">
        <f t="shared" si="78"/>
        <v>Tartines Craquantes Froment</v>
      </c>
      <c r="N1252" s="6" t="str">
        <f t="shared" si="79"/>
        <v>France</v>
      </c>
    </row>
    <row r="1253" spans="1:14" x14ac:dyDescent="0.25">
      <c r="A1253" s="6" t="s">
        <v>3163</v>
      </c>
      <c r="B1253" s="6">
        <v>10155</v>
      </c>
      <c r="C1253" s="6" t="s">
        <v>7711</v>
      </c>
      <c r="D1253" s="7" t="s">
        <v>7138</v>
      </c>
      <c r="E1253" s="6" t="s">
        <v>1396</v>
      </c>
      <c r="F1253" s="6" t="s">
        <v>139</v>
      </c>
      <c r="G1253" s="8">
        <v>45997</v>
      </c>
      <c r="H1253" s="6">
        <v>8.14</v>
      </c>
      <c r="I1253" s="6" cm="1">
        <f t="array" ref="I1253">IFERROR(VALUE(TRIM(LEFT(E1253,MIN(FIND({" ";"g";"k";"m";"o"},E1253&amp;" gkmo"))-1))),0)</f>
        <v>600</v>
      </c>
      <c r="J1253" s="6" t="str" cm="1">
        <f t="array" ref="J1253">IFERROR(TRIM(MID(E1253,MIN(FIND({" ";"g";"k";"m";"o"},E1253&amp;" gkmo")),10)),"unknown")</f>
        <v>g</v>
      </c>
      <c r="K1253" s="6" t="str">
        <f t="shared" si="76"/>
        <v>g</v>
      </c>
      <c r="L1253" s="6" t="str">
        <f t="shared" si="77"/>
        <v>La Fournée Dorée</v>
      </c>
      <c r="M1253" s="6" t="str">
        <f t="shared" si="78"/>
        <v>Chinois Crème Pà¢Tissière</v>
      </c>
      <c r="N1253" s="6" t="str">
        <f t="shared" si="79"/>
        <v>France</v>
      </c>
    </row>
    <row r="1254" spans="1:14" x14ac:dyDescent="0.25">
      <c r="A1254" s="6" t="s">
        <v>3164</v>
      </c>
      <c r="B1254" s="6">
        <v>6869</v>
      </c>
      <c r="C1254" s="6" t="s">
        <v>3165</v>
      </c>
      <c r="D1254" s="7" t="s">
        <v>3166</v>
      </c>
      <c r="E1254" s="6" t="s">
        <v>284</v>
      </c>
      <c r="F1254" s="6" t="s">
        <v>1181</v>
      </c>
      <c r="G1254" s="8">
        <v>45399</v>
      </c>
      <c r="H1254" s="6">
        <v>24.67</v>
      </c>
      <c r="I1254" s="6" cm="1">
        <f t="array" ref="I1254">IFERROR(VALUE(TRIM(LEFT(E1254,MIN(FIND({" ";"g";"k";"m";"o"},E1254&amp;" gkmo"))-1))),0)</f>
        <v>180</v>
      </c>
      <c r="J1254" s="6" t="str" cm="1">
        <f t="array" ref="J1254">IFERROR(TRIM(MID(E1254,MIN(FIND({" ";"g";"k";"m";"o"},E1254&amp;" gkmo")),10)),"unknown")</f>
        <v>g</v>
      </c>
      <c r="K1254" s="6" t="str">
        <f t="shared" si="76"/>
        <v>g</v>
      </c>
      <c r="L1254" s="6" t="str">
        <f t="shared" si="77"/>
        <v>Michel Et Augustin,Ferrero</v>
      </c>
      <c r="M1254" s="6" t="str">
        <f t="shared" si="78"/>
        <v>Grand Cå“Ur Fondant, Chocolat Noisettes</v>
      </c>
      <c r="N1254" s="6" t="str">
        <f t="shared" si="79"/>
        <v>France,Switzerland</v>
      </c>
    </row>
    <row r="1255" spans="1:14" x14ac:dyDescent="0.25">
      <c r="A1255" s="6" t="s">
        <v>3167</v>
      </c>
      <c r="B1255" s="6">
        <v>6851</v>
      </c>
      <c r="C1255" s="6" t="s">
        <v>3168</v>
      </c>
      <c r="D1255" s="7" t="s">
        <v>3169</v>
      </c>
      <c r="E1255" s="6" t="s">
        <v>584</v>
      </c>
      <c r="F1255" s="6" t="s">
        <v>8005</v>
      </c>
      <c r="G1255" s="8">
        <v>45619</v>
      </c>
      <c r="H1255" s="6">
        <v>2.36</v>
      </c>
      <c r="I1255" s="6" cm="1">
        <f t="array" ref="I1255">IFERROR(VALUE(TRIM(LEFT(E1255,MIN(FIND({" ";"g";"k";"m";"o"},E1255&amp;" gkmo"))-1))),0)</f>
        <v>84</v>
      </c>
      <c r="J1255" s="6" t="str" cm="1">
        <f t="array" ref="J1255">IFERROR(TRIM(MID(E1255,MIN(FIND({" ";"g";"k";"m";"o"},E1255&amp;" gkmo")),10)),"unknown")</f>
        <v>g</v>
      </c>
      <c r="K1255" s="6" t="str">
        <f t="shared" si="76"/>
        <v>g</v>
      </c>
      <c r="L1255" s="6" t="str">
        <f t="shared" si="77"/>
        <v>Wrigley'S Extra</v>
      </c>
      <c r="M1255" s="6" t="str">
        <f t="shared" si="78"/>
        <v>Spearmint Flavour</v>
      </c>
      <c r="N1255" s="6" t="str">
        <f t="shared" si="79"/>
        <v>France,United Kingdom,United-Kingdom</v>
      </c>
    </row>
    <row r="1256" spans="1:14" x14ac:dyDescent="0.25">
      <c r="A1256" s="6" t="s">
        <v>3170</v>
      </c>
      <c r="B1256" s="6">
        <v>6053</v>
      </c>
      <c r="C1256" s="6" t="s">
        <v>3171</v>
      </c>
      <c r="D1256" s="7" t="s">
        <v>2170</v>
      </c>
      <c r="E1256" s="6" t="s">
        <v>3172</v>
      </c>
      <c r="F1256" s="6" t="s">
        <v>7926</v>
      </c>
      <c r="G1256" s="8">
        <v>45698</v>
      </c>
      <c r="H1256" s="6">
        <v>7.68</v>
      </c>
      <c r="I1256" s="6" cm="1">
        <f t="array" ref="I1256">IFERROR(VALUE(TRIM(LEFT(E1256,MIN(FIND({" ";"g";"k";"m";"o"},E1256&amp;" gkmo"))-1))),0)</f>
        <v>150</v>
      </c>
      <c r="J1256" s="6" t="str" cm="1">
        <f t="array" ref="J1256">IFERROR(TRIM(MID(E1256,MIN(FIND({" ";"g";"k";"m";"o"},E1256&amp;" gkmo")),10)),"unknown")</f>
        <v>grame</v>
      </c>
      <c r="K1256" s="6" t="str">
        <f t="shared" si="76"/>
        <v>g</v>
      </c>
      <c r="L1256" s="6" t="str">
        <f t="shared" si="77"/>
        <v>Jacobs</v>
      </c>
      <c r="M1256" s="6" t="str">
        <f t="shared" si="78"/>
        <v>Twiglets Original</v>
      </c>
      <c r="N1256" s="6" t="str">
        <f t="shared" si="79"/>
        <v>France, United-Kingdom</v>
      </c>
    </row>
    <row r="1257" spans="1:14" x14ac:dyDescent="0.25">
      <c r="A1257" s="6" t="s">
        <v>3173</v>
      </c>
      <c r="B1257" s="6">
        <v>6852</v>
      </c>
      <c r="C1257" s="6" t="s">
        <v>3174</v>
      </c>
      <c r="D1257" s="7" t="s">
        <v>3174</v>
      </c>
      <c r="E1257" s="6" t="s">
        <v>39</v>
      </c>
      <c r="F1257" s="6" t="s">
        <v>400</v>
      </c>
      <c r="G1257" s="8">
        <v>45593</v>
      </c>
      <c r="H1257" s="6">
        <v>10.61</v>
      </c>
      <c r="I1257" s="6" cm="1">
        <f t="array" ref="I1257">IFERROR(VALUE(TRIM(LEFT(E1257,MIN(FIND({" ";"g";"k";"m";"o"},E1257&amp;" gkmo"))-1))),0)</f>
        <v>150</v>
      </c>
      <c r="J1257" s="6" t="str" cm="1">
        <f t="array" ref="J1257">IFERROR(TRIM(MID(E1257,MIN(FIND({" ";"g";"k";"m";"o"},E1257&amp;" gkmo")),10)),"unknown")</f>
        <v>g</v>
      </c>
      <c r="K1257" s="6" t="str">
        <f t="shared" si="76"/>
        <v>g</v>
      </c>
      <c r="L1257" s="6" t="str">
        <f t="shared" si="77"/>
        <v>Tuc</v>
      </c>
      <c r="M1257" s="6" t="str">
        <f t="shared" si="78"/>
        <v>Tuc</v>
      </c>
      <c r="N1257" s="6" t="str">
        <f t="shared" si="79"/>
        <v>France,United Kingdom</v>
      </c>
    </row>
    <row r="1258" spans="1:14" x14ac:dyDescent="0.25">
      <c r="A1258" s="6" t="s">
        <v>3175</v>
      </c>
      <c r="B1258" s="6">
        <v>8139</v>
      </c>
      <c r="C1258" s="6" t="s">
        <v>433</v>
      </c>
      <c r="D1258" s="7" t="s">
        <v>433</v>
      </c>
      <c r="E1258" s="6"/>
      <c r="F1258" s="6" t="s">
        <v>8044</v>
      </c>
      <c r="G1258" s="8">
        <v>45832</v>
      </c>
      <c r="H1258" s="6">
        <v>13.16</v>
      </c>
      <c r="I1258" s="6" cm="1">
        <f t="array" ref="I1258">IFERROR(VALUE(TRIM(LEFT(E1258,MIN(FIND({" ";"g";"k";"m";"o"},E1258&amp;" gkmo"))-1))),0)</f>
        <v>0</v>
      </c>
      <c r="J1258" s="6" t="str" cm="1">
        <f t="array" ref="J1258">IFERROR(TRIM(MID(E1258,MIN(FIND({" ";"g";"k";"m";"o"},E1258&amp;" gkmo")),10)),"unknown")</f>
        <v/>
      </c>
      <c r="K1258" s="6" t="str">
        <f t="shared" si="76"/>
        <v>unknown</v>
      </c>
      <c r="L1258" s="6" t="str">
        <f t="shared" si="77"/>
        <v>Toblerone</v>
      </c>
      <c r="M1258" s="6" t="str">
        <f t="shared" si="78"/>
        <v>Toblerone</v>
      </c>
      <c r="N1258" s="6" t="str">
        <f t="shared" si="79"/>
        <v>Australia, France, Switzerland, United States, United-Kingdom</v>
      </c>
    </row>
    <row r="1259" spans="1:14" x14ac:dyDescent="0.25">
      <c r="A1259" s="6" t="s">
        <v>3176</v>
      </c>
      <c r="B1259" s="6">
        <v>9210</v>
      </c>
      <c r="C1259" s="6" t="s">
        <v>3177</v>
      </c>
      <c r="D1259" s="7" t="s">
        <v>287</v>
      </c>
      <c r="E1259" s="6"/>
      <c r="F1259" s="6" t="s">
        <v>3178</v>
      </c>
      <c r="G1259" s="8">
        <v>46057</v>
      </c>
      <c r="H1259" s="6">
        <v>6.16</v>
      </c>
      <c r="I1259" s="6" cm="1">
        <f t="array" ref="I1259">IFERROR(VALUE(TRIM(LEFT(E1259,MIN(FIND({" ";"g";"k";"m";"o"},E1259&amp;" gkmo"))-1))),0)</f>
        <v>0</v>
      </c>
      <c r="J1259" s="6" t="str" cm="1">
        <f t="array" ref="J1259">IFERROR(TRIM(MID(E1259,MIN(FIND({" ";"g";"k";"m";"o"},E1259&amp;" gkmo")),10)),"unknown")</f>
        <v/>
      </c>
      <c r="K1259" s="6" t="str">
        <f t="shared" si="76"/>
        <v>unknown</v>
      </c>
      <c r="L1259" s="6" t="str">
        <f t="shared" si="77"/>
        <v>Ferrero</v>
      </c>
      <c r="M1259" s="6" t="str">
        <f t="shared" si="78"/>
        <v>Nutella &amp; Go</v>
      </c>
      <c r="N1259" s="6" t="str">
        <f t="shared" si="79"/>
        <v>Belgium,France,Germany,Switzerland</v>
      </c>
    </row>
    <row r="1260" spans="1:14" x14ac:dyDescent="0.25">
      <c r="A1260" s="6" t="s">
        <v>3179</v>
      </c>
      <c r="B1260" s="6">
        <v>6483</v>
      </c>
      <c r="C1260" s="6" t="s">
        <v>7017</v>
      </c>
      <c r="D1260" s="7" t="s">
        <v>452</v>
      </c>
      <c r="E1260" s="6" t="s">
        <v>284</v>
      </c>
      <c r="F1260" s="6" t="s">
        <v>1185</v>
      </c>
      <c r="G1260" s="8">
        <v>45931</v>
      </c>
      <c r="H1260" s="6">
        <v>13.16</v>
      </c>
      <c r="I1260" s="6" cm="1">
        <f t="array" ref="I1260">IFERROR(VALUE(TRIM(LEFT(E1260,MIN(FIND({" ";"g";"k";"m";"o"},E1260&amp;" gkmo"))-1))),0)</f>
        <v>180</v>
      </c>
      <c r="J1260" s="6" t="str" cm="1">
        <f t="array" ref="J1260">IFERROR(TRIM(MID(E1260,MIN(FIND({" ";"g";"k";"m";"o"},E1260&amp;" gkmo")),10)),"unknown")</f>
        <v>g</v>
      </c>
      <c r="K1260" s="6" t="str">
        <f t="shared" si="76"/>
        <v>g</v>
      </c>
      <c r="L1260" s="6" t="str">
        <f t="shared" si="77"/>
        <v>Hacendado</v>
      </c>
      <c r="M1260" s="6" t="str">
        <f t="shared" si="78"/>
        <v>Unknown</v>
      </c>
      <c r="N1260" s="6" t="str">
        <f t="shared" si="79"/>
        <v>Spain</v>
      </c>
    </row>
    <row r="1261" spans="1:14" x14ac:dyDescent="0.25">
      <c r="A1261" s="6" t="s">
        <v>3180</v>
      </c>
      <c r="B1261" s="6">
        <v>6682</v>
      </c>
      <c r="C1261" s="6" t="s">
        <v>3181</v>
      </c>
      <c r="D1261" s="7" t="s">
        <v>3182</v>
      </c>
      <c r="E1261" s="6" t="s">
        <v>528</v>
      </c>
      <c r="F1261" s="6" t="s">
        <v>3183</v>
      </c>
      <c r="G1261" s="8">
        <v>45444</v>
      </c>
      <c r="H1261" s="6">
        <v>16.89</v>
      </c>
      <c r="I1261" s="6" cm="1">
        <f t="array" ref="I1261">IFERROR(VALUE(TRIM(LEFT(E1261,MIN(FIND({" ";"g";"k";"m";"o"},E1261&amp;" gkmo"))-1))),0)</f>
        <v>200</v>
      </c>
      <c r="J1261" s="6" t="str" cm="1">
        <f t="array" ref="J1261">IFERROR(TRIM(MID(E1261,MIN(FIND({" ";"g";"k";"m";"o"},E1261&amp;" gkmo")),10)),"unknown")</f>
        <v>g</v>
      </c>
      <c r="K1261" s="6" t="str">
        <f t="shared" si="76"/>
        <v>g</v>
      </c>
      <c r="L1261" s="6" t="str">
        <f t="shared" si="77"/>
        <v>Stockwell &amp; Co, Tesco</v>
      </c>
      <c r="M1261" s="6" t="str">
        <f t="shared" si="78"/>
        <v>Roasted &amp; Salted Peanuts</v>
      </c>
      <c r="N1261" s="6" t="str">
        <f t="shared" si="79"/>
        <v>France,Germany,United Kingdom</v>
      </c>
    </row>
    <row r="1262" spans="1:14" x14ac:dyDescent="0.25">
      <c r="A1262" s="6" t="s">
        <v>3184</v>
      </c>
      <c r="B1262" s="6">
        <v>12578</v>
      </c>
      <c r="C1262" s="6" t="s">
        <v>3185</v>
      </c>
      <c r="D1262" s="7" t="s">
        <v>47</v>
      </c>
      <c r="E1262" s="6" t="s">
        <v>495</v>
      </c>
      <c r="F1262" s="6" t="s">
        <v>511</v>
      </c>
      <c r="G1262" s="8">
        <v>45874</v>
      </c>
      <c r="H1262" s="6">
        <v>6.25</v>
      </c>
      <c r="I1262" s="6" cm="1">
        <f t="array" ref="I1262">IFERROR(VALUE(TRIM(LEFT(E1262,MIN(FIND({" ";"g";"k";"m";"o"},E1262&amp;" gkmo"))-1))),0)</f>
        <v>35</v>
      </c>
      <c r="J1262" s="6" t="str" cm="1">
        <f t="array" ref="J1262">IFERROR(TRIM(MID(E1262,MIN(FIND({" ";"g";"k";"m";"o"},E1262&amp;" gkmo")),10)),"unknown")</f>
        <v>g</v>
      </c>
      <c r="K1262" s="6" t="str">
        <f t="shared" si="76"/>
        <v>g</v>
      </c>
      <c r="L1262" s="6" t="str">
        <f t="shared" si="77"/>
        <v>Excelo</v>
      </c>
      <c r="M1262" s="6" t="str">
        <f t="shared" si="78"/>
        <v>Momo White</v>
      </c>
      <c r="N1262" s="6" t="str">
        <f t="shared" si="79"/>
        <v>France,Morocco</v>
      </c>
    </row>
    <row r="1263" spans="1:14" x14ac:dyDescent="0.25">
      <c r="A1263" s="6" t="s">
        <v>3186</v>
      </c>
      <c r="B1263" s="6">
        <v>9356</v>
      </c>
      <c r="C1263" s="6" t="s">
        <v>3187</v>
      </c>
      <c r="D1263" s="7" t="s">
        <v>3188</v>
      </c>
      <c r="E1263" s="6" t="s">
        <v>1228</v>
      </c>
      <c r="F1263" s="6" t="s">
        <v>2959</v>
      </c>
      <c r="G1263" s="8">
        <v>45699</v>
      </c>
      <c r="H1263" s="6">
        <v>15.49</v>
      </c>
      <c r="I1263" s="6" cm="1">
        <f t="array" ref="I1263">IFERROR(VALUE(TRIM(LEFT(E1263,MIN(FIND({" ";"g";"k";"m";"o"},E1263&amp;" gkmo"))-1))),0)</f>
        <v>60</v>
      </c>
      <c r="J1263" s="6" t="str" cm="1">
        <f t="array" ref="J1263">IFERROR(TRIM(MID(E1263,MIN(FIND({" ";"g";"k";"m";"o"},E1263&amp;" gkmo")),10)),"unknown")</f>
        <v>g</v>
      </c>
      <c r="K1263" s="6" t="str">
        <f t="shared" si="76"/>
        <v>g</v>
      </c>
      <c r="L1263" s="6" t="str">
        <f t="shared" si="77"/>
        <v>Maxi Sticks</v>
      </c>
      <c r="M1263" s="6" t="str">
        <f t="shared" si="78"/>
        <v>Ð¥Ñ€Ñƒñ-Ñ…Ñ€Ñƒñ</v>
      </c>
      <c r="N1263" s="6" t="str">
        <f t="shared" si="79"/>
        <v>Bulgaria</v>
      </c>
    </row>
    <row r="1264" spans="1:14" x14ac:dyDescent="0.25">
      <c r="A1264" s="6" t="s">
        <v>3189</v>
      </c>
      <c r="B1264" s="6">
        <v>14854</v>
      </c>
      <c r="C1264" s="6" t="s">
        <v>3190</v>
      </c>
      <c r="D1264" s="7" t="s">
        <v>3191</v>
      </c>
      <c r="E1264" s="6" t="s">
        <v>3192</v>
      </c>
      <c r="F1264" s="6" t="s">
        <v>8045</v>
      </c>
      <c r="G1264" s="8">
        <v>46057</v>
      </c>
      <c r="H1264" s="6">
        <v>3.89</v>
      </c>
      <c r="I1264" s="6" cm="1">
        <f t="array" ref="I1264">IFERROR(VALUE(TRIM(LEFT(E1264,MIN(FIND({" ";"g";"k";"m";"o"},E1264&amp;" gkmo"))-1))),0)</f>
        <v>225</v>
      </c>
      <c r="J1264" s="6" t="str" cm="1">
        <f t="array" ref="J1264">IFERROR(TRIM(MID(E1264,MIN(FIND({" ";"g";"k";"m";"o"},E1264&amp;" gkmo")),10)),"unknown")</f>
        <v>g e</v>
      </c>
      <c r="K1264" s="6" t="str">
        <f t="shared" si="76"/>
        <v>g</v>
      </c>
      <c r="L1264" s="6" t="str">
        <f t="shared" si="77"/>
        <v>Italiamo</v>
      </c>
      <c r="M1264" s="6" t="str">
        <f t="shared" si="78"/>
        <v>Le Sfoglie</v>
      </c>
      <c r="N1264" s="6" t="str">
        <f t="shared" si="79"/>
        <v>Croatia, France, Spain, United Kingdom, Romania</v>
      </c>
    </row>
    <row r="1265" spans="1:14" x14ac:dyDescent="0.25">
      <c r="A1265" s="6" t="s">
        <v>3193</v>
      </c>
      <c r="B1265" s="6">
        <v>11883</v>
      </c>
      <c r="C1265" s="6" t="s">
        <v>3194</v>
      </c>
      <c r="D1265" s="7" t="s">
        <v>3195</v>
      </c>
      <c r="E1265" s="6" t="s">
        <v>123</v>
      </c>
      <c r="F1265" s="6" t="s">
        <v>8046</v>
      </c>
      <c r="G1265" s="8">
        <v>45889</v>
      </c>
      <c r="H1265" s="6">
        <v>2.66</v>
      </c>
      <c r="I1265" s="6" cm="1">
        <f t="array" ref="I1265">IFERROR(VALUE(TRIM(LEFT(E1265,MIN(FIND({" ";"g";"k";"m";"o"},E1265&amp;" gkmo"))-1))),0)</f>
        <v>50</v>
      </c>
      <c r="J1265" s="6" t="str" cm="1">
        <f t="array" ref="J1265">IFERROR(TRIM(MID(E1265,MIN(FIND({" ";"g";"k";"m";"o"},E1265&amp;" gkmo")),10)),"unknown")</f>
        <v>g</v>
      </c>
      <c r="K1265" s="6" t="str">
        <f t="shared" si="76"/>
        <v>g</v>
      </c>
      <c r="L1265" s="6" t="str">
        <f t="shared" si="77"/>
        <v>Sante</v>
      </c>
      <c r="M1265" s="6" t="str">
        <f t="shared" si="78"/>
        <v>Vitamin Coconut Bar</v>
      </c>
      <c r="N1265" s="6" t="str">
        <f t="shared" si="79"/>
        <v>Egypt, Germany, Morocco, Romania, Poland</v>
      </c>
    </row>
    <row r="1266" spans="1:14" x14ac:dyDescent="0.25">
      <c r="A1266" s="6" t="s">
        <v>3196</v>
      </c>
      <c r="B1266" s="6">
        <v>6883</v>
      </c>
      <c r="C1266" s="6" t="s">
        <v>3197</v>
      </c>
      <c r="D1266" s="7" t="s">
        <v>112</v>
      </c>
      <c r="E1266" s="6" t="s">
        <v>1669</v>
      </c>
      <c r="F1266" s="6" t="s">
        <v>139</v>
      </c>
      <c r="G1266" s="8">
        <v>45559</v>
      </c>
      <c r="H1266" s="6">
        <v>13.16</v>
      </c>
      <c r="I1266" s="6" cm="1">
        <f t="array" ref="I1266">IFERROR(VALUE(TRIM(LEFT(E1266,MIN(FIND({" ";"g";"k";"m";"o"},E1266&amp;" gkmo"))-1))),0)</f>
        <v>195</v>
      </c>
      <c r="J1266" s="6" t="str" cm="1">
        <f t="array" ref="J1266">IFERROR(TRIM(MID(E1266,MIN(FIND({" ";"g";"k";"m";"o"},E1266&amp;" gkmo")),10)),"unknown")</f>
        <v>g</v>
      </c>
      <c r="K1266" s="6" t="str">
        <f t="shared" si="76"/>
        <v>g</v>
      </c>
      <c r="L1266" s="6" t="str">
        <f t="shared" si="77"/>
        <v>Pringles</v>
      </c>
      <c r="M1266" s="6" t="str">
        <f t="shared" si="78"/>
        <v>Sour Cream &amp; Onion</v>
      </c>
      <c r="N1266" s="6" t="str">
        <f t="shared" si="79"/>
        <v>France</v>
      </c>
    </row>
    <row r="1267" spans="1:14" x14ac:dyDescent="0.25">
      <c r="A1267" s="6" t="s">
        <v>3198</v>
      </c>
      <c r="B1267" s="6">
        <v>10010</v>
      </c>
      <c r="C1267" s="6" t="s">
        <v>3199</v>
      </c>
      <c r="D1267" s="7" t="s">
        <v>1167</v>
      </c>
      <c r="E1267" s="6" t="s">
        <v>3200</v>
      </c>
      <c r="F1267" s="6" t="s">
        <v>3201</v>
      </c>
      <c r="G1267" s="8">
        <v>45853</v>
      </c>
      <c r="H1267" s="6">
        <v>17.3</v>
      </c>
      <c r="I1267" s="6" cm="1">
        <f t="array" ref="I1267">IFERROR(VALUE(TRIM(LEFT(E1267,MIN(FIND({" ";"g";"k";"m";"o"},E1267&amp;" gkmo"))-1))),0)</f>
        <v>135</v>
      </c>
      <c r="J1267" s="6" t="str" cm="1">
        <f t="array" ref="J1267">IFERROR(TRIM(MID(E1267,MIN(FIND({" ";"g";"k";"m";"o"},E1267&amp;" gkmo")),10)),"unknown")</f>
        <v>g (3 x 45</v>
      </c>
      <c r="K1267" s="6" t="str">
        <f t="shared" si="76"/>
        <v>g</v>
      </c>
      <c r="L1267" s="6" t="str">
        <f t="shared" si="77"/>
        <v>Lidl</v>
      </c>
      <c r="M1267" s="6" t="str">
        <f t="shared" si="78"/>
        <v>Protein Bar Chocolate Brownie</v>
      </c>
      <c r="N1267" s="6" t="str">
        <f t="shared" si="79"/>
        <v>France,Italy,Spain,United Kingdom</v>
      </c>
    </row>
    <row r="1268" spans="1:14" x14ac:dyDescent="0.25">
      <c r="A1268" s="6" t="s">
        <v>3202</v>
      </c>
      <c r="B1268" s="6">
        <v>5395</v>
      </c>
      <c r="C1268" s="6" t="s">
        <v>3203</v>
      </c>
      <c r="D1268" s="7" t="s">
        <v>452</v>
      </c>
      <c r="E1268" s="6" t="s">
        <v>10</v>
      </c>
      <c r="F1268" s="6" t="s">
        <v>1694</v>
      </c>
      <c r="G1268" s="8">
        <v>45733</v>
      </c>
      <c r="H1268" s="6">
        <v>18.71</v>
      </c>
      <c r="I1268" s="6" cm="1">
        <f t="array" ref="I1268">IFERROR(VALUE(TRIM(LEFT(E1268,MIN(FIND({" ";"g";"k";"m";"o"},E1268&amp;" gkmo"))-1))),0)</f>
        <v>100</v>
      </c>
      <c r="J1268" s="6" t="str" cm="1">
        <f t="array" ref="J1268">IFERROR(TRIM(MID(E1268,MIN(FIND({" ";"g";"k";"m";"o"},E1268&amp;" gkmo")),10)),"unknown")</f>
        <v>g</v>
      </c>
      <c r="K1268" s="6" t="str">
        <f t="shared" si="76"/>
        <v>g</v>
      </c>
      <c r="L1268" s="6" t="str">
        <f t="shared" si="77"/>
        <v>Hacendado</v>
      </c>
      <c r="M1268" s="6" t="str">
        <f t="shared" si="78"/>
        <v>Chocolate Negro 72%</v>
      </c>
      <c r="N1268" s="6" t="str">
        <f t="shared" si="79"/>
        <v>Morocco,Spain</v>
      </c>
    </row>
    <row r="1269" spans="1:14" x14ac:dyDescent="0.25">
      <c r="A1269" s="6" t="s">
        <v>3204</v>
      </c>
      <c r="B1269" s="6">
        <v>8441</v>
      </c>
      <c r="C1269" s="6" t="s">
        <v>3205</v>
      </c>
      <c r="D1269" s="7" t="s">
        <v>568</v>
      </c>
      <c r="E1269" s="6" t="s">
        <v>3206</v>
      </c>
      <c r="F1269" s="6" t="s">
        <v>8259</v>
      </c>
      <c r="G1269" s="8">
        <v>45641</v>
      </c>
      <c r="H1269" s="6">
        <v>9.8800000000000008</v>
      </c>
      <c r="I1269" s="6" cm="1">
        <f t="array" ref="I1269">IFERROR(VALUE(TRIM(LEFT(E1269,MIN(FIND({" ";"g";"k";"m";"o"},E1269&amp;" gkmo"))-1))),0)</f>
        <v>90</v>
      </c>
      <c r="J1269" s="6" t="str" cm="1">
        <f t="array" ref="J1269">IFERROR(TRIM(MID(E1269,MIN(FIND({" ";"g";"k";"m";"o"},E1269&amp;" gkmo")),10)),"unknown")</f>
        <v>g (5 x 18</v>
      </c>
      <c r="K1269" s="6" t="str">
        <f t="shared" si="76"/>
        <v>g</v>
      </c>
      <c r="L1269" s="6" t="str">
        <f t="shared" si="77"/>
        <v>Ferrero,Kinder</v>
      </c>
      <c r="M1269" s="6" t="str">
        <f t="shared" si="78"/>
        <v>Kinder Tronky</v>
      </c>
      <c r="N1269" s="6" t="str">
        <f t="shared" si="79"/>
        <v>Australie,France,Germany,Nouvelle-Zélande</v>
      </c>
    </row>
    <row r="1270" spans="1:14" x14ac:dyDescent="0.25">
      <c r="A1270" s="6" t="s">
        <v>3207</v>
      </c>
      <c r="B1270" s="6">
        <v>12486</v>
      </c>
      <c r="C1270" s="6" t="s">
        <v>7712</v>
      </c>
      <c r="D1270" s="7" t="s">
        <v>452</v>
      </c>
      <c r="E1270" s="6" t="s">
        <v>423</v>
      </c>
      <c r="F1270" s="6" t="s">
        <v>7573</v>
      </c>
      <c r="G1270" s="8">
        <v>45747</v>
      </c>
      <c r="H1270" s="6">
        <v>14.06</v>
      </c>
      <c r="I1270" s="6" cm="1">
        <f t="array" ref="I1270">IFERROR(VALUE(TRIM(LEFT(E1270,MIN(FIND({" ";"g";"k";"m";"o"},E1270&amp;" gkmo"))-1))),0)</f>
        <v>125</v>
      </c>
      <c r="J1270" s="6" t="str" cm="1">
        <f t="array" ref="J1270">IFERROR(TRIM(MID(E1270,MIN(FIND({" ";"g";"k";"m";"o"},E1270&amp;" gkmo")),10)),"unknown")</f>
        <v>g</v>
      </c>
      <c r="K1270" s="6" t="str">
        <f t="shared" si="76"/>
        <v>g</v>
      </c>
      <c r="L1270" s="6" t="str">
        <f t="shared" si="77"/>
        <v>Hacendado</v>
      </c>
      <c r="M1270" s="6" t="str">
        <f t="shared" si="78"/>
        <v>Barritas De Galleta Rellenas De Arà¡Ndanos</v>
      </c>
      <c r="N1270" s="6" t="str">
        <f t="shared" si="79"/>
        <v>Portugal,Espaà±A</v>
      </c>
    </row>
    <row r="1271" spans="1:14" x14ac:dyDescent="0.25">
      <c r="A1271" s="6" t="s">
        <v>3208</v>
      </c>
      <c r="B1271" s="6">
        <v>13919</v>
      </c>
      <c r="C1271" s="6" t="s">
        <v>3209</v>
      </c>
      <c r="D1271" s="7" t="s">
        <v>135</v>
      </c>
      <c r="E1271" s="6"/>
      <c r="F1271" s="6" t="s">
        <v>48</v>
      </c>
      <c r="G1271" s="8">
        <v>45879</v>
      </c>
      <c r="H1271" s="6">
        <v>5.99</v>
      </c>
      <c r="I1271" s="6" cm="1">
        <f t="array" ref="I1271">IFERROR(VALUE(TRIM(LEFT(E1271,MIN(FIND({" ";"g";"k";"m";"o"},E1271&amp;" gkmo"))-1))),0)</f>
        <v>0</v>
      </c>
      <c r="J1271" s="6" t="str" cm="1">
        <f t="array" ref="J1271">IFERROR(TRIM(MID(E1271,MIN(FIND({" ";"g";"k";"m";"o"},E1271&amp;" gkmo")),10)),"unknown")</f>
        <v/>
      </c>
      <c r="K1271" s="6" t="str">
        <f t="shared" si="76"/>
        <v>unknown</v>
      </c>
      <c r="L1271" s="6" t="str">
        <f t="shared" si="77"/>
        <v>Milka</v>
      </c>
      <c r="M1271" s="6" t="str">
        <f t="shared" si="78"/>
        <v>Milka Triple Chocolat Avec Morceaux De Biscuits</v>
      </c>
      <c r="N1271" s="6" t="str">
        <f t="shared" si="79"/>
        <v>Morocco</v>
      </c>
    </row>
    <row r="1272" spans="1:14" x14ac:dyDescent="0.25">
      <c r="A1272" s="6" t="s">
        <v>3210</v>
      </c>
      <c r="B1272" s="6">
        <v>6869</v>
      </c>
      <c r="C1272" s="6" t="s">
        <v>7017</v>
      </c>
      <c r="D1272" s="7" t="s">
        <v>961</v>
      </c>
      <c r="E1272" s="6" t="s">
        <v>28</v>
      </c>
      <c r="F1272" s="6" t="s">
        <v>2612</v>
      </c>
      <c r="G1272" s="8">
        <v>45514</v>
      </c>
      <c r="H1272" s="6">
        <v>13.16</v>
      </c>
      <c r="I1272" s="6" cm="1">
        <f t="array" ref="I1272">IFERROR(VALUE(TRIM(LEFT(E1272,MIN(FIND({" ";"g";"k";"m";"o"},E1272&amp;" gkmo"))-1))),0)</f>
        <v>125</v>
      </c>
      <c r="J1272" s="6" t="str" cm="1">
        <f t="array" ref="J1272">IFERROR(TRIM(MID(E1272,MIN(FIND({" ";"g";"k";"m";"o"},E1272&amp;" gkmo")),10)),"unknown")</f>
        <v>g</v>
      </c>
      <c r="K1272" s="6" t="str">
        <f t="shared" si="76"/>
        <v>g</v>
      </c>
      <c r="L1272" s="6" t="str">
        <f t="shared" si="77"/>
        <v>Sondey</v>
      </c>
      <c r="M1272" s="6" t="str">
        <f t="shared" si="78"/>
        <v>Unknown</v>
      </c>
      <c r="N1272" s="6" t="str">
        <f t="shared" si="79"/>
        <v>Germany,Ireland,United Kingdom</v>
      </c>
    </row>
    <row r="1273" spans="1:14" x14ac:dyDescent="0.25">
      <c r="A1273" s="6" t="s">
        <v>3211</v>
      </c>
      <c r="B1273" s="6">
        <v>14604</v>
      </c>
      <c r="C1273" s="6" t="s">
        <v>3212</v>
      </c>
      <c r="D1273" s="7" t="s">
        <v>7215</v>
      </c>
      <c r="E1273" s="6" t="s">
        <v>73</v>
      </c>
      <c r="F1273" s="6" t="s">
        <v>139</v>
      </c>
      <c r="G1273" s="8">
        <v>45915</v>
      </c>
      <c r="H1273" s="6">
        <v>17.149999999999999</v>
      </c>
      <c r="I1273" s="6" cm="1">
        <f t="array" ref="I1273">IFERROR(VALUE(TRIM(LEFT(E1273,MIN(FIND({" ";"g";"k";"m";"o"},E1273&amp;" gkmo"))-1))),0)</f>
        <v>225</v>
      </c>
      <c r="J1273" s="6" t="str" cm="1">
        <f t="array" ref="J1273">IFERROR(TRIM(MID(E1273,MIN(FIND({" ";"g";"k";"m";"o"},E1273&amp;" gkmo")),10)),"unknown")</f>
        <v>g</v>
      </c>
      <c r="K1273" s="6" t="str">
        <f t="shared" si="76"/>
        <v>g</v>
      </c>
      <c r="L1273" s="6" t="str">
        <f t="shared" si="77"/>
        <v>Lu,Mondelez,Pépito</v>
      </c>
      <c r="M1273" s="6" t="str">
        <f t="shared" si="78"/>
        <v>Mini Rollos Chocolat Au Lait &amp; Coeur Fondant Au Lait</v>
      </c>
      <c r="N1273" s="6" t="str">
        <f t="shared" si="79"/>
        <v>France</v>
      </c>
    </row>
    <row r="1274" spans="1:14" x14ac:dyDescent="0.25">
      <c r="A1274" s="6" t="s">
        <v>3213</v>
      </c>
      <c r="B1274" s="6">
        <v>11218</v>
      </c>
      <c r="C1274" s="6" t="s">
        <v>7216</v>
      </c>
      <c r="D1274" s="7" t="s">
        <v>7017</v>
      </c>
      <c r="E1274" s="6" t="s">
        <v>1309</v>
      </c>
      <c r="F1274" s="6" t="s">
        <v>1181</v>
      </c>
      <c r="G1274" s="8">
        <v>45575</v>
      </c>
      <c r="H1274" s="6">
        <v>13.16</v>
      </c>
      <c r="I1274" s="6" cm="1">
        <f t="array" ref="I1274">IFERROR(VALUE(TRIM(LEFT(E1274,MIN(FIND({" ";"g";"k";"m";"o"},E1274&amp;" gkmo"))-1))),0)</f>
        <v>300</v>
      </c>
      <c r="J1274" s="6" t="str" cm="1">
        <f t="array" ref="J1274">IFERROR(TRIM(MID(E1274,MIN(FIND({" ";"g";"k";"m";"o"},E1274&amp;" gkmo")),10)),"unknown")</f>
        <v>g</v>
      </c>
      <c r="K1274" s="6" t="str">
        <f t="shared" si="76"/>
        <v>g</v>
      </c>
      <c r="L1274" s="6" t="str">
        <f t="shared" si="77"/>
        <v>Unknown</v>
      </c>
      <c r="M1274" s="6" t="str">
        <f t="shared" si="78"/>
        <v>Gaufres Au Sucre Perlé</v>
      </c>
      <c r="N1274" s="6" t="str">
        <f t="shared" si="79"/>
        <v>France,Switzerland</v>
      </c>
    </row>
    <row r="1275" spans="1:14" x14ac:dyDescent="0.25">
      <c r="A1275" s="6" t="s">
        <v>3214</v>
      </c>
      <c r="B1275" s="6">
        <v>13632</v>
      </c>
      <c r="C1275" s="6" t="s">
        <v>7713</v>
      </c>
      <c r="D1275" s="7" t="s">
        <v>3215</v>
      </c>
      <c r="E1275" s="6" t="s">
        <v>39</v>
      </c>
      <c r="F1275" s="6" t="s">
        <v>7919</v>
      </c>
      <c r="G1275" s="8">
        <v>45991</v>
      </c>
      <c r="H1275" s="6">
        <v>4.45</v>
      </c>
      <c r="I1275" s="6" cm="1">
        <f t="array" ref="I1275">IFERROR(VALUE(TRIM(LEFT(E1275,MIN(FIND({" ";"g";"k";"m";"o"},E1275&amp;" gkmo"))-1))),0)</f>
        <v>150</v>
      </c>
      <c r="J1275" s="6" t="str" cm="1">
        <f t="array" ref="J1275">IFERROR(TRIM(MID(E1275,MIN(FIND({" ";"g";"k";"m";"o"},E1275&amp;" gkmo")),10)),"unknown")</f>
        <v>g</v>
      </c>
      <c r="K1275" s="6" t="str">
        <f t="shared" si="76"/>
        <v>g</v>
      </c>
      <c r="L1275" s="6" t="str">
        <f t="shared" si="77"/>
        <v>Cmi (Carrefour Marchandises Internationales), Carrefour, Carrefour Original, Groupe Carrefour</v>
      </c>
      <c r="M1275" s="6" t="str">
        <f t="shared" si="78"/>
        <v>Chips À  L'Ancienne Nature</v>
      </c>
      <c r="N1275" s="6" t="str">
        <f t="shared" si="79"/>
        <v>France, Morocco</v>
      </c>
    </row>
    <row r="1276" spans="1:14" x14ac:dyDescent="0.25">
      <c r="A1276" s="6" t="s">
        <v>3216</v>
      </c>
      <c r="B1276" s="6">
        <v>5885</v>
      </c>
      <c r="C1276" s="6" t="s">
        <v>3217</v>
      </c>
      <c r="D1276" s="7" t="s">
        <v>7017</v>
      </c>
      <c r="E1276" s="6"/>
      <c r="F1276" s="6" t="s">
        <v>139</v>
      </c>
      <c r="G1276" s="8">
        <v>45334</v>
      </c>
      <c r="H1276" s="6">
        <v>14.92</v>
      </c>
      <c r="I1276" s="6" cm="1">
        <f t="array" ref="I1276">IFERROR(VALUE(TRIM(LEFT(E1276,MIN(FIND({" ";"g";"k";"m";"o"},E1276&amp;" gkmo"))-1))),0)</f>
        <v>0</v>
      </c>
      <c r="J1276" s="6" t="str" cm="1">
        <f t="array" ref="J1276">IFERROR(TRIM(MID(E1276,MIN(FIND({" ";"g";"k";"m";"o"},E1276&amp;" gkmo")),10)),"unknown")</f>
        <v/>
      </c>
      <c r="K1276" s="6" t="str">
        <f t="shared" si="76"/>
        <v>unknown</v>
      </c>
      <c r="L1276" s="6" t="str">
        <f t="shared" si="77"/>
        <v>Unknown</v>
      </c>
      <c r="M1276" s="6" t="str">
        <f t="shared" si="78"/>
        <v>Sel Et Poivre</v>
      </c>
      <c r="N1276" s="6" t="str">
        <f t="shared" si="79"/>
        <v>France</v>
      </c>
    </row>
    <row r="1277" spans="1:14" x14ac:dyDescent="0.25">
      <c r="A1277" s="6" t="s">
        <v>3218</v>
      </c>
      <c r="B1277" s="6">
        <v>5520</v>
      </c>
      <c r="C1277" s="6" t="s">
        <v>7217</v>
      </c>
      <c r="D1277" s="7" t="s">
        <v>7714</v>
      </c>
      <c r="E1277" s="6"/>
      <c r="F1277" s="6" t="s">
        <v>7954</v>
      </c>
      <c r="G1277" s="8">
        <v>45921</v>
      </c>
      <c r="H1277" s="6">
        <v>20.329999999999998</v>
      </c>
      <c r="I1277" s="6" cm="1">
        <f t="array" ref="I1277">IFERROR(VALUE(TRIM(LEFT(E1277,MIN(FIND({" ";"g";"k";"m";"o"},E1277&amp;" gkmo"))-1))),0)</f>
        <v>0</v>
      </c>
      <c r="J1277" s="6" t="str" cm="1">
        <f t="array" ref="J1277">IFERROR(TRIM(MID(E1277,MIN(FIND({" ";"g";"k";"m";"o"},E1277&amp;" gkmo")),10)),"unknown")</f>
        <v/>
      </c>
      <c r="K1277" s="6" t="str">
        <f t="shared" si="76"/>
        <v>unknown</v>
      </c>
      <c r="L1277" s="6" t="str">
        <f t="shared" si="77"/>
        <v>Les Créations, Producteur &amp; Commerà§Ant</v>
      </c>
      <c r="M1277" s="6" t="str">
        <f t="shared" si="78"/>
        <v>Tablette Dégustation Chocolat Noir 70% - 100G</v>
      </c>
      <c r="N1277" s="6" t="str">
        <f t="shared" si="79"/>
        <v>France, Belgium</v>
      </c>
    </row>
    <row r="1278" spans="1:14" x14ac:dyDescent="0.25">
      <c r="A1278" s="6" t="s">
        <v>3219</v>
      </c>
      <c r="B1278" s="6">
        <v>8096</v>
      </c>
      <c r="C1278" s="6" t="s">
        <v>7218</v>
      </c>
      <c r="D1278" s="7" t="s">
        <v>7017</v>
      </c>
      <c r="E1278" s="6" t="s">
        <v>3220</v>
      </c>
      <c r="F1278" s="6" t="s">
        <v>601</v>
      </c>
      <c r="G1278" s="8">
        <v>45400</v>
      </c>
      <c r="H1278" s="6">
        <v>4.59</v>
      </c>
      <c r="I1278" s="6" cm="1">
        <f t="array" ref="I1278">IFERROR(VALUE(TRIM(LEFT(E1278,MIN(FIND({" ";"g";"k";"m";"o"},E1278&amp;" gkmo"))-1))),0)</f>
        <v>190</v>
      </c>
      <c r="J1278" s="6" t="str" cm="1">
        <f t="array" ref="J1278">IFERROR(TRIM(MID(E1278,MIN(FIND({" ";"g";"k";"m";"o"},E1278&amp;" gkmo")),10)),"unknown")</f>
        <v>g</v>
      </c>
      <c r="K1278" s="6" t="str">
        <f t="shared" si="76"/>
        <v>g</v>
      </c>
      <c r="L1278" s="6" t="str">
        <f t="shared" si="77"/>
        <v>Unknown</v>
      </c>
      <c r="M1278" s="6" t="str">
        <f t="shared" si="78"/>
        <v>P'Tit Déj Bio Céréales Et Chocolat</v>
      </c>
      <c r="N1278" s="6" t="str">
        <f t="shared" si="79"/>
        <v>France,Spain</v>
      </c>
    </row>
    <row r="1279" spans="1:14" x14ac:dyDescent="0.25">
      <c r="A1279" s="6" t="s">
        <v>3221</v>
      </c>
      <c r="B1279" s="6">
        <v>11845</v>
      </c>
      <c r="C1279" s="6" t="s">
        <v>3222</v>
      </c>
      <c r="D1279" s="7" t="s">
        <v>646</v>
      </c>
      <c r="E1279" s="6" t="s">
        <v>151</v>
      </c>
      <c r="F1279" s="6" t="s">
        <v>7559</v>
      </c>
      <c r="G1279" s="8">
        <v>46019</v>
      </c>
      <c r="H1279" s="6">
        <v>13.16</v>
      </c>
      <c r="I1279" s="6" cm="1">
        <f t="array" ref="I1279">IFERROR(VALUE(TRIM(LEFT(E1279,MIN(FIND({" ";"g";"k";"m";"o"},E1279&amp;" gkmo"))-1))),0)</f>
        <v>200</v>
      </c>
      <c r="J1279" s="6" t="str" cm="1">
        <f t="array" ref="J1279">IFERROR(TRIM(MID(E1279,MIN(FIND({" ";"g";"k";"m";"o"},E1279&amp;" gkmo")),10)),"unknown")</f>
        <v>g</v>
      </c>
      <c r="K1279" s="6" t="str">
        <f t="shared" si="76"/>
        <v>g</v>
      </c>
      <c r="L1279" s="6" t="str">
        <f t="shared" si="77"/>
        <v>Carrefour Bio, Carrefour</v>
      </c>
      <c r="M1279" s="6" t="str">
        <f t="shared" si="78"/>
        <v>Cookies Chocolat Noisettes</v>
      </c>
      <c r="N1279" s="6" t="str">
        <f t="shared" si="79"/>
        <v>Frankrijk,Italië,Spanje</v>
      </c>
    </row>
    <row r="1280" spans="1:14" x14ac:dyDescent="0.25">
      <c r="A1280" s="6" t="s">
        <v>3223</v>
      </c>
      <c r="B1280" s="6">
        <v>12093</v>
      </c>
      <c r="C1280" s="6" t="s">
        <v>3224</v>
      </c>
      <c r="D1280" s="7" t="s">
        <v>854</v>
      </c>
      <c r="E1280" s="6" t="s">
        <v>352</v>
      </c>
      <c r="F1280" s="6" t="s">
        <v>8280</v>
      </c>
      <c r="G1280" s="8">
        <v>46005</v>
      </c>
      <c r="H1280" s="6">
        <v>15.35</v>
      </c>
      <c r="I1280" s="6" cm="1">
        <f t="array" ref="I1280">IFERROR(VALUE(TRIM(LEFT(E1280,MIN(FIND({" ";"g";"k";"m";"o"},E1280&amp;" gkmo"))-1))),0)</f>
        <v>170</v>
      </c>
      <c r="J1280" s="6" t="str" cm="1">
        <f t="array" ref="J1280">IFERROR(TRIM(MID(E1280,MIN(FIND({" ";"g";"k";"m";"o"},E1280&amp;" gkmo")),10)),"unknown")</f>
        <v>g</v>
      </c>
      <c r="K1280" s="6" t="str">
        <f t="shared" si="76"/>
        <v>g</v>
      </c>
      <c r="L1280" s="6" t="str">
        <f t="shared" si="77"/>
        <v>Carrefour</v>
      </c>
      <c r="M1280" s="6" t="str">
        <f t="shared" si="78"/>
        <v>Dipster</v>
      </c>
      <c r="N1280" s="6" t="str">
        <f t="shared" si="79"/>
        <v>France,Italie,Spain</v>
      </c>
    </row>
    <row r="1281" spans="1:14" x14ac:dyDescent="0.25">
      <c r="A1281" s="6" t="s">
        <v>3225</v>
      </c>
      <c r="B1281" s="6">
        <v>13434</v>
      </c>
      <c r="C1281" s="6" t="s">
        <v>7219</v>
      </c>
      <c r="D1281" s="7" t="s">
        <v>555</v>
      </c>
      <c r="E1281" s="6" t="s">
        <v>10</v>
      </c>
      <c r="F1281" s="6" t="s">
        <v>139</v>
      </c>
      <c r="G1281" s="8">
        <v>45908</v>
      </c>
      <c r="H1281" s="6">
        <v>18.13</v>
      </c>
      <c r="I1281" s="6" cm="1">
        <f t="array" ref="I1281">IFERROR(VALUE(TRIM(LEFT(E1281,MIN(FIND({" ";"g";"k";"m";"o"},E1281&amp;" gkmo"))-1))),0)</f>
        <v>100</v>
      </c>
      <c r="J1281" s="6" t="str" cm="1">
        <f t="array" ref="J1281">IFERROR(TRIM(MID(E1281,MIN(FIND({" ";"g";"k";"m";"o"},E1281&amp;" gkmo")),10)),"unknown")</f>
        <v>g</v>
      </c>
      <c r="K1281" s="6" t="str">
        <f t="shared" si="76"/>
        <v>g</v>
      </c>
      <c r="L1281" s="6" t="str">
        <f t="shared" si="77"/>
        <v>Alter Eco</v>
      </c>
      <c r="M1281" s="6" t="str">
        <f t="shared" si="78"/>
        <v>Chocolat Noir Aux Éclats D'Amandes</v>
      </c>
      <c r="N1281" s="6" t="str">
        <f t="shared" si="79"/>
        <v>France</v>
      </c>
    </row>
    <row r="1282" spans="1:14" x14ac:dyDescent="0.25">
      <c r="A1282" s="6" t="s">
        <v>3226</v>
      </c>
      <c r="B1282" s="6">
        <v>12595</v>
      </c>
      <c r="C1282" s="6" t="s">
        <v>3227</v>
      </c>
      <c r="D1282" s="7" t="s">
        <v>2266</v>
      </c>
      <c r="E1282" s="6" t="s">
        <v>676</v>
      </c>
      <c r="F1282" s="6" t="s">
        <v>400</v>
      </c>
      <c r="G1282" s="8">
        <v>45399</v>
      </c>
      <c r="H1282" s="6">
        <v>4.8600000000000003</v>
      </c>
      <c r="I1282" s="6" cm="1">
        <f t="array" ref="I1282">IFERROR(VALUE(TRIM(LEFT(E1282,MIN(FIND({" ";"g";"k";"m";"o"},E1282&amp;" gkmo"))-1))),0)</f>
        <v>180</v>
      </c>
      <c r="J1282" s="6" t="str" cm="1">
        <f t="array" ref="J1282">IFERROR(TRIM(MID(E1282,MIN(FIND({" ";"g";"k";"m";"o"},E1282&amp;" gkmo")),10)),"unknown")</f>
        <v>g</v>
      </c>
      <c r="K1282" s="6" t="str">
        <f t="shared" si="76"/>
        <v>g</v>
      </c>
      <c r="L1282" s="6" t="str">
        <f t="shared" si="77"/>
        <v>Snack A Jacks</v>
      </c>
      <c r="M1282" s="6" t="str">
        <f t="shared" si="78"/>
        <v>Snacks A Jacks Chocolate Chip Rice Cakes 180G</v>
      </c>
      <c r="N1282" s="6" t="str">
        <f t="shared" si="79"/>
        <v>France,United Kingdom</v>
      </c>
    </row>
    <row r="1283" spans="1:14" x14ac:dyDescent="0.25">
      <c r="A1283" s="6" t="s">
        <v>3228</v>
      </c>
      <c r="B1283" s="6">
        <v>12305</v>
      </c>
      <c r="C1283" s="6" t="s">
        <v>3229</v>
      </c>
      <c r="D1283" s="7" t="s">
        <v>1402</v>
      </c>
      <c r="E1283" s="6" t="s">
        <v>7715</v>
      </c>
      <c r="F1283" s="6" t="s">
        <v>400</v>
      </c>
      <c r="G1283" s="8">
        <v>45654</v>
      </c>
      <c r="H1283" s="6">
        <v>7.33</v>
      </c>
      <c r="I1283" s="6" cm="1">
        <f t="array" ref="I1283">IFERROR(VALUE(TRIM(LEFT(E1283,MIN(FIND({" ";"g";"k";"m";"o"},E1283&amp;" gkmo"))-1))),0)</f>
        <v>3</v>
      </c>
      <c r="J1283" s="6" t="str" cm="1">
        <f t="array" ref="J1283">IFERROR(TRIM(MID(E1283,MIN(FIND({" ";"g";"k";"m";"o"},E1283&amp;" gkmo")),10)),"unknown")</f>
        <v>à— 45 g</v>
      </c>
      <c r="K1283" s="6" t="str">
        <f t="shared" ref="K1283:K1346" si="80">IF(E1283="","unknown",IF(OR(J1283="g",LEFT(J1283,1)="g"),"g",IF(OR(LEFT(J1283,2)="kg",LEFT(J1283,2)="ki"),"kg",IF(OR(LEFT(J1283,2)="ml",LEFT(J1283,1)="m"),"ml",IF(LEFT(J1283,1)="l","l",IF(ISNUMBER(SEARCH("g",E1283)),"g",IF(ISNUMBER(SEARCH("kg",E1283)),"kg",IF(ISNUMBER(SEARCH("ml",E1283)),"ml","unknown"))))))))</f>
        <v>g</v>
      </c>
      <c r="L1283" s="6" t="str">
        <f t="shared" ref="L1283:L1346" si="81">IF(D1283="","Unknown",PROPER(TRIM(D1283)))</f>
        <v>Eat Natural</v>
      </c>
      <c r="M1283" s="6" t="str">
        <f t="shared" ref="M1283:M1346" si="82">IF(C1283="Unknown","Unknown",PROPER(TRIM(C1283)))</f>
        <v>Dark Chocolate Bar With Cranberries And Macadamias</v>
      </c>
      <c r="N1283" s="6" t="str">
        <f t="shared" ref="N1283:N1346" si="83">IF(F1283="","Unknown",PROPER(TRIM(F1283)))</f>
        <v>France,United Kingdom</v>
      </c>
    </row>
    <row r="1284" spans="1:14" x14ac:dyDescent="0.25">
      <c r="A1284" s="6" t="s">
        <v>3230</v>
      </c>
      <c r="B1284" s="6">
        <v>8571</v>
      </c>
      <c r="C1284" s="6" t="s">
        <v>3231</v>
      </c>
      <c r="D1284" s="7" t="s">
        <v>2040</v>
      </c>
      <c r="E1284" s="6"/>
      <c r="F1284" s="6" t="s">
        <v>7926</v>
      </c>
      <c r="G1284" s="8">
        <v>45922</v>
      </c>
      <c r="H1284" s="6">
        <v>9.9</v>
      </c>
      <c r="I1284" s="6" cm="1">
        <f t="array" ref="I1284">IFERROR(VALUE(TRIM(LEFT(E1284,MIN(FIND({" ";"g";"k";"m";"o"},E1284&amp;" gkmo"))-1))),0)</f>
        <v>0</v>
      </c>
      <c r="J1284" s="6" t="str" cm="1">
        <f t="array" ref="J1284">IFERROR(TRIM(MID(E1284,MIN(FIND({" ";"g";"k";"m";"o"},E1284&amp;" gkmo")),10)),"unknown")</f>
        <v/>
      </c>
      <c r="K1284" s="6" t="str">
        <f t="shared" si="80"/>
        <v>unknown</v>
      </c>
      <c r="L1284" s="6" t="str">
        <f t="shared" si="81"/>
        <v>Pipers</v>
      </c>
      <c r="M1284" s="6" t="str">
        <f t="shared" si="82"/>
        <v>Pipers Lye Cross Cheddar &amp; Onion Crisps</v>
      </c>
      <c r="N1284" s="6" t="str">
        <f t="shared" si="83"/>
        <v>France, United-Kingdom</v>
      </c>
    </row>
    <row r="1285" spans="1:14" x14ac:dyDescent="0.25">
      <c r="A1285" s="6" t="s">
        <v>3232</v>
      </c>
      <c r="B1285" s="6">
        <v>13642</v>
      </c>
      <c r="C1285" s="6" t="s">
        <v>7017</v>
      </c>
      <c r="D1285" s="7" t="s">
        <v>112</v>
      </c>
      <c r="E1285" s="6" t="s">
        <v>160</v>
      </c>
      <c r="F1285" s="6" t="s">
        <v>8409</v>
      </c>
      <c r="G1285" s="8">
        <v>46013</v>
      </c>
      <c r="H1285" s="6">
        <v>13.16</v>
      </c>
      <c r="I1285" s="6" cm="1">
        <f t="array" ref="I1285">IFERROR(VALUE(TRIM(LEFT(E1285,MIN(FIND({" ";"g";"k";"m";"o"},E1285&amp;" gkmo"))-1))),0)</f>
        <v>165</v>
      </c>
      <c r="J1285" s="6" t="str" cm="1">
        <f t="array" ref="J1285">IFERROR(TRIM(MID(E1285,MIN(FIND({" ";"g";"k";"m";"o"},E1285&amp;" gkmo")),10)),"unknown")</f>
        <v>g</v>
      </c>
      <c r="K1285" s="6" t="str">
        <f t="shared" si="80"/>
        <v>g</v>
      </c>
      <c r="L1285" s="6" t="str">
        <f t="shared" si="81"/>
        <v>Pringles</v>
      </c>
      <c r="M1285" s="6" t="str">
        <f t="shared" si="82"/>
        <v>Unknown</v>
      </c>
      <c r="N1285" s="6" t="str">
        <f t="shared" si="83"/>
        <v>France,Germany,Irlanda,United Kingdom</v>
      </c>
    </row>
    <row r="1286" spans="1:14" x14ac:dyDescent="0.25">
      <c r="A1286" s="6" t="s">
        <v>3233</v>
      </c>
      <c r="B1286" s="6">
        <v>14210</v>
      </c>
      <c r="C1286" s="6" t="s">
        <v>1153</v>
      </c>
      <c r="D1286" s="7" t="s">
        <v>290</v>
      </c>
      <c r="E1286" s="6" t="s">
        <v>3234</v>
      </c>
      <c r="F1286" s="6" t="s">
        <v>7948</v>
      </c>
      <c r="G1286" s="8">
        <v>45778</v>
      </c>
      <c r="H1286" s="6">
        <v>22.52</v>
      </c>
      <c r="I1286" s="6" cm="1">
        <f t="array" ref="I1286">IFERROR(VALUE(TRIM(LEFT(E1286,MIN(FIND({" ";"g";"k";"m";"o"},E1286&amp;" gkmo"))-1))),0)</f>
        <v>1</v>
      </c>
      <c r="J1286" s="6" t="str" cm="1">
        <f t="array" ref="J1286">IFERROR(TRIM(MID(E1286,MIN(FIND({" ";"g";"k";"m";"o"},E1286&amp;" gkmo")),10)),"unknown")</f>
        <v>x 35g</v>
      </c>
      <c r="K1286" s="6" t="str">
        <f t="shared" si="80"/>
        <v>g</v>
      </c>
      <c r="L1286" s="6" t="str">
        <f t="shared" si="81"/>
        <v>Nakd.</v>
      </c>
      <c r="M1286" s="6" t="str">
        <f t="shared" si="82"/>
        <v>Raw Fruit &amp; Nut Bar</v>
      </c>
      <c r="N1286" s="6" t="str">
        <f t="shared" si="83"/>
        <v>Spain, United-Kingdom</v>
      </c>
    </row>
    <row r="1287" spans="1:14" x14ac:dyDescent="0.25">
      <c r="A1287" s="6" t="s">
        <v>3235</v>
      </c>
      <c r="B1287" s="6">
        <v>8436</v>
      </c>
      <c r="C1287" s="6" t="s">
        <v>3236</v>
      </c>
      <c r="D1287" s="7" t="s">
        <v>3237</v>
      </c>
      <c r="E1287" s="6" t="s">
        <v>2081</v>
      </c>
      <c r="F1287" s="6" t="s">
        <v>8047</v>
      </c>
      <c r="G1287" s="8">
        <v>45566</v>
      </c>
      <c r="H1287" s="6">
        <v>9.3000000000000007</v>
      </c>
      <c r="I1287" s="6" cm="1">
        <f t="array" ref="I1287">IFERROR(VALUE(TRIM(LEFT(E1287,MIN(FIND({" ";"g";"k";"m";"o"},E1287&amp;" gkmo"))-1))),0)</f>
        <v>120</v>
      </c>
      <c r="J1287" s="6" t="str" cm="1">
        <f t="array" ref="J1287">IFERROR(TRIM(MID(E1287,MIN(FIND({" ";"g";"k";"m";"o"},E1287&amp;" gkmo")),10)),"unknown")</f>
        <v>g</v>
      </c>
      <c r="K1287" s="6" t="str">
        <f t="shared" si="80"/>
        <v>g</v>
      </c>
      <c r="L1287" s="6" t="str">
        <f t="shared" si="81"/>
        <v>Doritos, Pepsico</v>
      </c>
      <c r="M1287" s="6" t="str">
        <f t="shared" si="82"/>
        <v>Snack Aper Matutano Doritos Tex-Mex 120G</v>
      </c>
      <c r="N1287" s="6" t="str">
        <f t="shared" si="83"/>
        <v>France, Portugal, Morocco</v>
      </c>
    </row>
    <row r="1288" spans="1:14" x14ac:dyDescent="0.25">
      <c r="A1288" s="6" t="s">
        <v>3238</v>
      </c>
      <c r="B1288" s="6">
        <v>7082</v>
      </c>
      <c r="C1288" s="6" t="s">
        <v>3239</v>
      </c>
      <c r="D1288" s="7" t="s">
        <v>2466</v>
      </c>
      <c r="E1288" s="6" t="s">
        <v>3240</v>
      </c>
      <c r="F1288" s="6" t="s">
        <v>3241</v>
      </c>
      <c r="G1288" s="8">
        <v>45333</v>
      </c>
      <c r="H1288" s="6">
        <v>14.43</v>
      </c>
      <c r="I1288" s="6" cm="1">
        <f t="array" ref="I1288">IFERROR(VALUE(TRIM(LEFT(E1288,MIN(FIND({" ";"g";"k";"m";"o"},E1288&amp;" gkmo"))-1))),0)</f>
        <v>330</v>
      </c>
      <c r="J1288" s="6" t="str" cm="1">
        <f t="array" ref="J1288">IFERROR(TRIM(MID(E1288,MIN(FIND({" ";"g";"k";"m";"o"},E1288&amp;" gkmo")),10)),"unknown")</f>
        <v>g</v>
      </c>
      <c r="K1288" s="6" t="str">
        <f t="shared" si="80"/>
        <v>g</v>
      </c>
      <c r="L1288" s="6" t="str">
        <f t="shared" si="81"/>
        <v>Misura</v>
      </c>
      <c r="M1288" s="6" t="str">
        <f t="shared" si="82"/>
        <v>Fibrextra</v>
      </c>
      <c r="N1288" s="6" t="str">
        <f t="shared" si="83"/>
        <v>Æ³•Å›½,Æ„Å¤§Åˆ©,Ç‘Žå£«,Japan</v>
      </c>
    </row>
    <row r="1289" spans="1:14" x14ac:dyDescent="0.25">
      <c r="A1289" s="6" t="s">
        <v>3242</v>
      </c>
      <c r="B1289" s="6">
        <v>9410</v>
      </c>
      <c r="C1289" s="6" t="s">
        <v>3243</v>
      </c>
      <c r="D1289" s="7" t="s">
        <v>7716</v>
      </c>
      <c r="E1289" s="6" t="s">
        <v>151</v>
      </c>
      <c r="F1289" s="6" t="s">
        <v>3244</v>
      </c>
      <c r="G1289" s="8">
        <v>45774</v>
      </c>
      <c r="H1289" s="6">
        <v>10.19</v>
      </c>
      <c r="I1289" s="6" cm="1">
        <f t="array" ref="I1289">IFERROR(VALUE(TRIM(LEFT(E1289,MIN(FIND({" ";"g";"k";"m";"o"},E1289&amp;" gkmo"))-1))),0)</f>
        <v>200</v>
      </c>
      <c r="J1289" s="6" t="str" cm="1">
        <f t="array" ref="J1289">IFERROR(TRIM(MID(E1289,MIN(FIND({" ";"g";"k";"m";"o"},E1289&amp;" gkmo")),10)),"unknown")</f>
        <v>g</v>
      </c>
      <c r="K1289" s="6" t="str">
        <f t="shared" si="80"/>
        <v>g</v>
      </c>
      <c r="L1289" s="6" t="str">
        <f t="shared" si="81"/>
        <v>Schà¤R,Arvid Nordquist Norge As</v>
      </c>
      <c r="M1289" s="6" t="str">
        <f t="shared" si="82"/>
        <v>Choco Chip Cookies</v>
      </c>
      <c r="N1289" s="6" t="str">
        <f t="shared" si="83"/>
        <v>France,Germany,Italy,Netherlands,Poland,Spain,Switzerland</v>
      </c>
    </row>
    <row r="1290" spans="1:14" x14ac:dyDescent="0.25">
      <c r="A1290" s="6" t="s">
        <v>3245</v>
      </c>
      <c r="B1290" s="6">
        <v>9919</v>
      </c>
      <c r="C1290" s="6" t="s">
        <v>3246</v>
      </c>
      <c r="D1290" s="7" t="s">
        <v>7017</v>
      </c>
      <c r="E1290" s="6" t="s">
        <v>185</v>
      </c>
      <c r="F1290" s="6" t="s">
        <v>8238</v>
      </c>
      <c r="G1290" s="8">
        <v>45528</v>
      </c>
      <c r="H1290" s="6">
        <v>2.74</v>
      </c>
      <c r="I1290" s="6" cm="1">
        <f t="array" ref="I1290">IFERROR(VALUE(TRIM(LEFT(E1290,MIN(FIND({" ";"g";"k";"m";"o"},E1290&amp;" gkmo"))-1))),0)</f>
        <v>270</v>
      </c>
      <c r="J1290" s="6" t="str" cm="1">
        <f t="array" ref="J1290">IFERROR(TRIM(MID(E1290,MIN(FIND({" ";"g";"k";"m";"o"},E1290&amp;" gkmo")),10)),"unknown")</f>
        <v>g</v>
      </c>
      <c r="K1290" s="6" t="str">
        <f t="shared" si="80"/>
        <v>g</v>
      </c>
      <c r="L1290" s="6" t="str">
        <f t="shared" si="81"/>
        <v>Unknown</v>
      </c>
      <c r="M1290" s="6" t="str">
        <f t="shared" si="82"/>
        <v>Digestive Choco</v>
      </c>
      <c r="N1290" s="6" t="str">
        <f t="shared" si="83"/>
        <v>France,Portugal,Espaà±A</v>
      </c>
    </row>
    <row r="1291" spans="1:14" x14ac:dyDescent="0.25">
      <c r="A1291" s="6" t="s">
        <v>3247</v>
      </c>
      <c r="B1291" s="6">
        <v>7133</v>
      </c>
      <c r="C1291" s="6" t="s">
        <v>824</v>
      </c>
      <c r="D1291" s="7" t="s">
        <v>3248</v>
      </c>
      <c r="E1291" s="6" t="s">
        <v>3249</v>
      </c>
      <c r="F1291" s="6" t="s">
        <v>8048</v>
      </c>
      <c r="G1291" s="8">
        <v>45724</v>
      </c>
      <c r="H1291" s="6">
        <v>13.16</v>
      </c>
      <c r="I1291" s="6" cm="1">
        <f t="array" ref="I1291">IFERROR(VALUE(TRIM(LEFT(E1291,MIN(FIND({" ";"g";"k";"m";"o"},E1291&amp;" gkmo"))-1))),0)</f>
        <v>265</v>
      </c>
      <c r="J1291" s="6" t="str" cm="1">
        <f t="array" ref="J1291">IFERROR(TRIM(MID(E1291,MIN(FIND({" ";"g";"k";"m";"o"},E1291&amp;" gkmo")),10)),"unknown")</f>
        <v>g</v>
      </c>
      <c r="K1291" s="6" t="str">
        <f t="shared" si="80"/>
        <v>g</v>
      </c>
      <c r="L1291" s="6" t="str">
        <f t="shared" si="81"/>
        <v>Gullon</v>
      </c>
      <c r="M1291" s="6" t="str">
        <f t="shared" si="82"/>
        <v>Cuor Di Cereale</v>
      </c>
      <c r="N1291" s="6" t="str">
        <f t="shared" si="83"/>
        <v>France, Italy, Morocco, Romania</v>
      </c>
    </row>
    <row r="1292" spans="1:14" x14ac:dyDescent="0.25">
      <c r="A1292" s="6" t="s">
        <v>3250</v>
      </c>
      <c r="B1292" s="6">
        <v>7988</v>
      </c>
      <c r="C1292" s="6" t="s">
        <v>3251</v>
      </c>
      <c r="D1292" s="7" t="s">
        <v>3252</v>
      </c>
      <c r="E1292" s="6" t="s">
        <v>446</v>
      </c>
      <c r="F1292" s="6" t="s">
        <v>8223</v>
      </c>
      <c r="G1292" s="8">
        <v>45820</v>
      </c>
      <c r="H1292" s="6">
        <v>13.16</v>
      </c>
      <c r="I1292" s="6" cm="1">
        <f t="array" ref="I1292">IFERROR(VALUE(TRIM(LEFT(E1292,MIN(FIND({" ";"g";"k";"m";"o"},E1292&amp;" gkmo"))-1))),0)</f>
        <v>450</v>
      </c>
      <c r="J1292" s="6" t="str" cm="1">
        <f t="array" ref="J1292">IFERROR(TRIM(MID(E1292,MIN(FIND({" ";"g";"k";"m";"o"},E1292&amp;" gkmo")),10)),"unknown")</f>
        <v>g</v>
      </c>
      <c r="K1292" s="6" t="str">
        <f t="shared" si="80"/>
        <v>g</v>
      </c>
      <c r="L1292" s="6" t="str">
        <f t="shared" si="81"/>
        <v>Coral</v>
      </c>
      <c r="M1292" s="6" t="str">
        <f t="shared" si="82"/>
        <v>Galleta Boer Sabor Coco</v>
      </c>
      <c r="N1292" s="6" t="str">
        <f t="shared" si="83"/>
        <v>France,Espaà±A, Morocco</v>
      </c>
    </row>
    <row r="1293" spans="1:14" x14ac:dyDescent="0.25">
      <c r="A1293" s="6" t="s">
        <v>3253</v>
      </c>
      <c r="B1293" s="6">
        <v>13112</v>
      </c>
      <c r="C1293" s="6" t="s">
        <v>3254</v>
      </c>
      <c r="D1293" s="7" t="s">
        <v>7578</v>
      </c>
      <c r="E1293" s="6"/>
      <c r="F1293" s="6" t="s">
        <v>8049</v>
      </c>
      <c r="G1293" s="8">
        <v>45373</v>
      </c>
      <c r="H1293" s="6">
        <v>15.36</v>
      </c>
      <c r="I1293" s="6" cm="1">
        <f t="array" ref="I1293">IFERROR(VALUE(TRIM(LEFT(E1293,MIN(FIND({" ";"g";"k";"m";"o"},E1293&amp;" gkmo"))-1))),0)</f>
        <v>0</v>
      </c>
      <c r="J1293" s="6" t="str" cm="1">
        <f t="array" ref="J1293">IFERROR(TRIM(MID(E1293,MIN(FIND({" ";"g";"k";"m";"o"},E1293&amp;" gkmo")),10)),"unknown")</f>
        <v/>
      </c>
      <c r="K1293" s="6" t="str">
        <f t="shared" si="80"/>
        <v>unknown</v>
      </c>
      <c r="L1293" s="6" t="str">
        <f t="shared" si="81"/>
        <v>Gullà³N</v>
      </c>
      <c r="M1293" s="6" t="str">
        <f t="shared" si="82"/>
        <v>Maria</v>
      </c>
      <c r="N1293" s="6" t="str">
        <f t="shared" si="83"/>
        <v>Belgium, Morocco</v>
      </c>
    </row>
    <row r="1294" spans="1:14" x14ac:dyDescent="0.25">
      <c r="A1294" s="6" t="s">
        <v>3255</v>
      </c>
      <c r="B1294" s="6">
        <v>13443</v>
      </c>
      <c r="C1294" s="6" t="s">
        <v>7220</v>
      </c>
      <c r="D1294" s="7" t="s">
        <v>13</v>
      </c>
      <c r="E1294" s="6" t="s">
        <v>3256</v>
      </c>
      <c r="F1294" s="6" t="s">
        <v>139</v>
      </c>
      <c r="G1294" s="8">
        <v>46023</v>
      </c>
      <c r="H1294" s="6">
        <v>21.95</v>
      </c>
      <c r="I1294" s="6" cm="1">
        <f t="array" ref="I1294">IFERROR(VALUE(TRIM(LEFT(E1294,MIN(FIND({" ";"g";"k";"m";"o"},E1294&amp;" gkmo"))-1))),0)</f>
        <v>264</v>
      </c>
      <c r="J1294" s="6" t="str" cm="1">
        <f t="array" ref="J1294">IFERROR(TRIM(MID(E1294,MIN(FIND({" ";"g";"k";"m";"o"},E1294&amp;" gkmo")),10)),"unknown")</f>
        <v>g</v>
      </c>
      <c r="K1294" s="6" t="str">
        <f t="shared" si="80"/>
        <v>g</v>
      </c>
      <c r="L1294" s="6" t="str">
        <f t="shared" si="81"/>
        <v>Lu</v>
      </c>
      <c r="M1294" s="6" t="str">
        <f t="shared" si="82"/>
        <v>Lu Thé Pocket</v>
      </c>
      <c r="N1294" s="6" t="str">
        <f t="shared" si="83"/>
        <v>France</v>
      </c>
    </row>
    <row r="1295" spans="1:14" x14ac:dyDescent="0.25">
      <c r="A1295" s="6" t="s">
        <v>3257</v>
      </c>
      <c r="B1295" s="6">
        <v>14468</v>
      </c>
      <c r="C1295" s="6" t="s">
        <v>3258</v>
      </c>
      <c r="D1295" s="7" t="s">
        <v>1716</v>
      </c>
      <c r="E1295" s="6" t="s">
        <v>3259</v>
      </c>
      <c r="F1295" s="6" t="s">
        <v>400</v>
      </c>
      <c r="G1295" s="8">
        <v>46010</v>
      </c>
      <c r="H1295" s="6">
        <v>23.96</v>
      </c>
      <c r="I1295" s="6" cm="1">
        <f t="array" ref="I1295">IFERROR(VALUE(TRIM(LEFT(E1295,MIN(FIND({" ";"g";"k";"m";"o"},E1295&amp;" gkmo"))-1))),0)</f>
        <v>415</v>
      </c>
      <c r="J1295" s="6" t="str" cm="1">
        <f t="array" ref="J1295">IFERROR(TRIM(MID(E1295,MIN(FIND({" ";"g";"k";"m";"o"},E1295&amp;" gkmo")),10)),"unknown")</f>
        <v>g</v>
      </c>
      <c r="K1295" s="6" t="str">
        <f t="shared" si="80"/>
        <v>g</v>
      </c>
      <c r="L1295" s="6" t="str">
        <f t="shared" si="81"/>
        <v>Kp</v>
      </c>
      <c r="M1295" s="6" t="str">
        <f t="shared" si="82"/>
        <v>Kp Dry Roasted Peanuts</v>
      </c>
      <c r="N1295" s="6" t="str">
        <f t="shared" si="83"/>
        <v>France,United Kingdom</v>
      </c>
    </row>
    <row r="1296" spans="1:14" x14ac:dyDescent="0.25">
      <c r="A1296" s="6" t="s">
        <v>3260</v>
      </c>
      <c r="B1296" s="6">
        <v>7346</v>
      </c>
      <c r="C1296" s="6" t="s">
        <v>3261</v>
      </c>
      <c r="D1296" s="7" t="s">
        <v>116</v>
      </c>
      <c r="E1296" s="6"/>
      <c r="F1296" s="6" t="s">
        <v>1092</v>
      </c>
      <c r="G1296" s="8">
        <v>45484</v>
      </c>
      <c r="H1296" s="6">
        <v>13.16</v>
      </c>
      <c r="I1296" s="6" cm="1">
        <f t="array" ref="I1296">IFERROR(VALUE(TRIM(LEFT(E1296,MIN(FIND({" ";"g";"k";"m";"o"},E1296&amp;" gkmo"))-1))),0)</f>
        <v>0</v>
      </c>
      <c r="J1296" s="6" t="str" cm="1">
        <f t="array" ref="J1296">IFERROR(TRIM(MID(E1296,MIN(FIND({" ";"g";"k";"m";"o"},E1296&amp;" gkmo")),10)),"unknown")</f>
        <v/>
      </c>
      <c r="K1296" s="6" t="str">
        <f t="shared" si="80"/>
        <v>unknown</v>
      </c>
      <c r="L1296" s="6" t="str">
        <f t="shared" si="81"/>
        <v>Nature Valley</v>
      </c>
      <c r="M1296" s="6" t="str">
        <f t="shared" si="82"/>
        <v>Nature Valley Crunchy</v>
      </c>
      <c r="N1296" s="6" t="str">
        <f t="shared" si="83"/>
        <v>Frankrijk</v>
      </c>
    </row>
    <row r="1297" spans="1:14" x14ac:dyDescent="0.25">
      <c r="A1297" s="6" t="s">
        <v>3262</v>
      </c>
      <c r="B1297" s="6">
        <v>7573</v>
      </c>
      <c r="C1297" s="6" t="s">
        <v>3263</v>
      </c>
      <c r="D1297" s="7" t="s">
        <v>3264</v>
      </c>
      <c r="E1297" s="6" t="s">
        <v>479</v>
      </c>
      <c r="F1297" s="6" t="s">
        <v>7954</v>
      </c>
      <c r="G1297" s="8">
        <v>45841</v>
      </c>
      <c r="H1297" s="6">
        <v>13.16</v>
      </c>
      <c r="I1297" s="6" cm="1">
        <f t="array" ref="I1297">IFERROR(VALUE(TRIM(LEFT(E1297,MIN(FIND({" ";"g";"k";"m";"o"},E1297&amp;" gkmo"))-1))),0)</f>
        <v>375</v>
      </c>
      <c r="J1297" s="6" t="str" cm="1">
        <f t="array" ref="J1297">IFERROR(TRIM(MID(E1297,MIN(FIND({" ";"g";"k";"m";"o"},E1297&amp;" gkmo")),10)),"unknown")</f>
        <v>g</v>
      </c>
      <c r="K1297" s="6" t="str">
        <f t="shared" si="80"/>
        <v>g</v>
      </c>
      <c r="L1297" s="6" t="str">
        <f t="shared" si="81"/>
        <v>Snacks Of The World</v>
      </c>
      <c r="M1297" s="6" t="str">
        <f t="shared" si="82"/>
        <v>Kingsize Peanuts Unsalted</v>
      </c>
      <c r="N1297" s="6" t="str">
        <f t="shared" si="83"/>
        <v>France, Belgium</v>
      </c>
    </row>
    <row r="1298" spans="1:14" x14ac:dyDescent="0.25">
      <c r="A1298" s="6" t="s">
        <v>3265</v>
      </c>
      <c r="B1298" s="6">
        <v>10919</v>
      </c>
      <c r="C1298" s="6" t="s">
        <v>3266</v>
      </c>
      <c r="D1298" s="7" t="s">
        <v>2840</v>
      </c>
      <c r="E1298" s="6" t="s">
        <v>3267</v>
      </c>
      <c r="F1298" s="6" t="s">
        <v>1331</v>
      </c>
      <c r="G1298" s="8">
        <v>45644</v>
      </c>
      <c r="H1298" s="6">
        <v>11.72</v>
      </c>
      <c r="I1298" s="6" cm="1">
        <f t="array" ref="I1298">IFERROR(VALUE(TRIM(LEFT(E1298,MIN(FIND({" ";"g";"k";"m";"o"},E1298&amp;" gkmo"))-1))),0)</f>
        <v>256</v>
      </c>
      <c r="J1298" s="6" t="str" cm="1">
        <f t="array" ref="J1298">IFERROR(TRIM(MID(E1298,MIN(FIND({" ";"g";"k";"m";"o"},E1298&amp;" gkmo")),10)),"unknown")</f>
        <v>g</v>
      </c>
      <c r="K1298" s="6" t="str">
        <f t="shared" si="80"/>
        <v>g</v>
      </c>
      <c r="L1298" s="6" t="str">
        <f t="shared" si="81"/>
        <v>Ferrero, Kinder</v>
      </c>
      <c r="M1298" s="6" t="str">
        <f t="shared" si="82"/>
        <v>Kinder Cards Family-Pack 20Days</v>
      </c>
      <c r="N1298" s="6" t="str">
        <f t="shared" si="83"/>
        <v>Frankreich,Deutschland</v>
      </c>
    </row>
    <row r="1299" spans="1:14" x14ac:dyDescent="0.25">
      <c r="A1299" s="6" t="s">
        <v>3268</v>
      </c>
      <c r="B1299" s="6">
        <v>10933</v>
      </c>
      <c r="C1299" s="6" t="s">
        <v>3269</v>
      </c>
      <c r="D1299" s="7" t="s">
        <v>552</v>
      </c>
      <c r="E1299" s="6" t="s">
        <v>10</v>
      </c>
      <c r="F1299" s="6" t="s">
        <v>177</v>
      </c>
      <c r="G1299" s="8">
        <v>45755</v>
      </c>
      <c r="H1299" s="6">
        <v>24.43</v>
      </c>
      <c r="I1299" s="6" cm="1">
        <f t="array" ref="I1299">IFERROR(VALUE(TRIM(LEFT(E1299,MIN(FIND({" ";"g";"k";"m";"o"},E1299&amp;" gkmo"))-1))),0)</f>
        <v>100</v>
      </c>
      <c r="J1299" s="6" t="str" cm="1">
        <f t="array" ref="J1299">IFERROR(TRIM(MID(E1299,MIN(FIND({" ";"g";"k";"m";"o"},E1299&amp;" gkmo")),10)),"unknown")</f>
        <v>g</v>
      </c>
      <c r="K1299" s="6" t="str">
        <f t="shared" si="80"/>
        <v>g</v>
      </c>
      <c r="L1299" s="6" t="str">
        <f t="shared" si="81"/>
        <v>Moser Roth</v>
      </c>
      <c r="M1299" s="6" t="str">
        <f t="shared" si="82"/>
        <v>Organic Peruvian 85% Cocoa Dark Chocolate</v>
      </c>
      <c r="N1299" s="6" t="str">
        <f t="shared" si="83"/>
        <v>United Kingdom</v>
      </c>
    </row>
    <row r="1300" spans="1:14" x14ac:dyDescent="0.25">
      <c r="A1300" s="6" t="s">
        <v>3270</v>
      </c>
      <c r="B1300" s="6">
        <v>12172</v>
      </c>
      <c r="C1300" s="6" t="s">
        <v>3271</v>
      </c>
      <c r="D1300" s="7" t="s">
        <v>3272</v>
      </c>
      <c r="E1300" s="6" t="s">
        <v>933</v>
      </c>
      <c r="F1300" s="6" t="s">
        <v>3273</v>
      </c>
      <c r="G1300" s="8">
        <v>45343</v>
      </c>
      <c r="H1300" s="6">
        <v>7.68</v>
      </c>
      <c r="I1300" s="6" cm="1">
        <f t="array" ref="I1300">IFERROR(VALUE(TRIM(LEFT(E1300,MIN(FIND({" ";"g";"k";"m";"o"},E1300&amp;" gkmo"))-1))),0)</f>
        <v>330</v>
      </c>
      <c r="J1300" s="6" t="str" cm="1">
        <f t="array" ref="J1300">IFERROR(TRIM(MID(E1300,MIN(FIND({" ";"g";"k";"m";"o"},E1300&amp;" gkmo")),10)),"unknown")</f>
        <v>g</v>
      </c>
      <c r="K1300" s="6" t="str">
        <f t="shared" si="80"/>
        <v>g</v>
      </c>
      <c r="L1300" s="6" t="str">
        <f t="shared" si="81"/>
        <v>Mulino Bianco</v>
      </c>
      <c r="M1300" s="6" t="str">
        <f t="shared" si="82"/>
        <v>Nascondini Mb 330G Int. Eu</v>
      </c>
      <c r="N1300" s="6" t="str">
        <f t="shared" si="83"/>
        <v>Hrvatska,Francuska,NjemaäKa,Italija</v>
      </c>
    </row>
    <row r="1301" spans="1:14" x14ac:dyDescent="0.25">
      <c r="A1301" s="6" t="s">
        <v>3274</v>
      </c>
      <c r="B1301" s="6">
        <v>13262</v>
      </c>
      <c r="C1301" s="6" t="s">
        <v>3275</v>
      </c>
      <c r="D1301" s="7" t="s">
        <v>3276</v>
      </c>
      <c r="E1301" s="6" t="s">
        <v>614</v>
      </c>
      <c r="F1301" s="6" t="s">
        <v>177</v>
      </c>
      <c r="G1301" s="8">
        <v>45999</v>
      </c>
      <c r="H1301" s="6">
        <v>22.27</v>
      </c>
      <c r="I1301" s="6" cm="1">
        <f t="array" ref="I1301">IFERROR(VALUE(TRIM(LEFT(E1301,MIN(FIND({" ";"g";"k";"m";"o"},E1301&amp;" gkmo"))-1))),0)</f>
        <v>45</v>
      </c>
      <c r="J1301" s="6" t="str" cm="1">
        <f t="array" ref="J1301">IFERROR(TRIM(MID(E1301,MIN(FIND({" ";"g";"k";"m";"o"},E1301&amp;" gkmo")),10)),"unknown")</f>
        <v>g</v>
      </c>
      <c r="K1301" s="6" t="str">
        <f t="shared" si="80"/>
        <v>g</v>
      </c>
      <c r="L1301" s="6" t="str">
        <f t="shared" si="81"/>
        <v>Hula Hoops</v>
      </c>
      <c r="M1301" s="6" t="str">
        <f t="shared" si="82"/>
        <v>Salted Potato Rings</v>
      </c>
      <c r="N1301" s="6" t="str">
        <f t="shared" si="83"/>
        <v>United Kingdom</v>
      </c>
    </row>
    <row r="1302" spans="1:14" x14ac:dyDescent="0.25">
      <c r="A1302" s="6" t="s">
        <v>3277</v>
      </c>
      <c r="B1302" s="6">
        <v>11230</v>
      </c>
      <c r="C1302" s="6" t="s">
        <v>3278</v>
      </c>
      <c r="D1302" s="7" t="s">
        <v>3279</v>
      </c>
      <c r="E1302" s="6" t="s">
        <v>580</v>
      </c>
      <c r="F1302" s="6" t="s">
        <v>48</v>
      </c>
      <c r="G1302" s="8">
        <v>45647</v>
      </c>
      <c r="H1302" s="6">
        <v>13.28</v>
      </c>
      <c r="I1302" s="6" cm="1">
        <f t="array" ref="I1302">IFERROR(VALUE(TRIM(LEFT(E1302,MIN(FIND({" ";"g";"k";"m";"o"},E1302&amp;" gkmo"))-1))),0)</f>
        <v>250</v>
      </c>
      <c r="J1302" s="6" t="str" cm="1">
        <f t="array" ref="J1302">IFERROR(TRIM(MID(E1302,MIN(FIND({" ";"g";"k";"m";"o"},E1302&amp;" gkmo")),10)),"unknown")</f>
        <v>g</v>
      </c>
      <c r="K1302" s="6" t="str">
        <f t="shared" si="80"/>
        <v>g</v>
      </c>
      <c r="L1302" s="6" t="str">
        <f t="shared" si="81"/>
        <v>Lacasa</v>
      </c>
      <c r="M1302" s="6" t="str">
        <f t="shared" si="82"/>
        <v>Trufas</v>
      </c>
      <c r="N1302" s="6" t="str">
        <f t="shared" si="83"/>
        <v>Morocco</v>
      </c>
    </row>
    <row r="1303" spans="1:14" x14ac:dyDescent="0.25">
      <c r="A1303" s="6" t="s">
        <v>3280</v>
      </c>
      <c r="B1303" s="6">
        <v>10143</v>
      </c>
      <c r="C1303" s="6" t="s">
        <v>3281</v>
      </c>
      <c r="D1303" s="7" t="s">
        <v>3282</v>
      </c>
      <c r="E1303" s="6" t="s">
        <v>3283</v>
      </c>
      <c r="F1303" s="6" t="s">
        <v>139</v>
      </c>
      <c r="G1303" s="8">
        <v>45662</v>
      </c>
      <c r="H1303" s="6">
        <v>9.7100000000000009</v>
      </c>
      <c r="I1303" s="6" cm="1">
        <f t="array" ref="I1303">IFERROR(VALUE(TRIM(LEFT(E1303,MIN(FIND({" ";"g";"k";"m";"o"},E1303&amp;" gkmo"))-1))),0)</f>
        <v>5</v>
      </c>
      <c r="J1303" s="6" t="str" cm="1">
        <f t="array" ref="J1303">IFERROR(TRIM(MID(E1303,MIN(FIND({" ";"g";"k";"m";"o"},E1303&amp;" gkmo")),10)),"unknown")</f>
        <v>x 28 g</v>
      </c>
      <c r="K1303" s="6" t="str">
        <f t="shared" si="80"/>
        <v>g</v>
      </c>
      <c r="L1303" s="6" t="str">
        <f t="shared" si="81"/>
        <v>Granola</v>
      </c>
      <c r="M1303" s="6" t="str">
        <f t="shared" si="82"/>
        <v>Granola Cookie Cå“Ur Extra Moelleux</v>
      </c>
      <c r="N1303" s="6" t="str">
        <f t="shared" si="83"/>
        <v>France</v>
      </c>
    </row>
    <row r="1304" spans="1:14" x14ac:dyDescent="0.25">
      <c r="A1304" s="6" t="s">
        <v>3284</v>
      </c>
      <c r="B1304" s="6">
        <v>5823</v>
      </c>
      <c r="C1304" s="6" t="s">
        <v>3285</v>
      </c>
      <c r="D1304" s="7" t="s">
        <v>7017</v>
      </c>
      <c r="E1304" s="6" t="s">
        <v>3286</v>
      </c>
      <c r="F1304" s="6" t="s">
        <v>5759</v>
      </c>
      <c r="G1304" s="8">
        <v>45488</v>
      </c>
      <c r="H1304" s="6">
        <v>15.3</v>
      </c>
      <c r="I1304" s="6" cm="1">
        <f t="array" ref="I1304">IFERROR(VALUE(TRIM(LEFT(E1304,MIN(FIND({" ";"g";"k";"m";"o"},E1304&amp;" gkmo"))-1))),0)</f>
        <v>115</v>
      </c>
      <c r="J1304" s="6" t="str" cm="1">
        <f t="array" ref="J1304">IFERROR(TRIM(MID(E1304,MIN(FIND({" ";"g";"k";"m";"o"},E1304&amp;" gkmo")),10)),"unknown")</f>
        <v>g</v>
      </c>
      <c r="K1304" s="6" t="str">
        <f t="shared" si="80"/>
        <v>g</v>
      </c>
      <c r="L1304" s="6" t="str">
        <f t="shared" si="81"/>
        <v>Unknown</v>
      </c>
      <c r="M1304" s="6" t="str">
        <f t="shared" si="82"/>
        <v>Oaty &amp; Crispy Avoine &amp; Cacao X 5 Barres De 23 G</v>
      </c>
      <c r="N1304" s="6" t="str">
        <f t="shared" si="83"/>
        <v>Fr</v>
      </c>
    </row>
    <row r="1305" spans="1:14" x14ac:dyDescent="0.25">
      <c r="A1305" s="6" t="s">
        <v>3287</v>
      </c>
      <c r="B1305" s="6">
        <v>6397</v>
      </c>
      <c r="C1305" s="6" t="s">
        <v>3288</v>
      </c>
      <c r="D1305" s="7" t="s">
        <v>116</v>
      </c>
      <c r="E1305" s="6" t="s">
        <v>966</v>
      </c>
      <c r="F1305" s="6" t="s">
        <v>139</v>
      </c>
      <c r="G1305" s="8">
        <v>45420</v>
      </c>
      <c r="H1305" s="6">
        <v>23.61</v>
      </c>
      <c r="I1305" s="6" cm="1">
        <f t="array" ref="I1305">IFERROR(VALUE(TRIM(LEFT(E1305,MIN(FIND({" ";"g";"k";"m";"o"},E1305&amp;" gkmo"))-1))),0)</f>
        <v>115</v>
      </c>
      <c r="J1305" s="6" t="str" cm="1">
        <f t="array" ref="J1305">IFERROR(TRIM(MID(E1305,MIN(FIND({" ";"g";"k";"m";"o"},E1305&amp;" gkmo")),10)),"unknown")</f>
        <v>g</v>
      </c>
      <c r="K1305" s="6" t="str">
        <f t="shared" si="80"/>
        <v>g</v>
      </c>
      <c r="L1305" s="6" t="str">
        <f t="shared" si="81"/>
        <v>Nature Valley</v>
      </c>
      <c r="M1305" s="6" t="str">
        <f t="shared" si="82"/>
        <v>Avoine &amp; Miel</v>
      </c>
      <c r="N1305" s="6" t="str">
        <f t="shared" si="83"/>
        <v>France</v>
      </c>
    </row>
    <row r="1306" spans="1:14" x14ac:dyDescent="0.25">
      <c r="A1306" s="6" t="s">
        <v>3289</v>
      </c>
      <c r="B1306" s="6">
        <v>7853</v>
      </c>
      <c r="C1306" s="6" t="s">
        <v>7221</v>
      </c>
      <c r="D1306" s="7" t="s">
        <v>961</v>
      </c>
      <c r="E1306" s="6" t="s">
        <v>3290</v>
      </c>
      <c r="F1306" s="6" t="s">
        <v>139</v>
      </c>
      <c r="G1306" s="8">
        <v>45823</v>
      </c>
      <c r="H1306" s="6">
        <v>2.7</v>
      </c>
      <c r="I1306" s="6" cm="1">
        <f t="array" ref="I1306">IFERROR(VALUE(TRIM(LEFT(E1306,MIN(FIND({" ";"g";"k";"m";"o"},E1306&amp;" gkmo"))-1))),0)</f>
        <v>500</v>
      </c>
      <c r="J1306" s="6" t="str" cm="1">
        <f t="array" ref="J1306">IFERROR(TRIM(MID(E1306,MIN(FIND({" ";"g";"k";"m";"o"},E1306&amp;" gkmo")),10)),"unknown")</f>
        <v>g (2 x 25</v>
      </c>
      <c r="K1306" s="6" t="str">
        <f t="shared" si="80"/>
        <v>g</v>
      </c>
      <c r="L1306" s="6" t="str">
        <f t="shared" si="81"/>
        <v>Sondey</v>
      </c>
      <c r="M1306" s="6" t="str">
        <f t="shared" si="82"/>
        <v>Spéculoos</v>
      </c>
      <c r="N1306" s="6" t="str">
        <f t="shared" si="83"/>
        <v>France</v>
      </c>
    </row>
    <row r="1307" spans="1:14" x14ac:dyDescent="0.25">
      <c r="A1307" s="6" t="s">
        <v>3291</v>
      </c>
      <c r="B1307" s="6">
        <v>12051</v>
      </c>
      <c r="C1307" s="6" t="s">
        <v>3292</v>
      </c>
      <c r="D1307" s="7" t="s">
        <v>3293</v>
      </c>
      <c r="E1307" s="6" t="s">
        <v>556</v>
      </c>
      <c r="F1307" s="6" t="s">
        <v>139</v>
      </c>
      <c r="G1307" s="8">
        <v>45830</v>
      </c>
      <c r="H1307" s="6">
        <v>2.59</v>
      </c>
      <c r="I1307" s="6" cm="1">
        <f t="array" ref="I1307">IFERROR(VALUE(TRIM(LEFT(E1307,MIN(FIND({" ";"g";"k";"m";"o"},E1307&amp;" gkmo"))-1))),0)</f>
        <v>100</v>
      </c>
      <c r="J1307" s="6" t="str" cm="1">
        <f t="array" ref="J1307">IFERROR(TRIM(MID(E1307,MIN(FIND({" ";"g";"k";"m";"o"},E1307&amp;" gkmo")),10)),"unknown")</f>
        <v>g e</v>
      </c>
      <c r="K1307" s="6" t="str">
        <f t="shared" si="80"/>
        <v>g</v>
      </c>
      <c r="L1307" s="6" t="str">
        <f t="shared" si="81"/>
        <v>Fair,Simplement Bon Et Bio</v>
      </c>
      <c r="M1307" s="6" t="str">
        <f t="shared" si="82"/>
        <v>Chocolat Noir Bio 70% Cacao</v>
      </c>
      <c r="N1307" s="6" t="str">
        <f t="shared" si="83"/>
        <v>France</v>
      </c>
    </row>
    <row r="1308" spans="1:14" x14ac:dyDescent="0.25">
      <c r="A1308" s="6" t="s">
        <v>3294</v>
      </c>
      <c r="B1308" s="6">
        <v>8720</v>
      </c>
      <c r="C1308" s="6" t="s">
        <v>3295</v>
      </c>
      <c r="D1308" s="7" t="s">
        <v>3296</v>
      </c>
      <c r="E1308" s="6" t="s">
        <v>320</v>
      </c>
      <c r="F1308" s="6" t="s">
        <v>8050</v>
      </c>
      <c r="G1308" s="8">
        <v>45963</v>
      </c>
      <c r="H1308" s="6">
        <v>1.02</v>
      </c>
      <c r="I1308" s="6" cm="1">
        <f t="array" ref="I1308">IFERROR(VALUE(TRIM(LEFT(E1308,MIN(FIND({" ";"g";"k";"m";"o"},E1308&amp;" gkmo"))-1))),0)</f>
        <v>39</v>
      </c>
      <c r="J1308" s="6" t="str" cm="1">
        <f t="array" ref="J1308">IFERROR(TRIM(MID(E1308,MIN(FIND({" ";"g";"k";"m";"o"},E1308&amp;" gkmo")),10)),"unknown")</f>
        <v>g</v>
      </c>
      <c r="K1308" s="6" t="str">
        <f t="shared" si="80"/>
        <v>g</v>
      </c>
      <c r="L1308" s="6" t="str">
        <f t="shared" si="81"/>
        <v>Lu, Mikado</v>
      </c>
      <c r="M1308" s="6" t="str">
        <f t="shared" si="82"/>
        <v>Glico Mikado &amp; Go - Chocolat Au Lait</v>
      </c>
      <c r="N1308" s="6" t="str">
        <f t="shared" si="83"/>
        <v>France, Spain, Italy</v>
      </c>
    </row>
    <row r="1309" spans="1:14" x14ac:dyDescent="0.25">
      <c r="A1309" s="6" t="s">
        <v>3297</v>
      </c>
      <c r="B1309" s="6">
        <v>5737</v>
      </c>
      <c r="C1309" s="6" t="s">
        <v>7222</v>
      </c>
      <c r="D1309" s="7" t="s">
        <v>2594</v>
      </c>
      <c r="E1309" s="6" t="s">
        <v>10</v>
      </c>
      <c r="F1309" s="6" t="s">
        <v>8001</v>
      </c>
      <c r="G1309" s="8">
        <v>45650</v>
      </c>
      <c r="H1309" s="6">
        <v>3.81</v>
      </c>
      <c r="I1309" s="6" cm="1">
        <f t="array" ref="I1309">IFERROR(VALUE(TRIM(LEFT(E1309,MIN(FIND({" ";"g";"k";"m";"o"},E1309&amp;" gkmo"))-1))),0)</f>
        <v>100</v>
      </c>
      <c r="J1309" s="6" t="str" cm="1">
        <f t="array" ref="J1309">IFERROR(TRIM(MID(E1309,MIN(FIND({" ";"g";"k";"m";"o"},E1309&amp;" gkmo")),10)),"unknown")</f>
        <v>g</v>
      </c>
      <c r="K1309" s="6" t="str">
        <f t="shared" si="80"/>
        <v>g</v>
      </c>
      <c r="L1309" s="6" t="str">
        <f t="shared" si="81"/>
        <v>Belin</v>
      </c>
      <c r="M1309" s="6" t="str">
        <f t="shared" si="82"/>
        <v>Triangolini Sésame</v>
      </c>
      <c r="N1309" s="6" t="str">
        <f t="shared" si="83"/>
        <v>France,France</v>
      </c>
    </row>
    <row r="1310" spans="1:14" x14ac:dyDescent="0.25">
      <c r="A1310" s="6" t="s">
        <v>3298</v>
      </c>
      <c r="B1310" s="6">
        <v>6897</v>
      </c>
      <c r="C1310" s="6" t="s">
        <v>7717</v>
      </c>
      <c r="D1310" s="7" t="s">
        <v>1345</v>
      </c>
      <c r="E1310" s="6" t="s">
        <v>14</v>
      </c>
      <c r="F1310" s="6" t="s">
        <v>139</v>
      </c>
      <c r="G1310" s="8">
        <v>45738</v>
      </c>
      <c r="H1310" s="6">
        <v>8.33</v>
      </c>
      <c r="I1310" s="6" cm="1">
        <f t="array" ref="I1310">IFERROR(VALUE(TRIM(LEFT(E1310,MIN(FIND({" ";"g";"k";"m";"o"},E1310&amp;" gkmo"))-1))),0)</f>
        <v>300</v>
      </c>
      <c r="J1310" s="6" t="str" cm="1">
        <f t="array" ref="J1310">IFERROR(TRIM(MID(E1310,MIN(FIND({" ";"g";"k";"m";"o"},E1310&amp;" gkmo")),10)),"unknown")</f>
        <v>g</v>
      </c>
      <c r="K1310" s="6" t="str">
        <f t="shared" si="80"/>
        <v>g</v>
      </c>
      <c r="L1310" s="6" t="str">
        <f t="shared" si="81"/>
        <v>Haribo</v>
      </c>
      <c r="M1310" s="6" t="str">
        <f t="shared" si="82"/>
        <v>300G Dragà–Lo Haribo</v>
      </c>
      <c r="N1310" s="6" t="str">
        <f t="shared" si="83"/>
        <v>France</v>
      </c>
    </row>
    <row r="1311" spans="1:14" x14ac:dyDescent="0.25">
      <c r="A1311" s="6" t="s">
        <v>3299</v>
      </c>
      <c r="B1311" s="6">
        <v>11467</v>
      </c>
      <c r="C1311" s="6" t="s">
        <v>7718</v>
      </c>
      <c r="D1311" s="7" t="s">
        <v>3300</v>
      </c>
      <c r="E1311" s="6" t="s">
        <v>84</v>
      </c>
      <c r="F1311" s="6" t="s">
        <v>139</v>
      </c>
      <c r="G1311" s="8">
        <v>45778</v>
      </c>
      <c r="H1311" s="6">
        <v>3.62</v>
      </c>
      <c r="I1311" s="6" cm="1">
        <f t="array" ref="I1311">IFERROR(VALUE(TRIM(LEFT(E1311,MIN(FIND({" ";"g";"k";"m";"o"},E1311&amp;" gkmo"))-1))),0)</f>
        <v>85</v>
      </c>
      <c r="J1311" s="6" t="str" cm="1">
        <f t="array" ref="J1311">IFERROR(TRIM(MID(E1311,MIN(FIND({" ";"g";"k";"m";"o"},E1311&amp;" gkmo")),10)),"unknown")</f>
        <v>g</v>
      </c>
      <c r="K1311" s="6" t="str">
        <f t="shared" si="80"/>
        <v>g</v>
      </c>
      <c r="L1311" s="6" t="str">
        <f t="shared" si="81"/>
        <v>3D'S Bugles, Benenuts, Lays, Pepsico</v>
      </c>
      <c r="M1311" s="6" t="str">
        <f t="shared" si="82"/>
        <v>Bénénuts 3D'S Bugles Goà»T Bacon</v>
      </c>
      <c r="N1311" s="6" t="str">
        <f t="shared" si="83"/>
        <v>France</v>
      </c>
    </row>
    <row r="1312" spans="1:14" x14ac:dyDescent="0.25">
      <c r="A1312" s="6" t="s">
        <v>3301</v>
      </c>
      <c r="B1312" s="6">
        <v>8284</v>
      </c>
      <c r="C1312" s="6" t="s">
        <v>3302</v>
      </c>
      <c r="D1312" s="7" t="s">
        <v>3303</v>
      </c>
      <c r="E1312" s="6" t="s">
        <v>3304</v>
      </c>
      <c r="F1312" s="6" t="s">
        <v>139</v>
      </c>
      <c r="G1312" s="8">
        <v>46037</v>
      </c>
      <c r="H1312" s="6">
        <v>6.9</v>
      </c>
      <c r="I1312" s="6" cm="1">
        <f t="array" ref="I1312">IFERROR(VALUE(TRIM(LEFT(E1312,MIN(FIND({" ";"g";"k";"m";"o"},E1312&amp;" gkmo"))-1))),0)</f>
        <v>102</v>
      </c>
      <c r="J1312" s="6" t="str" cm="1">
        <f t="array" ref="J1312">IFERROR(TRIM(MID(E1312,MIN(FIND({" ";"g";"k";"m";"o"},E1312&amp;" gkmo")),10)),"unknown")</f>
        <v>g</v>
      </c>
      <c r="K1312" s="6" t="str">
        <f t="shared" si="80"/>
        <v>g</v>
      </c>
      <c r="L1312" s="6" t="str">
        <f t="shared" si="81"/>
        <v>Gerlinea</v>
      </c>
      <c r="M1312" s="6" t="str">
        <f t="shared" si="82"/>
        <v>Crousti Chocolat</v>
      </c>
      <c r="N1312" s="6" t="str">
        <f t="shared" si="83"/>
        <v>France</v>
      </c>
    </row>
    <row r="1313" spans="1:14" x14ac:dyDescent="0.25">
      <c r="A1313" s="6" t="s">
        <v>3305</v>
      </c>
      <c r="B1313" s="6">
        <v>12583</v>
      </c>
      <c r="C1313" s="6" t="s">
        <v>3306</v>
      </c>
      <c r="D1313" s="7" t="s">
        <v>488</v>
      </c>
      <c r="E1313" s="6" t="s">
        <v>304</v>
      </c>
      <c r="F1313" s="6" t="s">
        <v>8376</v>
      </c>
      <c r="G1313" s="8">
        <v>45409</v>
      </c>
      <c r="H1313" s="6">
        <v>19.72</v>
      </c>
      <c r="I1313" s="6" cm="1">
        <f t="array" ref="I1313">IFERROR(VALUE(TRIM(LEFT(E1313,MIN(FIND({" ";"g";"k";"m";"o"},E1313&amp;" gkmo"))-1))),0)</f>
        <v>135</v>
      </c>
      <c r="J1313" s="6" t="str" cm="1">
        <f t="array" ref="J1313">IFERROR(TRIM(MID(E1313,MIN(FIND({" ";"g";"k";"m";"o"},E1313&amp;" gkmo")),10)),"unknown")</f>
        <v>g</v>
      </c>
      <c r="K1313" s="6" t="str">
        <f t="shared" si="80"/>
        <v>g</v>
      </c>
      <c r="L1313" s="6" t="str">
        <f t="shared" si="81"/>
        <v>Bonne Maman</v>
      </c>
      <c r="M1313" s="6" t="str">
        <f t="shared" si="82"/>
        <v>Tartelettes Framboise</v>
      </c>
      <c r="N1313" s="6" t="str">
        <f t="shared" si="83"/>
        <v>Belgium,France,Germany,Switzerland,United Kingdom</v>
      </c>
    </row>
    <row r="1314" spans="1:14" x14ac:dyDescent="0.25">
      <c r="A1314" s="6" t="s">
        <v>3307</v>
      </c>
      <c r="B1314" s="6">
        <v>8763</v>
      </c>
      <c r="C1314" s="6" t="s">
        <v>7223</v>
      </c>
      <c r="D1314" s="7" t="s">
        <v>3308</v>
      </c>
      <c r="E1314" s="6" t="s">
        <v>10</v>
      </c>
      <c r="F1314" s="6" t="s">
        <v>139</v>
      </c>
      <c r="G1314" s="8">
        <v>45338</v>
      </c>
      <c r="H1314" s="6">
        <v>24.46</v>
      </c>
      <c r="I1314" s="6" cm="1">
        <f t="array" ref="I1314">IFERROR(VALUE(TRIM(LEFT(E1314,MIN(FIND({" ";"g";"k";"m";"o"},E1314&amp;" gkmo"))-1))),0)</f>
        <v>100</v>
      </c>
      <c r="J1314" s="6" t="str" cm="1">
        <f t="array" ref="J1314">IFERROR(TRIM(MID(E1314,MIN(FIND({" ";"g";"k";"m";"o"},E1314&amp;" gkmo")),10)),"unknown")</f>
        <v>g</v>
      </c>
      <c r="K1314" s="6" t="str">
        <f t="shared" si="80"/>
        <v>g</v>
      </c>
      <c r="L1314" s="6" t="str">
        <f t="shared" si="81"/>
        <v>Bouton D'Or, Les Creations</v>
      </c>
      <c r="M1314" s="6" t="str">
        <f t="shared" si="82"/>
        <v>Chips De Légumes</v>
      </c>
      <c r="N1314" s="6" t="str">
        <f t="shared" si="83"/>
        <v>France</v>
      </c>
    </row>
    <row r="1315" spans="1:14" x14ac:dyDescent="0.25">
      <c r="A1315" s="6" t="s">
        <v>3309</v>
      </c>
      <c r="B1315" s="6">
        <v>6934</v>
      </c>
      <c r="C1315" s="6" t="s">
        <v>7479</v>
      </c>
      <c r="D1315" s="7" t="s">
        <v>3310</v>
      </c>
      <c r="E1315" s="6" t="s">
        <v>3311</v>
      </c>
      <c r="F1315" s="6" t="s">
        <v>139</v>
      </c>
      <c r="G1315" s="8">
        <v>45856</v>
      </c>
      <c r="H1315" s="6">
        <v>1.71</v>
      </c>
      <c r="I1315" s="6" cm="1">
        <f t="array" ref="I1315">IFERROR(VALUE(TRIM(LEFT(E1315,MIN(FIND({" ";"g";"k";"m";"o"},E1315&amp;" gkmo"))-1))),0)</f>
        <v>2</v>
      </c>
      <c r="J1315" s="6" t="str" cm="1">
        <f t="array" ref="J1315">IFERROR(TRIM(MID(E1315,MIN(FIND({" ";"g";"k";"m";"o"},E1315&amp;" gkmo")),10)),"unknown")</f>
        <v>x 100 g</v>
      </c>
      <c r="K1315" s="6" t="str">
        <f t="shared" si="80"/>
        <v>g</v>
      </c>
      <c r="L1315" s="6" t="str">
        <f t="shared" si="81"/>
        <v>Curly,Intersnack,Vico</v>
      </c>
      <c r="M1315" s="6" t="str">
        <f t="shared" si="82"/>
        <v>Curly Cacahuète L'Original</v>
      </c>
      <c r="N1315" s="6" t="str">
        <f t="shared" si="83"/>
        <v>France</v>
      </c>
    </row>
    <row r="1316" spans="1:14" x14ac:dyDescent="0.25">
      <c r="A1316" s="6" t="s">
        <v>2881</v>
      </c>
      <c r="B1316" s="6">
        <v>5314</v>
      </c>
      <c r="C1316" s="6" t="s">
        <v>3312</v>
      </c>
      <c r="D1316" s="7" t="s">
        <v>7530</v>
      </c>
      <c r="E1316" s="6" t="s">
        <v>297</v>
      </c>
      <c r="F1316" s="6" t="s">
        <v>139</v>
      </c>
      <c r="G1316" s="8">
        <v>45356</v>
      </c>
      <c r="H1316" s="6">
        <v>21.88</v>
      </c>
      <c r="I1316" s="6" cm="1">
        <f t="array" ref="I1316">IFERROR(VALUE(TRIM(LEFT(E1316,MIN(FIND({" ";"g";"k";"m";"o"},E1316&amp;" gkmo"))-1))),0)</f>
        <v>360</v>
      </c>
      <c r="J1316" s="6" t="str" cm="1">
        <f t="array" ref="J1316">IFERROR(TRIM(MID(E1316,MIN(FIND({" ";"g";"k";"m";"o"},E1316&amp;" gkmo")),10)),"unknown")</f>
        <v>g</v>
      </c>
      <c r="K1316" s="6" t="str">
        <f t="shared" si="80"/>
        <v>g</v>
      </c>
      <c r="L1316" s="6" t="str">
        <f t="shared" si="81"/>
        <v>Marque Repère, Épi D'Or</v>
      </c>
      <c r="M1316" s="6" t="str">
        <f t="shared" si="82"/>
        <v>Pains Au Chocolat X 8</v>
      </c>
      <c r="N1316" s="6" t="str">
        <f t="shared" si="83"/>
        <v>France</v>
      </c>
    </row>
    <row r="1317" spans="1:14" x14ac:dyDescent="0.25">
      <c r="A1317" s="6" t="s">
        <v>3313</v>
      </c>
      <c r="B1317" s="6">
        <v>14455</v>
      </c>
      <c r="C1317" s="6" t="s">
        <v>7224</v>
      </c>
      <c r="D1317" s="7" t="s">
        <v>7480</v>
      </c>
      <c r="E1317" s="6" t="s">
        <v>14</v>
      </c>
      <c r="F1317" s="6" t="s">
        <v>139</v>
      </c>
      <c r="G1317" s="8">
        <v>45397</v>
      </c>
      <c r="H1317" s="6">
        <v>7.75</v>
      </c>
      <c r="I1317" s="6" cm="1">
        <f t="array" ref="I1317">IFERROR(VALUE(TRIM(LEFT(E1317,MIN(FIND({" ";"g";"k";"m";"o"},E1317&amp;" gkmo"))-1))),0)</f>
        <v>300</v>
      </c>
      <c r="J1317" s="6" t="str" cm="1">
        <f t="array" ref="J1317">IFERROR(TRIM(MID(E1317,MIN(FIND({" ";"g";"k";"m";"o"},E1317&amp;" gkmo")),10)),"unknown")</f>
        <v>g</v>
      </c>
      <c r="K1317" s="6" t="str">
        <f t="shared" si="80"/>
        <v>g</v>
      </c>
      <c r="L1317" s="6" t="str">
        <f t="shared" si="81"/>
        <v>Marque Repère, P'Tit Déli</v>
      </c>
      <c r="M1317" s="6" t="str">
        <f t="shared" si="82"/>
        <v>Déli Matin Allégé De 30% En Sucres Aux Pépites De Chocolat</v>
      </c>
      <c r="N1317" s="6" t="str">
        <f t="shared" si="83"/>
        <v>France</v>
      </c>
    </row>
    <row r="1318" spans="1:14" x14ac:dyDescent="0.25">
      <c r="A1318" s="6" t="s">
        <v>3314</v>
      </c>
      <c r="B1318" s="6">
        <v>11561</v>
      </c>
      <c r="C1318" s="6" t="s">
        <v>7225</v>
      </c>
      <c r="D1318" s="7" t="s">
        <v>7481</v>
      </c>
      <c r="E1318" s="6" t="s">
        <v>138</v>
      </c>
      <c r="F1318" s="6" t="s">
        <v>139</v>
      </c>
      <c r="G1318" s="8">
        <v>45777</v>
      </c>
      <c r="H1318" s="6">
        <v>12.33</v>
      </c>
      <c r="I1318" s="6" cm="1">
        <f t="array" ref="I1318">IFERROR(VALUE(TRIM(LEFT(E1318,MIN(FIND({" ";"g";"k";"m";"o"},E1318&amp;" gkmo"))-1))),0)</f>
        <v>400</v>
      </c>
      <c r="J1318" s="6" t="str" cm="1">
        <f t="array" ref="J1318">IFERROR(TRIM(MID(E1318,MIN(FIND({" ";"g";"k";"m";"o"},E1318&amp;" gkmo")),10)),"unknown")</f>
        <v>g</v>
      </c>
      <c r="K1318" s="6" t="str">
        <f t="shared" si="80"/>
        <v>g</v>
      </c>
      <c r="L1318" s="6" t="str">
        <f t="shared" si="81"/>
        <v>Marque Repère,P'Tit Déli</v>
      </c>
      <c r="M1318" s="6" t="str">
        <f t="shared" si="82"/>
        <v>Déli Matin Multi-Céréales</v>
      </c>
      <c r="N1318" s="6" t="str">
        <f t="shared" si="83"/>
        <v>France</v>
      </c>
    </row>
    <row r="1319" spans="1:14" x14ac:dyDescent="0.25">
      <c r="A1319" s="6" t="s">
        <v>3315</v>
      </c>
      <c r="B1319" s="6">
        <v>7959</v>
      </c>
      <c r="C1319" s="6" t="s">
        <v>7482</v>
      </c>
      <c r="D1319" s="7" t="s">
        <v>600</v>
      </c>
      <c r="E1319" s="6" t="s">
        <v>10</v>
      </c>
      <c r="F1319" s="6" t="s">
        <v>139</v>
      </c>
      <c r="G1319" s="8">
        <v>45481</v>
      </c>
      <c r="H1319" s="6">
        <v>13.58</v>
      </c>
      <c r="I1319" s="6" cm="1">
        <f t="array" ref="I1319">IFERROR(VALUE(TRIM(LEFT(E1319,MIN(FIND({" ";"g";"k";"m";"o"},E1319&amp;" gkmo"))-1))),0)</f>
        <v>100</v>
      </c>
      <c r="J1319" s="6" t="str" cm="1">
        <f t="array" ref="J1319">IFERROR(TRIM(MID(E1319,MIN(FIND({" ";"g";"k";"m";"o"},E1319&amp;" gkmo")),10)),"unknown")</f>
        <v>g</v>
      </c>
      <c r="K1319" s="6" t="str">
        <f t="shared" si="80"/>
        <v>g</v>
      </c>
      <c r="L1319" s="6" t="str">
        <f t="shared" si="81"/>
        <v>Ethiquable</v>
      </c>
      <c r="M1319" s="6" t="str">
        <f t="shared" si="82"/>
        <v>Chocolat Noir Fèves De Cacao</v>
      </c>
      <c r="N1319" s="6" t="str">
        <f t="shared" si="83"/>
        <v>France</v>
      </c>
    </row>
    <row r="1320" spans="1:14" x14ac:dyDescent="0.25">
      <c r="A1320" s="6" t="s">
        <v>3316</v>
      </c>
      <c r="B1320" s="6">
        <v>12074</v>
      </c>
      <c r="C1320" s="6" t="s">
        <v>3317</v>
      </c>
      <c r="D1320" s="7" t="s">
        <v>3318</v>
      </c>
      <c r="E1320" s="6" t="s">
        <v>138</v>
      </c>
      <c r="F1320" s="6" t="s">
        <v>3319</v>
      </c>
      <c r="G1320" s="8">
        <v>45952</v>
      </c>
      <c r="H1320" s="6">
        <v>4.9400000000000004</v>
      </c>
      <c r="I1320" s="6" cm="1">
        <f t="array" ref="I1320">IFERROR(VALUE(TRIM(LEFT(E1320,MIN(FIND({" ";"g";"k";"m";"o"},E1320&amp;" gkmo"))-1))),0)</f>
        <v>400</v>
      </c>
      <c r="J1320" s="6" t="str" cm="1">
        <f t="array" ref="J1320">IFERROR(TRIM(MID(E1320,MIN(FIND({" ";"g";"k";"m";"o"},E1320&amp;" gkmo")),10)),"unknown")</f>
        <v>g</v>
      </c>
      <c r="K1320" s="6" t="str">
        <f t="shared" si="80"/>
        <v>g</v>
      </c>
      <c r="L1320" s="6" t="str">
        <f t="shared" si="81"/>
        <v>Merci,Storck</v>
      </c>
      <c r="M1320" s="6" t="str">
        <f t="shared" si="82"/>
        <v>Finest Selection Assorted European Chocolates</v>
      </c>
      <c r="N1320" s="6" t="str">
        <f t="shared" si="83"/>
        <v>Bulgaria,France,Germany,Spain,Switzerland,Qatar</v>
      </c>
    </row>
    <row r="1321" spans="1:14" x14ac:dyDescent="0.25">
      <c r="A1321" s="6" t="s">
        <v>3320</v>
      </c>
      <c r="B1321" s="6">
        <v>6340</v>
      </c>
      <c r="C1321" s="6" t="s">
        <v>3321</v>
      </c>
      <c r="D1321" s="7" t="s">
        <v>3322</v>
      </c>
      <c r="E1321" s="6"/>
      <c r="F1321" s="6" t="s">
        <v>7926</v>
      </c>
      <c r="G1321" s="8">
        <v>45958</v>
      </c>
      <c r="H1321" s="6">
        <v>7.36</v>
      </c>
      <c r="I1321" s="6" cm="1">
        <f t="array" ref="I1321">IFERROR(VALUE(TRIM(LEFT(E1321,MIN(FIND({" ";"g";"k";"m";"o"},E1321&amp;" gkmo"))-1))),0)</f>
        <v>0</v>
      </c>
      <c r="J1321" s="6" t="str" cm="1">
        <f t="array" ref="J1321">IFERROR(TRIM(MID(E1321,MIN(FIND({" ";"g";"k";"m";"o"},E1321&amp;" gkmo")),10)),"unknown")</f>
        <v/>
      </c>
      <c r="K1321" s="6" t="str">
        <f t="shared" si="80"/>
        <v>unknown</v>
      </c>
      <c r="L1321" s="6" t="str">
        <f t="shared" si="81"/>
        <v>Sunbites</v>
      </c>
      <c r="M1321" s="6" t="str">
        <f t="shared" si="82"/>
        <v>Sour Cream &amp; Cracked Black Pepper Flavour Wholegrain Snack</v>
      </c>
      <c r="N1321" s="6" t="str">
        <f t="shared" si="83"/>
        <v>France, United-Kingdom</v>
      </c>
    </row>
    <row r="1322" spans="1:14" x14ac:dyDescent="0.25">
      <c r="A1322" s="6" t="s">
        <v>3323</v>
      </c>
      <c r="B1322" s="6">
        <v>12823</v>
      </c>
      <c r="C1322" s="6" t="s">
        <v>3324</v>
      </c>
      <c r="D1322" s="7" t="s">
        <v>3325</v>
      </c>
      <c r="E1322" s="6" t="s">
        <v>676</v>
      </c>
      <c r="F1322" s="6" t="s">
        <v>177</v>
      </c>
      <c r="G1322" s="8">
        <v>45717</v>
      </c>
      <c r="H1322" s="6">
        <v>19.3</v>
      </c>
      <c r="I1322" s="6" cm="1">
        <f t="array" ref="I1322">IFERROR(VALUE(TRIM(LEFT(E1322,MIN(FIND({" ";"g";"k";"m";"o"},E1322&amp;" gkmo"))-1))),0)</f>
        <v>180</v>
      </c>
      <c r="J1322" s="6" t="str" cm="1">
        <f t="array" ref="J1322">IFERROR(TRIM(MID(E1322,MIN(FIND({" ";"g";"k";"m";"o"},E1322&amp;" gkmo")),10)),"unknown")</f>
        <v>g</v>
      </c>
      <c r="K1322" s="6" t="str">
        <f t="shared" si="80"/>
        <v>g</v>
      </c>
      <c r="L1322" s="6" t="str">
        <f t="shared" si="81"/>
        <v>Doritos,Walkers</v>
      </c>
      <c r="M1322" s="6" t="str">
        <f t="shared" si="82"/>
        <v>Doritos Tangy Cheese</v>
      </c>
      <c r="N1322" s="6" t="str">
        <f t="shared" si="83"/>
        <v>United Kingdom</v>
      </c>
    </row>
    <row r="1323" spans="1:14" x14ac:dyDescent="0.25">
      <c r="A1323" s="6" t="s">
        <v>3326</v>
      </c>
      <c r="B1323" s="6">
        <v>12422</v>
      </c>
      <c r="C1323" s="6" t="s">
        <v>3327</v>
      </c>
      <c r="D1323" s="7" t="s">
        <v>7719</v>
      </c>
      <c r="E1323" s="6" t="s">
        <v>2083</v>
      </c>
      <c r="F1323" s="6" t="s">
        <v>8312</v>
      </c>
      <c r="G1323" s="8">
        <v>45761</v>
      </c>
      <c r="H1323" s="6">
        <v>13.16</v>
      </c>
      <c r="I1323" s="6" cm="1">
        <f t="array" ref="I1323">IFERROR(VALUE(TRIM(LEFT(E1323,MIN(FIND({" ";"g";"k";"m";"o"},E1323&amp;" gkmo"))-1))),0)</f>
        <v>240</v>
      </c>
      <c r="J1323" s="6" t="str" cm="1">
        <f t="array" ref="J1323">IFERROR(TRIM(MID(E1323,MIN(FIND({" ";"g";"k";"m";"o"},E1323&amp;" gkmo")),10)),"unknown")</f>
        <v>g</v>
      </c>
      <c r="K1323" s="6" t="str">
        <f t="shared" si="80"/>
        <v>g</v>
      </c>
      <c r="L1323" s="6" t="str">
        <f t="shared" si="81"/>
        <v>Cà´Te D'Or, Mondelez International</v>
      </c>
      <c r="M1323" s="6" t="str">
        <f t="shared" si="82"/>
        <v>Mignonnette Lait</v>
      </c>
      <c r="N1323" s="6" t="str">
        <f t="shared" si="83"/>
        <v>Belgium,Chine,France</v>
      </c>
    </row>
    <row r="1324" spans="1:14" x14ac:dyDescent="0.25">
      <c r="A1324" s="6" t="s">
        <v>3328</v>
      </c>
      <c r="B1324" s="6">
        <v>6103</v>
      </c>
      <c r="C1324" s="6" t="s">
        <v>3329</v>
      </c>
      <c r="D1324" s="7" t="s">
        <v>2145</v>
      </c>
      <c r="E1324" s="6" t="s">
        <v>499</v>
      </c>
      <c r="F1324" s="6" t="s">
        <v>400</v>
      </c>
      <c r="G1324" s="8">
        <v>45571</v>
      </c>
      <c r="H1324" s="6">
        <v>5.35</v>
      </c>
      <c r="I1324" s="6" cm="1">
        <f t="array" ref="I1324">IFERROR(VALUE(TRIM(LEFT(E1324,MIN(FIND({" ";"g";"k";"m";"o"},E1324&amp;" gkmo"))-1))),0)</f>
        <v>154</v>
      </c>
      <c r="J1324" s="6" t="str" cm="1">
        <f t="array" ref="J1324">IFERROR(TRIM(MID(E1324,MIN(FIND({" ";"g";"k";"m";"o"},E1324&amp;" gkmo")),10)),"unknown")</f>
        <v>g</v>
      </c>
      <c r="K1324" s="6" t="str">
        <f t="shared" si="80"/>
        <v>g</v>
      </c>
      <c r="L1324" s="6" t="str">
        <f t="shared" si="81"/>
        <v>Oreo</v>
      </c>
      <c r="M1324" s="6" t="str">
        <f t="shared" si="82"/>
        <v>Oreo Original</v>
      </c>
      <c r="N1324" s="6" t="str">
        <f t="shared" si="83"/>
        <v>France,United Kingdom</v>
      </c>
    </row>
    <row r="1325" spans="1:14" x14ac:dyDescent="0.25">
      <c r="A1325" s="6" t="s">
        <v>3330</v>
      </c>
      <c r="B1325" s="6">
        <v>9456</v>
      </c>
      <c r="C1325" s="6" t="s">
        <v>3331</v>
      </c>
      <c r="D1325" s="7" t="s">
        <v>3332</v>
      </c>
      <c r="E1325" s="6" t="s">
        <v>138</v>
      </c>
      <c r="F1325" s="6" t="s">
        <v>3333</v>
      </c>
      <c r="G1325" s="8">
        <v>45598</v>
      </c>
      <c r="H1325" s="6">
        <v>1.95</v>
      </c>
      <c r="I1325" s="6" cm="1">
        <f t="array" ref="I1325">IFERROR(VALUE(TRIM(LEFT(E1325,MIN(FIND({" ";"g";"k";"m";"o"},E1325&amp;" gkmo"))-1))),0)</f>
        <v>400</v>
      </c>
      <c r="J1325" s="6" t="str" cm="1">
        <f t="array" ref="J1325">IFERROR(TRIM(MID(E1325,MIN(FIND({" ";"g";"k";"m";"o"},E1325&amp;" gkmo")),10)),"unknown")</f>
        <v>g</v>
      </c>
      <c r="K1325" s="6" t="str">
        <f t="shared" si="80"/>
        <v>g</v>
      </c>
      <c r="L1325" s="6" t="str">
        <f t="shared" si="81"/>
        <v>Royal, Mondelez</v>
      </c>
      <c r="M1325" s="6" t="str">
        <f t="shared" si="82"/>
        <v>Caramelo Liquido</v>
      </c>
      <c r="N1325" s="6" t="str">
        <f t="shared" si="83"/>
        <v>Frankreich, Marokko, Spanien, Germany</v>
      </c>
    </row>
    <row r="1326" spans="1:14" x14ac:dyDescent="0.25">
      <c r="A1326" s="6" t="s">
        <v>3334</v>
      </c>
      <c r="B1326" s="6">
        <v>11569</v>
      </c>
      <c r="C1326" s="6" t="s">
        <v>3335</v>
      </c>
      <c r="D1326" s="7" t="s">
        <v>3336</v>
      </c>
      <c r="E1326" s="6" t="s">
        <v>504</v>
      </c>
      <c r="F1326" s="6" t="s">
        <v>3337</v>
      </c>
      <c r="G1326" s="8">
        <v>45712</v>
      </c>
      <c r="H1326" s="6">
        <v>18.149999999999999</v>
      </c>
      <c r="I1326" s="6" cm="1">
        <f t="array" ref="I1326">IFERROR(VALUE(TRIM(LEFT(E1326,MIN(FIND({" ";"g";"k";"m";"o"},E1326&amp;" gkmo"))-1))),0)</f>
        <v>400</v>
      </c>
      <c r="J1326" s="6" t="str" cm="1">
        <f t="array" ref="J1326">IFERROR(TRIM(MID(E1326,MIN(FIND({" ";"g";"k";"m";"o"},E1326&amp;" gkmo")),10)),"unknown")</f>
        <v>g</v>
      </c>
      <c r="K1326" s="6" t="str">
        <f t="shared" si="80"/>
        <v>g</v>
      </c>
      <c r="L1326" s="6" t="str">
        <f t="shared" si="81"/>
        <v>Manner</v>
      </c>
      <c r="M1326" s="6" t="str">
        <f t="shared" si="82"/>
        <v>Original Neapolitaner</v>
      </c>
      <c r="N1326" s="6" t="str">
        <f t="shared" si="83"/>
        <v>Czech Republic,Germany</v>
      </c>
    </row>
    <row r="1327" spans="1:14" x14ac:dyDescent="0.25">
      <c r="A1327" s="6" t="s">
        <v>3338</v>
      </c>
      <c r="B1327" s="6">
        <v>9878</v>
      </c>
      <c r="C1327" s="6" t="s">
        <v>7017</v>
      </c>
      <c r="D1327" s="7" t="s">
        <v>3339</v>
      </c>
      <c r="E1327" s="6"/>
      <c r="F1327" s="6" t="s">
        <v>139</v>
      </c>
      <c r="G1327" s="8">
        <v>45618</v>
      </c>
      <c r="H1327" s="6">
        <v>13.16</v>
      </c>
      <c r="I1327" s="6" cm="1">
        <f t="array" ref="I1327">IFERROR(VALUE(TRIM(LEFT(E1327,MIN(FIND({" ";"g";"k";"m";"o"},E1327&amp;" gkmo"))-1))),0)</f>
        <v>0</v>
      </c>
      <c r="J1327" s="6" t="str" cm="1">
        <f t="array" ref="J1327">IFERROR(TRIM(MID(E1327,MIN(FIND({" ";"g";"k";"m";"o"},E1327&amp;" gkmo")),10)),"unknown")</f>
        <v/>
      </c>
      <c r="K1327" s="6" t="str">
        <f t="shared" si="80"/>
        <v>unknown</v>
      </c>
      <c r="L1327" s="6" t="str">
        <f t="shared" si="81"/>
        <v>Snacks Of The World</v>
      </c>
      <c r="M1327" s="6" t="str">
        <f t="shared" si="82"/>
        <v>Unknown</v>
      </c>
      <c r="N1327" s="6" t="str">
        <f t="shared" si="83"/>
        <v>France</v>
      </c>
    </row>
    <row r="1328" spans="1:14" x14ac:dyDescent="0.25">
      <c r="A1328" s="6" t="s">
        <v>3340</v>
      </c>
      <c r="B1328" s="6">
        <v>13433</v>
      </c>
      <c r="C1328" s="6" t="s">
        <v>3341</v>
      </c>
      <c r="D1328" s="7" t="s">
        <v>452</v>
      </c>
      <c r="E1328" s="6" t="s">
        <v>588</v>
      </c>
      <c r="F1328" s="6" t="s">
        <v>7595</v>
      </c>
      <c r="G1328" s="8">
        <v>45601</v>
      </c>
      <c r="H1328" s="6">
        <v>8.09</v>
      </c>
      <c r="I1328" s="6" cm="1">
        <f t="array" ref="I1328">IFERROR(VALUE(TRIM(LEFT(E1328,MIN(FIND({" ";"g";"k";"m";"o"},E1328&amp;" gkmo"))-1))),0)</f>
        <v>4</v>
      </c>
      <c r="J1328" s="6" t="str" cm="1">
        <f t="array" ref="J1328">IFERROR(TRIM(MID(E1328,MIN(FIND({" ";"g";"k";"m";"o"},E1328&amp;" gkmo")),10)),"unknown")</f>
        <v>x 30 g</v>
      </c>
      <c r="K1328" s="6" t="str">
        <f t="shared" si="80"/>
        <v>g</v>
      </c>
      <c r="L1328" s="6" t="str">
        <f t="shared" si="81"/>
        <v>Hacendado</v>
      </c>
      <c r="M1328" s="6" t="str">
        <f t="shared" si="82"/>
        <v>Barritas Frutos Secos</v>
      </c>
      <c r="N1328" s="6" t="str">
        <f t="shared" si="83"/>
        <v>Espaà±A</v>
      </c>
    </row>
    <row r="1329" spans="1:14" x14ac:dyDescent="0.25">
      <c r="A1329" s="6" t="s">
        <v>3342</v>
      </c>
      <c r="B1329" s="6">
        <v>12282</v>
      </c>
      <c r="C1329" s="6" t="s">
        <v>7720</v>
      </c>
      <c r="D1329" s="7" t="s">
        <v>452</v>
      </c>
      <c r="E1329" s="6"/>
      <c r="F1329" s="6" t="s">
        <v>1185</v>
      </c>
      <c r="G1329" s="8">
        <v>45890</v>
      </c>
      <c r="H1329" s="6">
        <v>21.34</v>
      </c>
      <c r="I1329" s="6" cm="1">
        <f t="array" ref="I1329">IFERROR(VALUE(TRIM(LEFT(E1329,MIN(FIND({" ";"g";"k";"m";"o"},E1329&amp;" gkmo"))-1))),0)</f>
        <v>0</v>
      </c>
      <c r="J1329" s="6" t="str" cm="1">
        <f t="array" ref="J1329">IFERROR(TRIM(MID(E1329,MIN(FIND({" ";"g";"k";"m";"o"},E1329&amp;" gkmo")),10)),"unknown")</f>
        <v/>
      </c>
      <c r="K1329" s="6" t="str">
        <f t="shared" si="80"/>
        <v>unknown</v>
      </c>
      <c r="L1329" s="6" t="str">
        <f t="shared" si="81"/>
        <v>Hacendado</v>
      </c>
      <c r="M1329" s="6" t="str">
        <f t="shared" si="82"/>
        <v>Marà­A Choco</v>
      </c>
      <c r="N1329" s="6" t="str">
        <f t="shared" si="83"/>
        <v>Spain</v>
      </c>
    </row>
    <row r="1330" spans="1:14" x14ac:dyDescent="0.25">
      <c r="A1330" s="6" t="s">
        <v>3343</v>
      </c>
      <c r="B1330" s="6">
        <v>8290</v>
      </c>
      <c r="C1330" s="6" t="s">
        <v>3344</v>
      </c>
      <c r="D1330" s="7" t="s">
        <v>3345</v>
      </c>
      <c r="E1330" s="6"/>
      <c r="F1330" s="6" t="s">
        <v>177</v>
      </c>
      <c r="G1330" s="8">
        <v>45727</v>
      </c>
      <c r="H1330" s="6">
        <v>17.29</v>
      </c>
      <c r="I1330" s="6" cm="1">
        <f t="array" ref="I1330">IFERROR(VALUE(TRIM(LEFT(E1330,MIN(FIND({" ";"g";"k";"m";"o"},E1330&amp;" gkmo"))-1))),0)</f>
        <v>0</v>
      </c>
      <c r="J1330" s="6" t="str" cm="1">
        <f t="array" ref="J1330">IFERROR(TRIM(MID(E1330,MIN(FIND({" ";"g";"k";"m";"o"},E1330&amp;" gkmo")),10)),"unknown")</f>
        <v/>
      </c>
      <c r="K1330" s="6" t="str">
        <f t="shared" si="80"/>
        <v>unknown</v>
      </c>
      <c r="L1330" s="6" t="str">
        <f t="shared" si="81"/>
        <v>Co Op</v>
      </c>
      <c r="M1330" s="6" t="str">
        <f t="shared" si="82"/>
        <v>Chocolat Noir Irresistible 70%</v>
      </c>
      <c r="N1330" s="6" t="str">
        <f t="shared" si="83"/>
        <v>United Kingdom</v>
      </c>
    </row>
    <row r="1331" spans="1:14" x14ac:dyDescent="0.25">
      <c r="A1331" s="6" t="s">
        <v>3346</v>
      </c>
      <c r="B1331" s="6">
        <v>7976</v>
      </c>
      <c r="C1331" s="6" t="s">
        <v>3347</v>
      </c>
      <c r="D1331" s="7" t="s">
        <v>452</v>
      </c>
      <c r="E1331" s="6" t="s">
        <v>3348</v>
      </c>
      <c r="F1331" s="6" t="s">
        <v>7595</v>
      </c>
      <c r="G1331" s="8">
        <v>45921</v>
      </c>
      <c r="H1331" s="6">
        <v>18.57</v>
      </c>
      <c r="I1331" s="6" cm="1">
        <f t="array" ref="I1331">IFERROR(VALUE(TRIM(LEFT(E1331,MIN(FIND({" ";"g";"k";"m";"o"},E1331&amp;" gkmo"))-1))),0)</f>
        <v>645</v>
      </c>
      <c r="J1331" s="6" t="str" cm="1">
        <f t="array" ref="J1331">IFERROR(TRIM(MID(E1331,MIN(FIND({" ";"g";"k";"m";"o"},E1331&amp;" gkmo")),10)),"unknown")</f>
        <v>g</v>
      </c>
      <c r="K1331" s="6" t="str">
        <f t="shared" si="80"/>
        <v>g</v>
      </c>
      <c r="L1331" s="6" t="str">
        <f t="shared" si="81"/>
        <v>Hacendado</v>
      </c>
      <c r="M1331" s="6" t="str">
        <f t="shared" si="82"/>
        <v>Galletas Relieve</v>
      </c>
      <c r="N1331" s="6" t="str">
        <f t="shared" si="83"/>
        <v>Espaà±A</v>
      </c>
    </row>
    <row r="1332" spans="1:14" x14ac:dyDescent="0.25">
      <c r="A1332" s="6" t="s">
        <v>3349</v>
      </c>
      <c r="B1332" s="6">
        <v>8432</v>
      </c>
      <c r="C1332" s="6" t="s">
        <v>3350</v>
      </c>
      <c r="D1332" s="7" t="s">
        <v>1345</v>
      </c>
      <c r="E1332" s="6" t="s">
        <v>14</v>
      </c>
      <c r="F1332" s="6" t="s">
        <v>139</v>
      </c>
      <c r="G1332" s="8">
        <v>45445</v>
      </c>
      <c r="H1332" s="6">
        <v>19.690000000000001</v>
      </c>
      <c r="I1332" s="6" cm="1">
        <f t="array" ref="I1332">IFERROR(VALUE(TRIM(LEFT(E1332,MIN(FIND({" ";"g";"k";"m";"o"},E1332&amp;" gkmo"))-1))),0)</f>
        <v>300</v>
      </c>
      <c r="J1332" s="6" t="str" cm="1">
        <f t="array" ref="J1332">IFERROR(TRIM(MID(E1332,MIN(FIND({" ";"g";"k";"m";"o"},E1332&amp;" gkmo")),10)),"unknown")</f>
        <v>g</v>
      </c>
      <c r="K1332" s="6" t="str">
        <f t="shared" si="80"/>
        <v>g</v>
      </c>
      <c r="L1332" s="6" t="str">
        <f t="shared" si="81"/>
        <v>Haribo</v>
      </c>
      <c r="M1332" s="6" t="str">
        <f t="shared" si="82"/>
        <v>Schtroumpfs</v>
      </c>
      <c r="N1332" s="6" t="str">
        <f t="shared" si="83"/>
        <v>France</v>
      </c>
    </row>
    <row r="1333" spans="1:14" x14ac:dyDescent="0.25">
      <c r="A1333" s="6" t="s">
        <v>3351</v>
      </c>
      <c r="B1333" s="6">
        <v>5957</v>
      </c>
      <c r="C1333" s="6" t="s">
        <v>3352</v>
      </c>
      <c r="D1333" s="7" t="s">
        <v>7017</v>
      </c>
      <c r="E1333" s="6" t="s">
        <v>151</v>
      </c>
      <c r="F1333" s="6" t="s">
        <v>8051</v>
      </c>
      <c r="G1333" s="8">
        <v>45344</v>
      </c>
      <c r="H1333" s="6">
        <v>14.47</v>
      </c>
      <c r="I1333" s="6" cm="1">
        <f t="array" ref="I1333">IFERROR(VALUE(TRIM(LEFT(E1333,MIN(FIND({" ";"g";"k";"m";"o"},E1333&amp;" gkmo"))-1))),0)</f>
        <v>200</v>
      </c>
      <c r="J1333" s="6" t="str" cm="1">
        <f t="array" ref="J1333">IFERROR(TRIM(MID(E1333,MIN(FIND({" ";"g";"k";"m";"o"},E1333&amp;" gkmo")),10)),"unknown")</f>
        <v>g</v>
      </c>
      <c r="K1333" s="6" t="str">
        <f t="shared" si="80"/>
        <v>g</v>
      </c>
      <c r="L1333" s="6" t="str">
        <f t="shared" si="81"/>
        <v>Unknown</v>
      </c>
      <c r="M1333" s="6" t="str">
        <f t="shared" si="82"/>
        <v>All Butter Pistachio And Almond Cookies</v>
      </c>
      <c r="N1333" s="6" t="str">
        <f t="shared" si="83"/>
        <v>Czech Republic, France, Thailand, Scotland, United-Kingdom</v>
      </c>
    </row>
    <row r="1334" spans="1:14" x14ac:dyDescent="0.25">
      <c r="A1334" s="6" t="s">
        <v>3353</v>
      </c>
      <c r="B1334" s="6">
        <v>12788</v>
      </c>
      <c r="C1334" s="6" t="s">
        <v>3354</v>
      </c>
      <c r="D1334" s="7" t="s">
        <v>7017</v>
      </c>
      <c r="E1334" s="6"/>
      <c r="F1334" s="6" t="s">
        <v>177</v>
      </c>
      <c r="G1334" s="8">
        <v>45840</v>
      </c>
      <c r="H1334" s="6">
        <v>10.59</v>
      </c>
      <c r="I1334" s="6" cm="1">
        <f t="array" ref="I1334">IFERROR(VALUE(TRIM(LEFT(E1334,MIN(FIND({" ";"g";"k";"m";"o"},E1334&amp;" gkmo"))-1))),0)</f>
        <v>0</v>
      </c>
      <c r="J1334" s="6" t="str" cm="1">
        <f t="array" ref="J1334">IFERROR(TRIM(MID(E1334,MIN(FIND({" ";"g";"k";"m";"o"},E1334&amp;" gkmo")),10)),"unknown")</f>
        <v/>
      </c>
      <c r="K1334" s="6" t="str">
        <f t="shared" si="80"/>
        <v>unknown</v>
      </c>
      <c r="L1334" s="6" t="str">
        <f t="shared" si="81"/>
        <v>Unknown</v>
      </c>
      <c r="M1334" s="6" t="str">
        <f t="shared" si="82"/>
        <v>Lightly Salted Rice Crackers</v>
      </c>
      <c r="N1334" s="6" t="str">
        <f t="shared" si="83"/>
        <v>United Kingdom</v>
      </c>
    </row>
    <row r="1335" spans="1:14" x14ac:dyDescent="0.25">
      <c r="A1335" s="6" t="s">
        <v>3355</v>
      </c>
      <c r="B1335" s="6">
        <v>11473</v>
      </c>
      <c r="C1335" s="6" t="s">
        <v>3356</v>
      </c>
      <c r="D1335" s="7" t="s">
        <v>2398</v>
      </c>
      <c r="E1335" s="6" t="s">
        <v>14</v>
      </c>
      <c r="F1335" s="6" t="s">
        <v>997</v>
      </c>
      <c r="G1335" s="8">
        <v>45640</v>
      </c>
      <c r="H1335" s="6">
        <v>24.48</v>
      </c>
      <c r="I1335" s="6" cm="1">
        <f t="array" ref="I1335">IFERROR(VALUE(TRIM(LEFT(E1335,MIN(FIND({" ";"g";"k";"m";"o"},E1335&amp;" gkmo"))-1))),0)</f>
        <v>300</v>
      </c>
      <c r="J1335" s="6" t="str" cm="1">
        <f t="array" ref="J1335">IFERROR(TRIM(MID(E1335,MIN(FIND({" ";"g";"k";"m";"o"},E1335&amp;" gkmo")),10)),"unknown")</f>
        <v>g</v>
      </c>
      <c r="K1335" s="6" t="str">
        <f t="shared" si="80"/>
        <v>g</v>
      </c>
      <c r="L1335" s="6" t="str">
        <f t="shared" si="81"/>
        <v>Galbusera</v>
      </c>
      <c r="M1335" s="6" t="str">
        <f t="shared" si="82"/>
        <v>Cereali G - Granola E Frolla</v>
      </c>
      <c r="N1335" s="6" t="str">
        <f t="shared" si="83"/>
        <v>Italy</v>
      </c>
    </row>
    <row r="1336" spans="1:14" x14ac:dyDescent="0.25">
      <c r="A1336" s="6" t="s">
        <v>3357</v>
      </c>
      <c r="B1336" s="6">
        <v>5960</v>
      </c>
      <c r="C1336" s="6" t="s">
        <v>3358</v>
      </c>
      <c r="D1336" s="7" t="s">
        <v>7017</v>
      </c>
      <c r="E1336" s="6" t="s">
        <v>335</v>
      </c>
      <c r="F1336" s="6" t="s">
        <v>213</v>
      </c>
      <c r="G1336" s="8">
        <v>45985</v>
      </c>
      <c r="H1336" s="6">
        <v>16.84</v>
      </c>
      <c r="I1336" s="6" cm="1">
        <f t="array" ref="I1336">IFERROR(VALUE(TRIM(LEFT(E1336,MIN(FIND({" ";"g";"k";"m";"o"},E1336&amp;" gkmo"))-1))),0)</f>
        <v>250</v>
      </c>
      <c r="J1336" s="6" t="str" cm="1">
        <f t="array" ref="J1336">IFERROR(TRIM(MID(E1336,MIN(FIND({" ";"g";"k";"m";"o"},E1336&amp;" gkmo")),10)),"unknown")</f>
        <v>g</v>
      </c>
      <c r="K1336" s="6" t="str">
        <f t="shared" si="80"/>
        <v>g</v>
      </c>
      <c r="L1336" s="6" t="str">
        <f t="shared" si="81"/>
        <v>Unknown</v>
      </c>
      <c r="M1336" s="6" t="str">
        <f t="shared" si="82"/>
        <v>Petites Tartelettes Chocolat Caramel</v>
      </c>
      <c r="N1336" s="6" t="str">
        <f t="shared" si="83"/>
        <v>Belgium,France</v>
      </c>
    </row>
    <row r="1337" spans="1:14" x14ac:dyDescent="0.25">
      <c r="A1337" s="6" t="s">
        <v>3359</v>
      </c>
      <c r="B1337" s="6">
        <v>10269</v>
      </c>
      <c r="C1337" s="6" t="s">
        <v>7226</v>
      </c>
      <c r="D1337" s="7" t="s">
        <v>3360</v>
      </c>
      <c r="E1337" s="6" t="s">
        <v>3361</v>
      </c>
      <c r="F1337" s="6" t="s">
        <v>139</v>
      </c>
      <c r="G1337" s="8">
        <v>45571</v>
      </c>
      <c r="H1337" s="6">
        <v>7.48</v>
      </c>
      <c r="I1337" s="6" cm="1">
        <f t="array" ref="I1337">IFERROR(VALUE(TRIM(LEFT(E1337,MIN(FIND({" ";"g";"k";"m";"o"},E1337&amp;" gkmo"))-1))),0)</f>
        <v>16</v>
      </c>
      <c r="J1337" s="6" t="str" cm="1">
        <f t="array" ref="J1337">IFERROR(TRIM(MID(E1337,MIN(FIND({" ";"g";"k";"m";"o"},E1337&amp;" gkmo")),10)),"unknown")</f>
        <v>200g</v>
      </c>
      <c r="K1337" s="6" t="str">
        <f t="shared" si="80"/>
        <v>g</v>
      </c>
      <c r="L1337" s="6" t="str">
        <f t="shared" si="81"/>
        <v>Ww, Weight Watchers</v>
      </c>
      <c r="M1337" s="6" t="str">
        <f t="shared" si="82"/>
        <v>Biscuits Petit Déjeuner</v>
      </c>
      <c r="N1337" s="6" t="str">
        <f t="shared" si="83"/>
        <v>France</v>
      </c>
    </row>
    <row r="1338" spans="1:14" x14ac:dyDescent="0.25">
      <c r="A1338" s="6" t="s">
        <v>3362</v>
      </c>
      <c r="B1338" s="6">
        <v>13767</v>
      </c>
      <c r="C1338" s="6" t="s">
        <v>3363</v>
      </c>
      <c r="D1338" s="7" t="s">
        <v>1430</v>
      </c>
      <c r="E1338" s="6" t="s">
        <v>1365</v>
      </c>
      <c r="F1338" s="6" t="s">
        <v>7926</v>
      </c>
      <c r="G1338" s="8">
        <v>45831</v>
      </c>
      <c r="H1338" s="6">
        <v>1.41</v>
      </c>
      <c r="I1338" s="6" cm="1">
        <f t="array" ref="I1338">IFERROR(VALUE(TRIM(LEFT(E1338,MIN(FIND({" ";"g";"k";"m";"o"},E1338&amp;" gkmo"))-1))),0)</f>
        <v>27</v>
      </c>
      <c r="J1338" s="6" t="str" cm="1">
        <f t="array" ref="J1338">IFERROR(TRIM(MID(E1338,MIN(FIND({" ";"g";"k";"m";"o"},E1338&amp;" gkmo")),10)),"unknown")</f>
        <v>g</v>
      </c>
      <c r="K1338" s="6" t="str">
        <f t="shared" si="80"/>
        <v>g</v>
      </c>
      <c r="L1338" s="6" t="str">
        <f t="shared" si="81"/>
        <v>Deliciously Ella</v>
      </c>
      <c r="M1338" s="6" t="str">
        <f t="shared" si="82"/>
        <v>Chocolate Orange Dipped Almonds</v>
      </c>
      <c r="N1338" s="6" t="str">
        <f t="shared" si="83"/>
        <v>France, United-Kingdom</v>
      </c>
    </row>
    <row r="1339" spans="1:14" x14ac:dyDescent="0.25">
      <c r="A1339" s="6" t="s">
        <v>3364</v>
      </c>
      <c r="B1339" s="6">
        <v>12446</v>
      </c>
      <c r="C1339" s="6" t="s">
        <v>7227</v>
      </c>
      <c r="D1339" s="7" t="s">
        <v>3365</v>
      </c>
      <c r="E1339" s="6" t="s">
        <v>10</v>
      </c>
      <c r="F1339" s="6" t="s">
        <v>139</v>
      </c>
      <c r="G1339" s="8">
        <v>46008</v>
      </c>
      <c r="H1339" s="6">
        <v>4.28</v>
      </c>
      <c r="I1339" s="6" cm="1">
        <f t="array" ref="I1339">IFERROR(VALUE(TRIM(LEFT(E1339,MIN(FIND({" ";"g";"k";"m";"o"},E1339&amp;" gkmo"))-1))),0)</f>
        <v>100</v>
      </c>
      <c r="J1339" s="6" t="str" cm="1">
        <f t="array" ref="J1339">IFERROR(TRIM(MID(E1339,MIN(FIND({" ";"g";"k";"m";"o"},E1339&amp;" gkmo")),10)),"unknown")</f>
        <v>g</v>
      </c>
      <c r="K1339" s="6" t="str">
        <f t="shared" si="80"/>
        <v>g</v>
      </c>
      <c r="L1339" s="6" t="str">
        <f t="shared" si="81"/>
        <v>Merveilles Du Monde</v>
      </c>
      <c r="M1339" s="6" t="str">
        <f t="shared" si="82"/>
        <v>Tablette Lait Noisettes Et Amandes Pilées</v>
      </c>
      <c r="N1339" s="6" t="str">
        <f t="shared" si="83"/>
        <v>France</v>
      </c>
    </row>
    <row r="1340" spans="1:14" x14ac:dyDescent="0.25">
      <c r="A1340" s="6" t="s">
        <v>3366</v>
      </c>
      <c r="B1340" s="6">
        <v>14938</v>
      </c>
      <c r="C1340" s="6" t="s">
        <v>309</v>
      </c>
      <c r="D1340" s="7" t="s">
        <v>488</v>
      </c>
      <c r="E1340" s="6" t="s">
        <v>2235</v>
      </c>
      <c r="F1340" s="6" t="s">
        <v>400</v>
      </c>
      <c r="G1340" s="8">
        <v>45566</v>
      </c>
      <c r="H1340" s="6">
        <v>24.68</v>
      </c>
      <c r="I1340" s="6" cm="1">
        <f t="array" ref="I1340">IFERROR(VALUE(TRIM(LEFT(E1340,MIN(FIND({" ";"g";"k";"m";"o"},E1340&amp;" gkmo"))-1))),0)</f>
        <v>235</v>
      </c>
      <c r="J1340" s="6" t="str" cm="1">
        <f t="array" ref="J1340">IFERROR(TRIM(MID(E1340,MIN(FIND({" ";"g";"k";"m";"o"},E1340&amp;" gkmo")),10)),"unknown")</f>
        <v>g</v>
      </c>
      <c r="K1340" s="6" t="str">
        <f t="shared" si="80"/>
        <v>g</v>
      </c>
      <c r="L1340" s="6" t="str">
        <f t="shared" si="81"/>
        <v>Bonne Maman</v>
      </c>
      <c r="M1340" s="6" t="str">
        <f t="shared" si="82"/>
        <v>Petites Madeleines</v>
      </c>
      <c r="N1340" s="6" t="str">
        <f t="shared" si="83"/>
        <v>France,United Kingdom</v>
      </c>
    </row>
    <row r="1341" spans="1:14" x14ac:dyDescent="0.25">
      <c r="A1341" s="6" t="s">
        <v>3367</v>
      </c>
      <c r="B1341" s="6">
        <v>7624</v>
      </c>
      <c r="C1341" s="6" t="s">
        <v>3368</v>
      </c>
      <c r="D1341" s="7" t="s">
        <v>1424</v>
      </c>
      <c r="E1341" s="6"/>
      <c r="F1341" s="6" t="s">
        <v>7916</v>
      </c>
      <c r="G1341" s="8">
        <v>45914</v>
      </c>
      <c r="H1341" s="6">
        <v>13.16</v>
      </c>
      <c r="I1341" s="6" cm="1">
        <f t="array" ref="I1341">IFERROR(VALUE(TRIM(LEFT(E1341,MIN(FIND({" ";"g";"k";"m";"o"},E1341&amp;" gkmo"))-1))),0)</f>
        <v>0</v>
      </c>
      <c r="J1341" s="6" t="str" cm="1">
        <f t="array" ref="J1341">IFERROR(TRIM(MID(E1341,MIN(FIND({" ";"g";"k";"m";"o"},E1341&amp;" gkmo")),10)),"unknown")</f>
        <v/>
      </c>
      <c r="K1341" s="6" t="str">
        <f t="shared" si="80"/>
        <v>unknown</v>
      </c>
      <c r="L1341" s="6" t="str">
        <f t="shared" si="81"/>
        <v>Jacob'S</v>
      </c>
      <c r="M1341" s="6" t="str">
        <f t="shared" si="82"/>
        <v>Twiglets (6 Pack)</v>
      </c>
      <c r="N1341" s="6" t="str">
        <f t="shared" si="83"/>
        <v>United-Kingdom</v>
      </c>
    </row>
    <row r="1342" spans="1:14" x14ac:dyDescent="0.25">
      <c r="A1342" s="6" t="s">
        <v>3369</v>
      </c>
      <c r="B1342" s="6">
        <v>5869</v>
      </c>
      <c r="C1342" s="6" t="s">
        <v>7721</v>
      </c>
      <c r="D1342" s="7" t="s">
        <v>3370</v>
      </c>
      <c r="E1342" s="6" t="s">
        <v>64</v>
      </c>
      <c r="F1342" s="6" t="s">
        <v>3183</v>
      </c>
      <c r="G1342" s="8">
        <v>45422</v>
      </c>
      <c r="H1342" s="6">
        <v>6.43</v>
      </c>
      <c r="I1342" s="6" cm="1">
        <f t="array" ref="I1342">IFERROR(VALUE(TRIM(LEFT(E1342,MIN(FIND({" ";"g";"k";"m";"o"},E1342&amp;" gkmo"))-1))),0)</f>
        <v>150</v>
      </c>
      <c r="J1342" s="6" t="str" cm="1">
        <f t="array" ref="J1342">IFERROR(TRIM(MID(E1342,MIN(FIND({" ";"g";"k";"m";"o"},E1342&amp;" gkmo")),10)),"unknown")</f>
        <v>g</v>
      </c>
      <c r="K1342" s="6" t="str">
        <f t="shared" si="80"/>
        <v>g</v>
      </c>
      <c r="L1342" s="6" t="str">
        <f t="shared" si="81"/>
        <v>Snaktastic</v>
      </c>
      <c r="M1342" s="6" t="str">
        <f t="shared" si="82"/>
        <v>Flà»Tes Feuilletées Fromage</v>
      </c>
      <c r="N1342" s="6" t="str">
        <f t="shared" si="83"/>
        <v>France,Germany,United Kingdom</v>
      </c>
    </row>
    <row r="1343" spans="1:14" x14ac:dyDescent="0.25">
      <c r="A1343" s="6" t="s">
        <v>3371</v>
      </c>
      <c r="B1343" s="6">
        <v>11994</v>
      </c>
      <c r="C1343" s="6" t="s">
        <v>3372</v>
      </c>
      <c r="D1343" s="7" t="s">
        <v>1742</v>
      </c>
      <c r="E1343" s="6" t="s">
        <v>528</v>
      </c>
      <c r="F1343" s="6" t="s">
        <v>3373</v>
      </c>
      <c r="G1343" s="8">
        <v>45521</v>
      </c>
      <c r="H1343" s="6">
        <v>10.63</v>
      </c>
      <c r="I1343" s="6" cm="1">
        <f t="array" ref="I1343">IFERROR(VALUE(TRIM(LEFT(E1343,MIN(FIND({" ";"g";"k";"m";"o"},E1343&amp;" gkmo"))-1))),0)</f>
        <v>200</v>
      </c>
      <c r="J1343" s="6" t="str" cm="1">
        <f t="array" ref="J1343">IFERROR(TRIM(MID(E1343,MIN(FIND({" ";"g";"k";"m";"o"},E1343&amp;" gkmo")),10)),"unknown")</f>
        <v>g</v>
      </c>
      <c r="K1343" s="6" t="str">
        <f t="shared" si="80"/>
        <v>g</v>
      </c>
      <c r="L1343" s="6" t="str">
        <f t="shared" si="81"/>
        <v>Crownfield</v>
      </c>
      <c r="M1343" s="6" t="str">
        <f t="shared" si="82"/>
        <v>Musli Bar Apple</v>
      </c>
      <c r="N1343" s="6" t="str">
        <f t="shared" si="83"/>
        <v>Alemanha</v>
      </c>
    </row>
    <row r="1344" spans="1:14" x14ac:dyDescent="0.25">
      <c r="A1344" s="6" t="s">
        <v>3374</v>
      </c>
      <c r="B1344" s="6">
        <v>9299</v>
      </c>
      <c r="C1344" s="6" t="s">
        <v>3056</v>
      </c>
      <c r="D1344" s="7" t="s">
        <v>854</v>
      </c>
      <c r="E1344" s="6"/>
      <c r="F1344" s="6" t="s">
        <v>7954</v>
      </c>
      <c r="G1344" s="8">
        <v>45670</v>
      </c>
      <c r="H1344" s="6">
        <v>24.67</v>
      </c>
      <c r="I1344" s="6" cm="1">
        <f t="array" ref="I1344">IFERROR(VALUE(TRIM(LEFT(E1344,MIN(FIND({" ";"g";"k";"m";"o"},E1344&amp;" gkmo"))-1))),0)</f>
        <v>0</v>
      </c>
      <c r="J1344" s="6" t="str" cm="1">
        <f t="array" ref="J1344">IFERROR(TRIM(MID(E1344,MIN(FIND({" ";"g";"k";"m";"o"},E1344&amp;" gkmo")),10)),"unknown")</f>
        <v/>
      </c>
      <c r="K1344" s="6" t="str">
        <f t="shared" si="80"/>
        <v>unknown</v>
      </c>
      <c r="L1344" s="6" t="str">
        <f t="shared" si="81"/>
        <v>Carrefour</v>
      </c>
      <c r="M1344" s="6" t="str">
        <f t="shared" si="82"/>
        <v>10 Pains Au Lait</v>
      </c>
      <c r="N1344" s="6" t="str">
        <f t="shared" si="83"/>
        <v>France, Belgium</v>
      </c>
    </row>
    <row r="1345" spans="1:14" x14ac:dyDescent="0.25">
      <c r="A1345" s="6" t="s">
        <v>3375</v>
      </c>
      <c r="B1345" s="6">
        <v>7325</v>
      </c>
      <c r="C1345" s="6" t="s">
        <v>3376</v>
      </c>
      <c r="D1345" s="7" t="s">
        <v>3377</v>
      </c>
      <c r="E1345" s="6" t="s">
        <v>197</v>
      </c>
      <c r="F1345" s="6" t="s">
        <v>139</v>
      </c>
      <c r="G1345" s="8">
        <v>45855</v>
      </c>
      <c r="H1345" s="6">
        <v>5.62</v>
      </c>
      <c r="I1345" s="6" cm="1">
        <f t="array" ref="I1345">IFERROR(VALUE(TRIM(LEFT(E1345,MIN(FIND({" ";"g";"k";"m";"o"},E1345&amp;" gkmo"))-1))),0)</f>
        <v>130</v>
      </c>
      <c r="J1345" s="6" t="str" cm="1">
        <f t="array" ref="J1345">IFERROR(TRIM(MID(E1345,MIN(FIND({" ";"g";"k";"m";"o"},E1345&amp;" gkmo")),10)),"unknown")</f>
        <v>g</v>
      </c>
      <c r="K1345" s="6" t="str">
        <f t="shared" si="80"/>
        <v>g</v>
      </c>
      <c r="L1345" s="6" t="str">
        <f t="shared" si="81"/>
        <v>Evernat</v>
      </c>
      <c r="M1345" s="6" t="str">
        <f t="shared" si="82"/>
        <v>Biscuits Croquants Avoine Chocolat</v>
      </c>
      <c r="N1345" s="6" t="str">
        <f t="shared" si="83"/>
        <v>France</v>
      </c>
    </row>
    <row r="1346" spans="1:14" x14ac:dyDescent="0.25">
      <c r="A1346" s="6" t="s">
        <v>3378</v>
      </c>
      <c r="B1346" s="6">
        <v>12470</v>
      </c>
      <c r="C1346" s="6" t="s">
        <v>7722</v>
      </c>
      <c r="D1346" s="7" t="s">
        <v>7483</v>
      </c>
      <c r="E1346" s="6"/>
      <c r="F1346" s="6" t="s">
        <v>8469</v>
      </c>
      <c r="G1346" s="8">
        <v>45956</v>
      </c>
      <c r="H1346" s="6">
        <v>24.02</v>
      </c>
      <c r="I1346" s="6" cm="1">
        <f t="array" ref="I1346">IFERROR(VALUE(TRIM(LEFT(E1346,MIN(FIND({" ";"g";"k";"m";"o"},E1346&amp;" gkmo"))-1))),0)</f>
        <v>0</v>
      </c>
      <c r="J1346" s="6" t="str" cm="1">
        <f t="array" ref="J1346">IFERROR(TRIM(MID(E1346,MIN(FIND({" ";"g";"k";"m";"o"},E1346&amp;" gkmo")),10)),"unknown")</f>
        <v/>
      </c>
      <c r="K1346" s="6" t="str">
        <f t="shared" si="80"/>
        <v>unknown</v>
      </c>
      <c r="L1346" s="6" t="str">
        <f t="shared" si="81"/>
        <v>Marque Repère,Tablette D'Or</v>
      </c>
      <c r="M1346" s="6" t="str">
        <f t="shared" si="82"/>
        <v>Chocolat Dessert Pà¢Tissier</v>
      </c>
      <c r="N1346" s="6" t="str">
        <f t="shared" si="83"/>
        <v>France,Germany,La Reunion,Tunisia</v>
      </c>
    </row>
    <row r="1347" spans="1:14" x14ac:dyDescent="0.25">
      <c r="A1347" s="6" t="s">
        <v>3379</v>
      </c>
      <c r="B1347" s="6">
        <v>6644</v>
      </c>
      <c r="C1347" s="6" t="s">
        <v>3380</v>
      </c>
      <c r="D1347" s="7" t="s">
        <v>7484</v>
      </c>
      <c r="E1347" s="6" t="s">
        <v>151</v>
      </c>
      <c r="F1347" s="6" t="s">
        <v>139</v>
      </c>
      <c r="G1347" s="8">
        <v>45925</v>
      </c>
      <c r="H1347" s="6">
        <v>12.62</v>
      </c>
      <c r="I1347" s="6" cm="1">
        <f t="array" ref="I1347">IFERROR(VALUE(TRIM(LEFT(E1347,MIN(FIND({" ";"g";"k";"m";"o"},E1347&amp;" gkmo"))-1))),0)</f>
        <v>200</v>
      </c>
      <c r="J1347" s="6" t="str" cm="1">
        <f t="array" ref="J1347">IFERROR(TRIM(MID(E1347,MIN(FIND({" ";"g";"k";"m";"o"},E1347&amp;" gkmo")),10)),"unknown")</f>
        <v>g</v>
      </c>
      <c r="K1347" s="6" t="str">
        <f t="shared" ref="K1347:K1410" si="84">IF(E1347="","unknown",IF(OR(J1347="g",LEFT(J1347,1)="g"),"g",IF(OR(LEFT(J1347,2)="kg",LEFT(J1347,2)="ki"),"kg",IF(OR(LEFT(J1347,2)="ml",LEFT(J1347,1)="m"),"ml",IF(LEFT(J1347,1)="l","l",IF(ISNUMBER(SEARCH("g",E1347)),"g",IF(ISNUMBER(SEARCH("kg",E1347)),"kg",IF(ISNUMBER(SEARCH("ml",E1347)),"ml","unknown"))))))))</f>
        <v>g</v>
      </c>
      <c r="L1347" s="6" t="str">
        <f t="shared" ref="L1347:L1410" si="85">IF(D1347="","Unknown",PROPER(TRIM(D1347)))</f>
        <v>Marque Repère, Tables Du Monde</v>
      </c>
      <c r="M1347" s="6" t="str">
        <f t="shared" ref="M1347:M1410" si="86">IF(C1347="Unknown","Unknown",PROPER(TRIM(C1347)))</f>
        <v>Tables Du Mondes - Tortillas Chips Original</v>
      </c>
      <c r="N1347" s="6" t="str">
        <f t="shared" ref="N1347:N1410" si="87">IF(F1347="","Unknown",PROPER(TRIM(F1347)))</f>
        <v>France</v>
      </c>
    </row>
    <row r="1348" spans="1:14" x14ac:dyDescent="0.25">
      <c r="A1348" s="6" t="s">
        <v>3381</v>
      </c>
      <c r="B1348" s="6">
        <v>10372</v>
      </c>
      <c r="C1348" s="6" t="s">
        <v>3382</v>
      </c>
      <c r="D1348" s="7" t="s">
        <v>1853</v>
      </c>
      <c r="E1348" s="6" t="s">
        <v>1706</v>
      </c>
      <c r="F1348" s="6" t="s">
        <v>8052</v>
      </c>
      <c r="G1348" s="8">
        <v>45723</v>
      </c>
      <c r="H1348" s="6">
        <v>19.920000000000002</v>
      </c>
      <c r="I1348" s="6" cm="1">
        <f t="array" ref="I1348">IFERROR(VALUE(TRIM(LEFT(E1348,MIN(FIND({" ";"g";"k";"m";"o"},E1348&amp;" gkmo"))-1))),0)</f>
        <v>245</v>
      </c>
      <c r="J1348" s="6" t="str" cm="1">
        <f t="array" ref="J1348">IFERROR(TRIM(MID(E1348,MIN(FIND({" ";"g";"k";"m";"o"},E1348&amp;" gkmo")),10)),"unknown")</f>
        <v>g</v>
      </c>
      <c r="K1348" s="6" t="str">
        <f t="shared" si="84"/>
        <v>g</v>
      </c>
      <c r="L1348" s="6" t="str">
        <f t="shared" si="85"/>
        <v>Suchard</v>
      </c>
      <c r="M1348" s="6" t="str">
        <f t="shared" si="86"/>
        <v>Rochers - Chocolat Au Lait</v>
      </c>
      <c r="N1348" s="6" t="str">
        <f t="shared" si="87"/>
        <v>France, Be</v>
      </c>
    </row>
    <row r="1349" spans="1:14" x14ac:dyDescent="0.25">
      <c r="A1349" s="6" t="s">
        <v>3383</v>
      </c>
      <c r="B1349" s="6">
        <v>11029</v>
      </c>
      <c r="C1349" s="6" t="s">
        <v>7537</v>
      </c>
      <c r="D1349" s="7" t="s">
        <v>7017</v>
      </c>
      <c r="E1349" s="6"/>
      <c r="F1349" s="6" t="s">
        <v>139</v>
      </c>
      <c r="G1349" s="8">
        <v>45596</v>
      </c>
      <c r="H1349" s="6">
        <v>12.08</v>
      </c>
      <c r="I1349" s="6" cm="1">
        <f t="array" ref="I1349">IFERROR(VALUE(TRIM(LEFT(E1349,MIN(FIND({" ";"g";"k";"m";"o"},E1349&amp;" gkmo"))-1))),0)</f>
        <v>0</v>
      </c>
      <c r="J1349" s="6" t="str" cm="1">
        <f t="array" ref="J1349">IFERROR(TRIM(MID(E1349,MIN(FIND({" ";"g";"k";"m";"o"},E1349&amp;" gkmo")),10)),"unknown")</f>
        <v/>
      </c>
      <c r="K1349" s="6" t="str">
        <f t="shared" si="84"/>
        <v>unknown</v>
      </c>
      <c r="L1349" s="6" t="str">
        <f t="shared" si="85"/>
        <v>Unknown</v>
      </c>
      <c r="M1349" s="6" t="str">
        <f t="shared" si="86"/>
        <v>Sablés Authentiques Épeautre</v>
      </c>
      <c r="N1349" s="6" t="str">
        <f t="shared" si="87"/>
        <v>France</v>
      </c>
    </row>
    <row r="1350" spans="1:14" x14ac:dyDescent="0.25">
      <c r="A1350" s="6" t="s">
        <v>3384</v>
      </c>
      <c r="B1350" s="6">
        <v>10440</v>
      </c>
      <c r="C1350" s="6" t="s">
        <v>3385</v>
      </c>
      <c r="D1350" s="7" t="s">
        <v>7075</v>
      </c>
      <c r="E1350" s="6" t="s">
        <v>39</v>
      </c>
      <c r="F1350" s="6" t="s">
        <v>139</v>
      </c>
      <c r="G1350" s="8">
        <v>45447</v>
      </c>
      <c r="H1350" s="6">
        <v>15.05</v>
      </c>
      <c r="I1350" s="6" cm="1">
        <f t="array" ref="I1350">IFERROR(VALUE(TRIM(LEFT(E1350,MIN(FIND({" ";"g";"k";"m";"o"},E1350&amp;" gkmo"))-1))),0)</f>
        <v>150</v>
      </c>
      <c r="J1350" s="6" t="str" cm="1">
        <f t="array" ref="J1350">IFERROR(TRIM(MID(E1350,MIN(FIND({" ";"g";"k";"m";"o"},E1350&amp;" gkmo")),10)),"unknown")</f>
        <v>g</v>
      </c>
      <c r="K1350" s="6" t="str">
        <f t="shared" si="84"/>
        <v>g</v>
      </c>
      <c r="L1350" s="6" t="str">
        <f t="shared" si="85"/>
        <v>Jardin Bio, Léa Nature</v>
      </c>
      <c r="M1350" s="6" t="str">
        <f t="shared" si="86"/>
        <v>Tartines Craquantes Avoine</v>
      </c>
      <c r="N1350" s="6" t="str">
        <f t="shared" si="87"/>
        <v>France</v>
      </c>
    </row>
    <row r="1351" spans="1:14" x14ac:dyDescent="0.25">
      <c r="A1351" s="6" t="s">
        <v>3386</v>
      </c>
      <c r="B1351" s="6">
        <v>5312</v>
      </c>
      <c r="C1351" s="6" t="s">
        <v>7897</v>
      </c>
      <c r="D1351" s="7" t="s">
        <v>60</v>
      </c>
      <c r="E1351" s="6" t="s">
        <v>18</v>
      </c>
      <c r="F1351" s="6" t="s">
        <v>8053</v>
      </c>
      <c r="G1351" s="8">
        <v>45456</v>
      </c>
      <c r="H1351" s="6">
        <v>16.170000000000002</v>
      </c>
      <c r="I1351" s="6" cm="1">
        <f t="array" ref="I1351">IFERROR(VALUE(TRIM(LEFT(E1351,MIN(FIND({" ";"g";"k";"m";"o"},E1351&amp;" gkmo"))-1))),0)</f>
        <v>100</v>
      </c>
      <c r="J1351" s="6" t="str" cm="1">
        <f t="array" ref="J1351">IFERROR(TRIM(MID(E1351,MIN(FIND({" ";"g";"k";"m";"o"},E1351&amp;" gkmo")),10)),"unknown")</f>
        <v>g</v>
      </c>
      <c r="K1351" s="6" t="str">
        <f t="shared" si="84"/>
        <v>g</v>
      </c>
      <c r="L1351" s="6" t="str">
        <f t="shared" si="85"/>
        <v>Lindt</v>
      </c>
      <c r="M1351" s="6" t="str">
        <f t="shared" si="86"/>
        <v>Lapin D'Or Chocolat Au Lait</v>
      </c>
      <c r="N1351" s="6" t="str">
        <f t="shared" si="87"/>
        <v>À…Land Islands, Finland, France, Germany, Sweden, Switzerland, United-Kingdom</v>
      </c>
    </row>
    <row r="1352" spans="1:14" x14ac:dyDescent="0.25">
      <c r="A1352" s="6" t="s">
        <v>3387</v>
      </c>
      <c r="B1352" s="6">
        <v>5800</v>
      </c>
      <c r="C1352" s="6" t="s">
        <v>3388</v>
      </c>
      <c r="D1352" s="7" t="s">
        <v>3389</v>
      </c>
      <c r="E1352" s="6" t="s">
        <v>3390</v>
      </c>
      <c r="F1352" s="6" t="s">
        <v>7723</v>
      </c>
      <c r="G1352" s="8">
        <v>45395</v>
      </c>
      <c r="H1352" s="6">
        <v>10.199999999999999</v>
      </c>
      <c r="I1352" s="6" cm="1">
        <f t="array" ref="I1352">IFERROR(VALUE(TRIM(LEFT(E1352,MIN(FIND({" ";"g";"k";"m";"o"},E1352&amp;" gkmo"))-1))),0)</f>
        <v>280</v>
      </c>
      <c r="J1352" s="6" t="str" cm="1">
        <f t="array" ref="J1352">IFERROR(TRIM(MID(E1352,MIN(FIND({" ";"g";"k";"m";"o"},E1352&amp;" gkmo")),10)),"unknown")</f>
        <v>g (10 x 2</v>
      </c>
      <c r="K1352" s="6" t="str">
        <f t="shared" si="84"/>
        <v>g</v>
      </c>
      <c r="L1352" s="6" t="str">
        <f t="shared" si="85"/>
        <v>Kinder,Ferrero</v>
      </c>
      <c r="M1352" s="6" t="str">
        <f t="shared" si="86"/>
        <v>Milchschnitte 10Er-Pack</v>
      </c>
      <c r="N1352" s="6" t="str">
        <f t="shared" si="87"/>
        <v>À–Sterreich,Frankreich,Deutschland,Italien</v>
      </c>
    </row>
    <row r="1353" spans="1:14" x14ac:dyDescent="0.25">
      <c r="A1353" s="6" t="s">
        <v>3391</v>
      </c>
      <c r="B1353" s="6">
        <v>11146</v>
      </c>
      <c r="C1353" s="6" t="s">
        <v>3392</v>
      </c>
      <c r="D1353" s="7" t="s">
        <v>3393</v>
      </c>
      <c r="E1353" s="6"/>
      <c r="F1353" s="6" t="s">
        <v>220</v>
      </c>
      <c r="G1353" s="8">
        <v>45361</v>
      </c>
      <c r="H1353" s="6">
        <v>6.63</v>
      </c>
      <c r="I1353" s="6" cm="1">
        <f t="array" ref="I1353">IFERROR(VALUE(TRIM(LEFT(E1353,MIN(FIND({" ";"g";"k";"m";"o"},E1353&amp;" gkmo"))-1))),0)</f>
        <v>0</v>
      </c>
      <c r="J1353" s="6" t="str" cm="1">
        <f t="array" ref="J1353">IFERROR(TRIM(MID(E1353,MIN(FIND({" ";"g";"k";"m";"o"},E1353&amp;" gkmo")),10)),"unknown")</f>
        <v/>
      </c>
      <c r="K1353" s="6" t="str">
        <f t="shared" si="84"/>
        <v>unknown</v>
      </c>
      <c r="L1353" s="6" t="str">
        <f t="shared" si="85"/>
        <v>Essential Waitrose &amp; Partners</v>
      </c>
      <c r="M1353" s="6" t="str">
        <f t="shared" si="86"/>
        <v>Salted Tortilla Chips</v>
      </c>
      <c r="N1353" s="6" t="str">
        <f t="shared" si="87"/>
        <v>France, United Kingdom</v>
      </c>
    </row>
    <row r="1354" spans="1:14" x14ac:dyDescent="0.25">
      <c r="A1354" s="6" t="s">
        <v>3394</v>
      </c>
      <c r="B1354" s="6">
        <v>11304</v>
      </c>
      <c r="C1354" s="6" t="s">
        <v>3395</v>
      </c>
      <c r="D1354" s="7" t="s">
        <v>7033</v>
      </c>
      <c r="E1354" s="6" t="s">
        <v>528</v>
      </c>
      <c r="F1354" s="6" t="s">
        <v>8054</v>
      </c>
      <c r="G1354" s="8">
        <v>46029</v>
      </c>
      <c r="H1354" s="6">
        <v>19.8</v>
      </c>
      <c r="I1354" s="6" cm="1">
        <f t="array" ref="I1354">IFERROR(VALUE(TRIM(LEFT(E1354,MIN(FIND({" ";"g";"k";"m";"o"},E1354&amp;" gkmo"))-1))),0)</f>
        <v>200</v>
      </c>
      <c r="J1354" s="6" t="str" cm="1">
        <f t="array" ref="J1354">IFERROR(TRIM(MID(E1354,MIN(FIND({" ";"g";"k";"m";"o"},E1354&amp;" gkmo")),10)),"unknown")</f>
        <v>g</v>
      </c>
      <c r="K1354" s="6" t="str">
        <f t="shared" si="84"/>
        <v>g</v>
      </c>
      <c r="L1354" s="6" t="str">
        <f t="shared" si="85"/>
        <v>Nestlé</v>
      </c>
      <c r="M1354" s="6" t="str">
        <f t="shared" si="86"/>
        <v>After Eight</v>
      </c>
      <c r="N1354" s="6" t="str">
        <f t="shared" si="87"/>
        <v>France, Germany, Switzerland, Morocco</v>
      </c>
    </row>
    <row r="1355" spans="1:14" x14ac:dyDescent="0.25">
      <c r="A1355" s="6" t="s">
        <v>3396</v>
      </c>
      <c r="B1355" s="6">
        <v>14407</v>
      </c>
      <c r="C1355" s="6" t="s">
        <v>3397</v>
      </c>
      <c r="D1355" s="7" t="s">
        <v>7017</v>
      </c>
      <c r="E1355" s="6" t="s">
        <v>138</v>
      </c>
      <c r="F1355" s="6" t="s">
        <v>8239</v>
      </c>
      <c r="G1355" s="8">
        <v>45923</v>
      </c>
      <c r="H1355" s="6">
        <v>18.72</v>
      </c>
      <c r="I1355" s="6" cm="1">
        <f t="array" ref="I1355">IFERROR(VALUE(TRIM(LEFT(E1355,MIN(FIND({" ";"g";"k";"m";"o"},E1355&amp;" gkmo"))-1))),0)</f>
        <v>400</v>
      </c>
      <c r="J1355" s="6" t="str" cm="1">
        <f t="array" ref="J1355">IFERROR(TRIM(MID(E1355,MIN(FIND({" ";"g";"k";"m";"o"},E1355&amp;" gkmo")),10)),"unknown")</f>
        <v>g</v>
      </c>
      <c r="K1355" s="6" t="str">
        <f t="shared" si="84"/>
        <v>g</v>
      </c>
      <c r="L1355" s="6" t="str">
        <f t="shared" si="85"/>
        <v>Unknown</v>
      </c>
      <c r="M1355" s="6" t="str">
        <f t="shared" si="86"/>
        <v>After Eight Dark Chocolate Thins</v>
      </c>
      <c r="N1355" s="6" t="str">
        <f t="shared" si="87"/>
        <v>France,Germania,Paesi Bassi,Svezia,Italia</v>
      </c>
    </row>
    <row r="1356" spans="1:14" x14ac:dyDescent="0.25">
      <c r="A1356" s="6" t="s">
        <v>3398</v>
      </c>
      <c r="B1356" s="6">
        <v>7760</v>
      </c>
      <c r="C1356" s="6" t="s">
        <v>3399</v>
      </c>
      <c r="D1356" s="7" t="s">
        <v>13</v>
      </c>
      <c r="E1356" s="6" t="s">
        <v>18</v>
      </c>
      <c r="F1356" s="6" t="s">
        <v>3400</v>
      </c>
      <c r="G1356" s="8">
        <v>45829</v>
      </c>
      <c r="H1356" s="6">
        <v>16.75</v>
      </c>
      <c r="I1356" s="6" cm="1">
        <f t="array" ref="I1356">IFERROR(VALUE(TRIM(LEFT(E1356,MIN(FIND({" ";"g";"k";"m";"o"},E1356&amp;" gkmo"))-1))),0)</f>
        <v>100</v>
      </c>
      <c r="J1356" s="6" t="str" cm="1">
        <f t="array" ref="J1356">IFERROR(TRIM(MID(E1356,MIN(FIND({" ";"g";"k";"m";"o"},E1356&amp;" gkmo")),10)),"unknown")</f>
        <v>g</v>
      </c>
      <c r="K1356" s="6" t="str">
        <f t="shared" si="84"/>
        <v>g</v>
      </c>
      <c r="L1356" s="6" t="str">
        <f t="shared" si="85"/>
        <v>Lu</v>
      </c>
      <c r="M1356" s="6" t="str">
        <f t="shared" si="86"/>
        <v>Tuc Sour Cream &amp; Onion</v>
      </c>
      <c r="N1356" s="6" t="str">
        <f t="shared" si="87"/>
        <v>Danmark,Frankrig,Tyskland,Schweiz</v>
      </c>
    </row>
    <row r="1357" spans="1:14" x14ac:dyDescent="0.25">
      <c r="A1357" s="6" t="s">
        <v>3401</v>
      </c>
      <c r="B1357" s="6">
        <v>13073</v>
      </c>
      <c r="C1357" s="6" t="s">
        <v>3402</v>
      </c>
      <c r="D1357" s="7" t="s">
        <v>568</v>
      </c>
      <c r="E1357" s="6" t="s">
        <v>423</v>
      </c>
      <c r="F1357" s="6" t="s">
        <v>3403</v>
      </c>
      <c r="G1357" s="8">
        <v>45579</v>
      </c>
      <c r="H1357" s="6">
        <v>19.309999999999999</v>
      </c>
      <c r="I1357" s="6" cm="1">
        <f t="array" ref="I1357">IFERROR(VALUE(TRIM(LEFT(E1357,MIN(FIND({" ";"g";"k";"m";"o"},E1357&amp;" gkmo"))-1))),0)</f>
        <v>125</v>
      </c>
      <c r="J1357" s="6" t="str" cm="1">
        <f t="array" ref="J1357">IFERROR(TRIM(MID(E1357,MIN(FIND({" ";"g";"k";"m";"o"},E1357&amp;" gkmo")),10)),"unknown")</f>
        <v>g</v>
      </c>
      <c r="K1357" s="6" t="str">
        <f t="shared" si="84"/>
        <v>g</v>
      </c>
      <c r="L1357" s="6" t="str">
        <f t="shared" si="85"/>
        <v>Ferrero,Kinder</v>
      </c>
      <c r="M1357" s="6" t="str">
        <f t="shared" si="86"/>
        <v>Schoko Bons</v>
      </c>
      <c r="N1357" s="6" t="str">
        <f t="shared" si="87"/>
        <v>Austria,France,Germany,Hungary,Italy,Romania,Switzerland</v>
      </c>
    </row>
    <row r="1358" spans="1:14" x14ac:dyDescent="0.25">
      <c r="A1358" s="6" t="s">
        <v>3404</v>
      </c>
      <c r="B1358" s="6">
        <v>11621</v>
      </c>
      <c r="C1358" s="6" t="s">
        <v>7228</v>
      </c>
      <c r="D1358" s="7" t="s">
        <v>60</v>
      </c>
      <c r="E1358" s="6" t="s">
        <v>10</v>
      </c>
      <c r="F1358" s="6" t="s">
        <v>139</v>
      </c>
      <c r="G1358" s="8">
        <v>45722</v>
      </c>
      <c r="H1358" s="6">
        <v>13.16</v>
      </c>
      <c r="I1358" s="6" cm="1">
        <f t="array" ref="I1358">IFERROR(VALUE(TRIM(LEFT(E1358,MIN(FIND({" ";"g";"k";"m";"o"},E1358&amp;" gkmo"))-1))),0)</f>
        <v>100</v>
      </c>
      <c r="J1358" s="6" t="str" cm="1">
        <f t="array" ref="J1358">IFERROR(TRIM(MID(E1358,MIN(FIND({" ";"g";"k";"m";"o"},E1358&amp;" gkmo")),10)),"unknown")</f>
        <v>g</v>
      </c>
      <c r="K1358" s="6" t="str">
        <f t="shared" si="84"/>
        <v>g</v>
      </c>
      <c r="L1358" s="6" t="str">
        <f t="shared" si="85"/>
        <v>Lindt</v>
      </c>
      <c r="M1358" s="6" t="str">
        <f t="shared" si="86"/>
        <v>Lindt Chocoletti Lait Praliné Noisettes</v>
      </c>
      <c r="N1358" s="6" t="str">
        <f t="shared" si="87"/>
        <v>France</v>
      </c>
    </row>
    <row r="1359" spans="1:14" x14ac:dyDescent="0.25">
      <c r="A1359" s="6" t="s">
        <v>3405</v>
      </c>
      <c r="B1359" s="6">
        <v>11280</v>
      </c>
      <c r="C1359" s="6" t="s">
        <v>3406</v>
      </c>
      <c r="D1359" s="7" t="s">
        <v>1703</v>
      </c>
      <c r="E1359" s="6" t="s">
        <v>2225</v>
      </c>
      <c r="F1359" s="6" t="s">
        <v>139</v>
      </c>
      <c r="G1359" s="8">
        <v>46054</v>
      </c>
      <c r="H1359" s="6">
        <v>3.71</v>
      </c>
      <c r="I1359" s="6" cm="1">
        <f t="array" ref="I1359">IFERROR(VALUE(TRIM(LEFT(E1359,MIN(FIND({" ";"g";"k";"m";"o"},E1359&amp;" gkmo"))-1))),0)</f>
        <v>70</v>
      </c>
      <c r="J1359" s="6" t="str" cm="1">
        <f t="array" ref="J1359">IFERROR(TRIM(MID(E1359,MIN(FIND({" ";"g";"k";"m";"o"},E1359&amp;" gkmo")),10)),"unknown")</f>
        <v>g</v>
      </c>
      <c r="K1359" s="6" t="str">
        <f t="shared" si="84"/>
        <v>g</v>
      </c>
      <c r="L1359" s="6" t="str">
        <f t="shared" si="85"/>
        <v>Ricola</v>
      </c>
      <c r="M1359" s="6" t="str">
        <f t="shared" si="86"/>
        <v>Ricola Eucalyptus</v>
      </c>
      <c r="N1359" s="6" t="str">
        <f t="shared" si="87"/>
        <v>France</v>
      </c>
    </row>
    <row r="1360" spans="1:14" x14ac:dyDescent="0.25">
      <c r="A1360" s="6" t="s">
        <v>3407</v>
      </c>
      <c r="B1360" s="6">
        <v>14129</v>
      </c>
      <c r="C1360" s="6" t="s">
        <v>3408</v>
      </c>
      <c r="D1360" s="7" t="s">
        <v>3408</v>
      </c>
      <c r="E1360" s="6" t="s">
        <v>436</v>
      </c>
      <c r="F1360" s="6" t="s">
        <v>8055</v>
      </c>
      <c r="G1360" s="8">
        <v>45927</v>
      </c>
      <c r="H1360" s="6">
        <v>15.75</v>
      </c>
      <c r="I1360" s="6" cm="1">
        <f t="array" ref="I1360">IFERROR(VALUE(TRIM(LEFT(E1360,MIN(FIND({" ";"g";"k";"m";"o"},E1360&amp;" gkmo"))-1))),0)</f>
        <v>90</v>
      </c>
      <c r="J1360" s="6" t="str" cm="1">
        <f t="array" ref="J1360">IFERROR(TRIM(MID(E1360,MIN(FIND({" ";"g";"k";"m";"o"},E1360&amp;" gkmo")),10)),"unknown")</f>
        <v>g</v>
      </c>
      <c r="K1360" s="6" t="str">
        <f t="shared" si="84"/>
        <v>g</v>
      </c>
      <c r="L1360" s="6" t="str">
        <f t="shared" si="85"/>
        <v>Loacker</v>
      </c>
      <c r="M1360" s="6" t="str">
        <f t="shared" si="86"/>
        <v>Loacker</v>
      </c>
      <c r="N1360" s="6" t="str">
        <f t="shared" si="87"/>
        <v>France, United Kingdom, Romania</v>
      </c>
    </row>
    <row r="1361" spans="1:14" x14ac:dyDescent="0.25">
      <c r="A1361" s="6" t="s">
        <v>3409</v>
      </c>
      <c r="B1361" s="6">
        <v>5442</v>
      </c>
      <c r="C1361" s="6" t="s">
        <v>7724</v>
      </c>
      <c r="D1361" s="7" t="s">
        <v>7578</v>
      </c>
      <c r="E1361" s="6"/>
      <c r="F1361" s="6" t="s">
        <v>3410</v>
      </c>
      <c r="G1361" s="8">
        <v>45570</v>
      </c>
      <c r="H1361" s="6">
        <v>11.06</v>
      </c>
      <c r="I1361" s="6" cm="1">
        <f t="array" ref="I1361">IFERROR(VALUE(TRIM(LEFT(E1361,MIN(FIND({" ";"g";"k";"m";"o"},E1361&amp;" gkmo"))-1))),0)</f>
        <v>0</v>
      </c>
      <c r="J1361" s="6" t="str" cm="1">
        <f t="array" ref="J1361">IFERROR(TRIM(MID(E1361,MIN(FIND({" ";"g";"k";"m";"o"},E1361&amp;" gkmo")),10)),"unknown")</f>
        <v/>
      </c>
      <c r="K1361" s="6" t="str">
        <f t="shared" si="84"/>
        <v>unknown</v>
      </c>
      <c r="L1361" s="6" t="str">
        <f t="shared" si="85"/>
        <v>Gullà³N</v>
      </c>
      <c r="M1361" s="6" t="str">
        <f t="shared" si="86"/>
        <v>Marà­A Sin Gluten</v>
      </c>
      <c r="N1361" s="6" t="str">
        <f t="shared" si="87"/>
        <v>Hungary,Morocco,Spain</v>
      </c>
    </row>
    <row r="1362" spans="1:14" x14ac:dyDescent="0.25">
      <c r="A1362" s="6" t="s">
        <v>3411</v>
      </c>
      <c r="B1362" s="6">
        <v>13795</v>
      </c>
      <c r="C1362" s="6" t="s">
        <v>3412</v>
      </c>
      <c r="D1362" s="7" t="s">
        <v>7894</v>
      </c>
      <c r="E1362" s="6" t="s">
        <v>2065</v>
      </c>
      <c r="F1362" s="6" t="s">
        <v>3413</v>
      </c>
      <c r="G1362" s="8">
        <v>45776</v>
      </c>
      <c r="H1362" s="6">
        <v>18.55</v>
      </c>
      <c r="I1362" s="6" cm="1">
        <f t="array" ref="I1362">IFERROR(VALUE(TRIM(LEFT(E1362,MIN(FIND({" ";"g";"k";"m";"o"},E1362&amp;" gkmo"))-1))),0)</f>
        <v>30</v>
      </c>
      <c r="J1362" s="6" t="str" cm="1">
        <f t="array" ref="J1362">IFERROR(TRIM(MID(E1362,MIN(FIND({" ";"g";"k";"m";"o"},E1362&amp;" gkmo")),10)),"unknown")</f>
        <v>g</v>
      </c>
      <c r="K1362" s="6" t="str">
        <f t="shared" si="84"/>
        <v>g</v>
      </c>
      <c r="L1362" s="6" t="str">
        <f t="shared" si="85"/>
        <v>Tunnock'S</v>
      </c>
      <c r="M1362" s="6" t="str">
        <f t="shared" si="86"/>
        <v>Milk Chocolate Coated Caramel Wafer Biscuit</v>
      </c>
      <c r="N1362" s="6" t="str">
        <f t="shared" si="87"/>
        <v>France,Spain,United Kingdom</v>
      </c>
    </row>
    <row r="1363" spans="1:14" x14ac:dyDescent="0.25">
      <c r="A1363" s="6" t="s">
        <v>3414</v>
      </c>
      <c r="B1363" s="6">
        <v>5063</v>
      </c>
      <c r="C1363" s="6" t="s">
        <v>7229</v>
      </c>
      <c r="D1363" s="7" t="s">
        <v>2840</v>
      </c>
      <c r="E1363" s="6" t="s">
        <v>3415</v>
      </c>
      <c r="F1363" s="6" t="s">
        <v>8377</v>
      </c>
      <c r="G1363" s="8">
        <v>45918</v>
      </c>
      <c r="H1363" s="6">
        <v>20.25</v>
      </c>
      <c r="I1363" s="6" cm="1">
        <f t="array" ref="I1363">IFERROR(VALUE(TRIM(LEFT(E1363,MIN(FIND({" ";"g";"k";"m";"o"},E1363&amp;" gkmo"))-1))),0)</f>
        <v>102.5</v>
      </c>
      <c r="J1363" s="6" t="str" cm="1">
        <f t="array" ref="J1363">IFERROR(TRIM(MID(E1363,MIN(FIND({" ";"g";"k";"m";"o"},E1363&amp;" gkmo")),10)),"unknown")</f>
        <v>g</v>
      </c>
      <c r="K1363" s="6" t="str">
        <f t="shared" si="84"/>
        <v>g</v>
      </c>
      <c r="L1363" s="6" t="str">
        <f t="shared" si="85"/>
        <v>Ferrero, Kinder</v>
      </c>
      <c r="M1363" s="6" t="str">
        <f t="shared" si="86"/>
        <v>Chocolat Kinder Chocofresh Fourré Lait Noisette X5</v>
      </c>
      <c r="N1363" s="6" t="str">
        <f t="shared" si="87"/>
        <v>Autriche,Belgium,France,Germany,Roumanie,Switzerland,United Kingdom,Hongrie</v>
      </c>
    </row>
    <row r="1364" spans="1:14" x14ac:dyDescent="0.25">
      <c r="A1364" s="6" t="s">
        <v>3416</v>
      </c>
      <c r="B1364" s="6">
        <v>13021</v>
      </c>
      <c r="C1364" s="6" t="s">
        <v>7725</v>
      </c>
      <c r="D1364" s="7" t="s">
        <v>646</v>
      </c>
      <c r="E1364" s="6" t="s">
        <v>151</v>
      </c>
      <c r="F1364" s="6" t="s">
        <v>139</v>
      </c>
      <c r="G1364" s="8">
        <v>45936</v>
      </c>
      <c r="H1364" s="6">
        <v>14.81</v>
      </c>
      <c r="I1364" s="6" cm="1">
        <f t="array" ref="I1364">IFERROR(VALUE(TRIM(LEFT(E1364,MIN(FIND({" ";"g";"k";"m";"o"},E1364&amp;" gkmo"))-1))),0)</f>
        <v>200</v>
      </c>
      <c r="J1364" s="6" t="str" cm="1">
        <f t="array" ref="J1364">IFERROR(TRIM(MID(E1364,MIN(FIND({" ";"g";"k";"m";"o"},E1364&amp;" gkmo")),10)),"unknown")</f>
        <v>g</v>
      </c>
      <c r="K1364" s="6" t="str">
        <f t="shared" si="84"/>
        <v>g</v>
      </c>
      <c r="L1364" s="6" t="str">
        <f t="shared" si="85"/>
        <v>Carrefour Bio, Carrefour</v>
      </c>
      <c r="M1364" s="6" t="str">
        <f t="shared" si="86"/>
        <v>Chocolat Pà¢Tissier Noir Corse 70% Cacao</v>
      </c>
      <c r="N1364" s="6" t="str">
        <f t="shared" si="87"/>
        <v>France</v>
      </c>
    </row>
    <row r="1365" spans="1:14" x14ac:dyDescent="0.25">
      <c r="A1365" s="6" t="s">
        <v>3417</v>
      </c>
      <c r="B1365" s="6">
        <v>14237</v>
      </c>
      <c r="C1365" s="6" t="s">
        <v>3418</v>
      </c>
      <c r="D1365" s="7" t="s">
        <v>3419</v>
      </c>
      <c r="E1365" s="6" t="s">
        <v>840</v>
      </c>
      <c r="F1365" s="6" t="s">
        <v>177</v>
      </c>
      <c r="G1365" s="8">
        <v>45973</v>
      </c>
      <c r="H1365" s="6">
        <v>11.54</v>
      </c>
      <c r="I1365" s="6" cm="1">
        <f t="array" ref="I1365">IFERROR(VALUE(TRIM(LEFT(E1365,MIN(FIND({" ";"g";"k";"m";"o"},E1365&amp;" gkmo"))-1))),0)</f>
        <v>175</v>
      </c>
      <c r="J1365" s="6" t="str" cm="1">
        <f t="array" ref="J1365">IFERROR(TRIM(MID(E1365,MIN(FIND({" ";"g";"k";"m";"o"},E1365&amp;" gkmo")),10)),"unknown")</f>
        <v>g</v>
      </c>
      <c r="K1365" s="6" t="str">
        <f t="shared" si="84"/>
        <v>g</v>
      </c>
      <c r="L1365" s="6" t="str">
        <f t="shared" si="85"/>
        <v>Haribo</v>
      </c>
      <c r="M1365" s="6" t="str">
        <f t="shared" si="86"/>
        <v>Tangfastics</v>
      </c>
      <c r="N1365" s="6" t="str">
        <f t="shared" si="87"/>
        <v>United Kingdom</v>
      </c>
    </row>
    <row r="1366" spans="1:14" x14ac:dyDescent="0.25">
      <c r="A1366" s="6" t="s">
        <v>3420</v>
      </c>
      <c r="B1366" s="6">
        <v>14406</v>
      </c>
      <c r="C1366" s="6" t="s">
        <v>3421</v>
      </c>
      <c r="D1366" s="7" t="s">
        <v>1773</v>
      </c>
      <c r="E1366" s="6"/>
      <c r="F1366" s="6" t="s">
        <v>177</v>
      </c>
      <c r="G1366" s="8">
        <v>45520</v>
      </c>
      <c r="H1366" s="6">
        <v>7.89</v>
      </c>
      <c r="I1366" s="6" cm="1">
        <f t="array" ref="I1366">IFERROR(VALUE(TRIM(LEFT(E1366,MIN(FIND({" ";"g";"k";"m";"o"},E1366&amp;" gkmo"))-1))),0)</f>
        <v>0</v>
      </c>
      <c r="J1366" s="6" t="str" cm="1">
        <f t="array" ref="J1366">IFERROR(TRIM(MID(E1366,MIN(FIND({" ";"g";"k";"m";"o"},E1366&amp;" gkmo")),10)),"unknown")</f>
        <v/>
      </c>
      <c r="K1366" s="6" t="str">
        <f t="shared" si="84"/>
        <v>unknown</v>
      </c>
      <c r="L1366" s="6" t="str">
        <f t="shared" si="85"/>
        <v>Aldi</v>
      </c>
      <c r="M1366" s="6" t="str">
        <f t="shared" si="86"/>
        <v>Butter Croissant</v>
      </c>
      <c r="N1366" s="6" t="str">
        <f t="shared" si="87"/>
        <v>United Kingdom</v>
      </c>
    </row>
    <row r="1367" spans="1:14" x14ac:dyDescent="0.25">
      <c r="A1367" s="6" t="s">
        <v>3422</v>
      </c>
      <c r="B1367" s="6">
        <v>13050</v>
      </c>
      <c r="C1367" s="6" t="s">
        <v>3423</v>
      </c>
      <c r="D1367" s="7" t="s">
        <v>7017</v>
      </c>
      <c r="E1367" s="6" t="s">
        <v>786</v>
      </c>
      <c r="F1367" s="6" t="s">
        <v>177</v>
      </c>
      <c r="G1367" s="8">
        <v>45998</v>
      </c>
      <c r="H1367" s="6">
        <v>23.98</v>
      </c>
      <c r="I1367" s="6" cm="1">
        <f t="array" ref="I1367">IFERROR(VALUE(TRIM(LEFT(E1367,MIN(FIND({" ";"g";"k";"m";"o"},E1367&amp;" gkmo"))-1))),0)</f>
        <v>130</v>
      </c>
      <c r="J1367" s="6" t="str" cm="1">
        <f t="array" ref="J1367">IFERROR(TRIM(MID(E1367,MIN(FIND({" ";"g";"k";"m";"o"},E1367&amp;" gkmo")),10)),"unknown")</f>
        <v>g</v>
      </c>
      <c r="K1367" s="6" t="str">
        <f t="shared" si="84"/>
        <v>g</v>
      </c>
      <c r="L1367" s="6" t="str">
        <f t="shared" si="85"/>
        <v>Unknown</v>
      </c>
      <c r="M1367" s="6" t="str">
        <f t="shared" si="86"/>
        <v>Mature Cheddar &amp; Red Onion</v>
      </c>
      <c r="N1367" s="6" t="str">
        <f t="shared" si="87"/>
        <v>United Kingdom</v>
      </c>
    </row>
    <row r="1368" spans="1:14" x14ac:dyDescent="0.25">
      <c r="A1368" s="6" t="s">
        <v>3424</v>
      </c>
      <c r="B1368" s="6">
        <v>8156</v>
      </c>
      <c r="C1368" s="6" t="s">
        <v>7230</v>
      </c>
      <c r="D1368" s="7" t="s">
        <v>7030</v>
      </c>
      <c r="E1368" s="6" t="s">
        <v>284</v>
      </c>
      <c r="F1368" s="6" t="s">
        <v>139</v>
      </c>
      <c r="G1368" s="8">
        <v>45427</v>
      </c>
      <c r="H1368" s="6">
        <v>16.88</v>
      </c>
      <c r="I1368" s="6" cm="1">
        <f t="array" ref="I1368">IFERROR(VALUE(TRIM(LEFT(E1368,MIN(FIND({" ";"g";"k";"m";"o"},E1368&amp;" gkmo"))-1))),0)</f>
        <v>180</v>
      </c>
      <c r="J1368" s="6" t="str" cm="1">
        <f t="array" ref="J1368">IFERROR(TRIM(MID(E1368,MIN(FIND({" ";"g";"k";"m";"o"},E1368&amp;" gkmo")),10)),"unknown")</f>
        <v>g</v>
      </c>
      <c r="K1368" s="6" t="str">
        <f t="shared" si="84"/>
        <v>g</v>
      </c>
      <c r="L1368" s="6" t="str">
        <f t="shared" si="85"/>
        <v>Gerblé</v>
      </c>
      <c r="M1368" s="6" t="str">
        <f t="shared" si="86"/>
        <v>Gerblé - No Sugar Added Apple Blackcurrant Cake Filling, 180G (6.4Oz)</v>
      </c>
      <c r="N1368" s="6" t="str">
        <f t="shared" si="87"/>
        <v>France</v>
      </c>
    </row>
    <row r="1369" spans="1:14" x14ac:dyDescent="0.25">
      <c r="A1369" s="6" t="s">
        <v>3425</v>
      </c>
      <c r="B1369" s="6">
        <v>10265</v>
      </c>
      <c r="C1369" s="6" t="s">
        <v>3426</v>
      </c>
      <c r="D1369" s="7" t="s">
        <v>287</v>
      </c>
      <c r="E1369" s="6" t="s">
        <v>436</v>
      </c>
      <c r="F1369" s="6" t="s">
        <v>8056</v>
      </c>
      <c r="G1369" s="8">
        <v>45861</v>
      </c>
      <c r="H1369" s="6">
        <v>3.34</v>
      </c>
      <c r="I1369" s="6" cm="1">
        <f t="array" ref="I1369">IFERROR(VALUE(TRIM(LEFT(E1369,MIN(FIND({" ";"g";"k";"m";"o"},E1369&amp;" gkmo"))-1))),0)</f>
        <v>90</v>
      </c>
      <c r="J1369" s="6" t="str" cm="1">
        <f t="array" ref="J1369">IFERROR(TRIM(MID(E1369,MIN(FIND({" ";"g";"k";"m";"o"},E1369&amp;" gkmo")),10)),"unknown")</f>
        <v>g</v>
      </c>
      <c r="K1369" s="6" t="str">
        <f t="shared" si="84"/>
        <v>g</v>
      </c>
      <c r="L1369" s="6" t="str">
        <f t="shared" si="85"/>
        <v>Ferrero</v>
      </c>
      <c r="M1369" s="6" t="str">
        <f t="shared" si="86"/>
        <v>Ferrero Rocher Haselnuss White</v>
      </c>
      <c r="N1369" s="6" t="str">
        <f t="shared" si="87"/>
        <v>France, Italy, Morocco, United-Kingdom</v>
      </c>
    </row>
    <row r="1370" spans="1:14" x14ac:dyDescent="0.25">
      <c r="A1370" s="6" t="s">
        <v>3427</v>
      </c>
      <c r="B1370" s="6">
        <v>13132</v>
      </c>
      <c r="C1370" s="6" t="s">
        <v>3428</v>
      </c>
      <c r="D1370" s="7" t="s">
        <v>3429</v>
      </c>
      <c r="E1370" s="6" t="s">
        <v>676</v>
      </c>
      <c r="F1370" s="6" t="s">
        <v>2973</v>
      </c>
      <c r="G1370" s="8">
        <v>45716</v>
      </c>
      <c r="H1370" s="6">
        <v>13.58</v>
      </c>
      <c r="I1370" s="6" cm="1">
        <f t="array" ref="I1370">IFERROR(VALUE(TRIM(LEFT(E1370,MIN(FIND({" ";"g";"k";"m";"o"},E1370&amp;" gkmo"))-1))),0)</f>
        <v>180</v>
      </c>
      <c r="J1370" s="6" t="str" cm="1">
        <f t="array" ref="J1370">IFERROR(TRIM(MID(E1370,MIN(FIND({" ";"g";"k";"m";"o"},E1370&amp;" gkmo")),10)),"unknown")</f>
        <v>g</v>
      </c>
      <c r="K1370" s="6" t="str">
        <f t="shared" si="84"/>
        <v>g</v>
      </c>
      <c r="L1370" s="6" t="str">
        <f t="shared" si="85"/>
        <v>Montezuma</v>
      </c>
      <c r="M1370" s="6" t="str">
        <f t="shared" si="86"/>
        <v>Milk Chocolate Buttons 38%</v>
      </c>
      <c r="N1370" s="6" t="str">
        <f t="shared" si="87"/>
        <v>Gb</v>
      </c>
    </row>
    <row r="1371" spans="1:14" x14ac:dyDescent="0.25">
      <c r="A1371" s="6" t="s">
        <v>3430</v>
      </c>
      <c r="B1371" s="6">
        <v>5714</v>
      </c>
      <c r="C1371" s="6" t="s">
        <v>3431</v>
      </c>
      <c r="D1371" s="7" t="s">
        <v>116</v>
      </c>
      <c r="E1371" s="6" t="s">
        <v>64</v>
      </c>
      <c r="F1371" s="6" t="s">
        <v>8040</v>
      </c>
      <c r="G1371" s="8">
        <v>45724</v>
      </c>
      <c r="H1371" s="6">
        <v>19.07</v>
      </c>
      <c r="I1371" s="6" cm="1">
        <f t="array" ref="I1371">IFERROR(VALUE(TRIM(LEFT(E1371,MIN(FIND({" ";"g";"k";"m";"o"},E1371&amp;" gkmo"))-1))),0)</f>
        <v>150</v>
      </c>
      <c r="J1371" s="6" t="str" cm="1">
        <f t="array" ref="J1371">IFERROR(TRIM(MID(E1371,MIN(FIND({" ";"g";"k";"m";"o"},E1371&amp;" gkmo")),10)),"unknown")</f>
        <v>g</v>
      </c>
      <c r="K1371" s="6" t="str">
        <f t="shared" si="84"/>
        <v>g</v>
      </c>
      <c r="L1371" s="6" t="str">
        <f t="shared" si="85"/>
        <v>Nature Valley</v>
      </c>
      <c r="M1371" s="6" t="str">
        <f t="shared" si="86"/>
        <v>Sweet And Salty Nut</v>
      </c>
      <c r="N1371" s="6" t="str">
        <f t="shared" si="87"/>
        <v>United Kingdom, France</v>
      </c>
    </row>
    <row r="1372" spans="1:14" x14ac:dyDescent="0.25">
      <c r="A1372" s="6" t="s">
        <v>3432</v>
      </c>
      <c r="B1372" s="6">
        <v>7939</v>
      </c>
      <c r="C1372" s="6" t="s">
        <v>3433</v>
      </c>
      <c r="D1372" s="7" t="s">
        <v>7017</v>
      </c>
      <c r="E1372" s="6"/>
      <c r="F1372" s="6" t="s">
        <v>177</v>
      </c>
      <c r="G1372" s="8">
        <v>45593</v>
      </c>
      <c r="H1372" s="6">
        <v>20.7</v>
      </c>
      <c r="I1372" s="6" cm="1">
        <f t="array" ref="I1372">IFERROR(VALUE(TRIM(LEFT(E1372,MIN(FIND({" ";"g";"k";"m";"o"},E1372&amp;" gkmo"))-1))),0)</f>
        <v>0</v>
      </c>
      <c r="J1372" s="6" t="str" cm="1">
        <f t="array" ref="J1372">IFERROR(TRIM(MID(E1372,MIN(FIND({" ";"g";"k";"m";"o"},E1372&amp;" gkmo")),10)),"unknown")</f>
        <v/>
      </c>
      <c r="K1372" s="6" t="str">
        <f t="shared" si="84"/>
        <v>unknown</v>
      </c>
      <c r="L1372" s="6" t="str">
        <f t="shared" si="85"/>
        <v>Unknown</v>
      </c>
      <c r="M1372" s="6" t="str">
        <f t="shared" si="86"/>
        <v>Dominican Republic Dark Chocolate 72</v>
      </c>
      <c r="N1372" s="6" t="str">
        <f t="shared" si="87"/>
        <v>United Kingdom</v>
      </c>
    </row>
    <row r="1373" spans="1:14" x14ac:dyDescent="0.25">
      <c r="A1373" s="6" t="s">
        <v>3434</v>
      </c>
      <c r="B1373" s="6">
        <v>6608</v>
      </c>
      <c r="C1373" s="6" t="s">
        <v>7231</v>
      </c>
      <c r="D1373" s="7" t="s">
        <v>1360</v>
      </c>
      <c r="E1373" s="6" t="s">
        <v>10</v>
      </c>
      <c r="F1373" s="6" t="s">
        <v>139</v>
      </c>
      <c r="G1373" s="8">
        <v>45403</v>
      </c>
      <c r="H1373" s="6">
        <v>18.79</v>
      </c>
      <c r="I1373" s="6" cm="1">
        <f t="array" ref="I1373">IFERROR(VALUE(TRIM(LEFT(E1373,MIN(FIND({" ";"g";"k";"m";"o"},E1373&amp;" gkmo"))-1))),0)</f>
        <v>100</v>
      </c>
      <c r="J1373" s="6" t="str" cm="1">
        <f t="array" ref="J1373">IFERROR(TRIM(MID(E1373,MIN(FIND({" ";"g";"k";"m";"o"},E1373&amp;" gkmo")),10)),"unknown")</f>
        <v>g</v>
      </c>
      <c r="K1373" s="6" t="str">
        <f t="shared" si="84"/>
        <v>g</v>
      </c>
      <c r="L1373" s="6" t="str">
        <f t="shared" si="85"/>
        <v>Ethiquable</v>
      </c>
      <c r="M1373" s="6" t="str">
        <f t="shared" si="86"/>
        <v>Tablette De Chocolat 100% Cacao Variétés Native Pérou</v>
      </c>
      <c r="N1373" s="6" t="str">
        <f t="shared" si="87"/>
        <v>France</v>
      </c>
    </row>
    <row r="1374" spans="1:14" x14ac:dyDescent="0.25">
      <c r="A1374" s="6" t="s">
        <v>3435</v>
      </c>
      <c r="B1374" s="6">
        <v>14043</v>
      </c>
      <c r="C1374" s="6" t="s">
        <v>3436</v>
      </c>
      <c r="D1374" s="7" t="s">
        <v>60</v>
      </c>
      <c r="E1374" s="6"/>
      <c r="F1374" s="6" t="s">
        <v>139</v>
      </c>
      <c r="G1374" s="8">
        <v>45336</v>
      </c>
      <c r="H1374" s="6">
        <v>20.95</v>
      </c>
      <c r="I1374" s="6" cm="1">
        <f t="array" ref="I1374">IFERROR(VALUE(TRIM(LEFT(E1374,MIN(FIND({" ";"g";"k";"m";"o"},E1374&amp;" gkmo"))-1))),0)</f>
        <v>0</v>
      </c>
      <c r="J1374" s="6" t="str" cm="1">
        <f t="array" ref="J1374">IFERROR(TRIM(MID(E1374,MIN(FIND({" ";"g";"k";"m";"o"},E1374&amp;" gkmo")),10)),"unknown")</f>
        <v/>
      </c>
      <c r="K1374" s="6" t="str">
        <f t="shared" si="84"/>
        <v>unknown</v>
      </c>
      <c r="L1374" s="6" t="str">
        <f t="shared" si="85"/>
        <v>Lindt</v>
      </c>
      <c r="M1374" s="6" t="str">
        <f t="shared" si="86"/>
        <v>Excellence Noir Orange Sanguine De Sicile</v>
      </c>
      <c r="N1374" s="6" t="str">
        <f t="shared" si="87"/>
        <v>France</v>
      </c>
    </row>
    <row r="1375" spans="1:14" x14ac:dyDescent="0.25">
      <c r="A1375" s="6" t="s">
        <v>3437</v>
      </c>
      <c r="B1375" s="6">
        <v>6769</v>
      </c>
      <c r="C1375" s="6" t="s">
        <v>3438</v>
      </c>
      <c r="D1375" s="7" t="s">
        <v>3439</v>
      </c>
      <c r="E1375" s="6"/>
      <c r="F1375" s="6" t="s">
        <v>5759</v>
      </c>
      <c r="G1375" s="8">
        <v>45850</v>
      </c>
      <c r="H1375" s="6">
        <v>16.86</v>
      </c>
      <c r="I1375" s="6" cm="1">
        <f t="array" ref="I1375">IFERROR(VALUE(TRIM(LEFT(E1375,MIN(FIND({" ";"g";"k";"m";"o"},E1375&amp;" gkmo"))-1))),0)</f>
        <v>0</v>
      </c>
      <c r="J1375" s="6" t="str" cm="1">
        <f t="array" ref="J1375">IFERROR(TRIM(MID(E1375,MIN(FIND({" ";"g";"k";"m";"o"},E1375&amp;" gkmo")),10)),"unknown")</f>
        <v/>
      </c>
      <c r="K1375" s="6" t="str">
        <f t="shared" si="84"/>
        <v>unknown</v>
      </c>
      <c r="L1375" s="6" t="str">
        <f t="shared" si="85"/>
        <v>Le Stern</v>
      </c>
      <c r="M1375" s="6" t="str">
        <f t="shared" si="86"/>
        <v>Madeleines Sorties Du Four</v>
      </c>
      <c r="N1375" s="6" t="str">
        <f t="shared" si="87"/>
        <v>Fr</v>
      </c>
    </row>
    <row r="1376" spans="1:14" x14ac:dyDescent="0.25">
      <c r="A1376" s="6" t="s">
        <v>3440</v>
      </c>
      <c r="B1376" s="6">
        <v>7739</v>
      </c>
      <c r="C1376" s="6" t="s">
        <v>3441</v>
      </c>
      <c r="D1376" s="7" t="s">
        <v>3442</v>
      </c>
      <c r="E1376" s="6"/>
      <c r="F1376" s="6" t="s">
        <v>8057</v>
      </c>
      <c r="G1376" s="8">
        <v>45791</v>
      </c>
      <c r="H1376" s="6">
        <v>5.58</v>
      </c>
      <c r="I1376" s="6" cm="1">
        <f t="array" ref="I1376">IFERROR(VALUE(TRIM(LEFT(E1376,MIN(FIND({" ";"g";"k";"m";"o"},E1376&amp;" gkmo"))-1))),0)</f>
        <v>0</v>
      </c>
      <c r="J1376" s="6" t="str" cm="1">
        <f t="array" ref="J1376">IFERROR(TRIM(MID(E1376,MIN(FIND({" ";"g";"k";"m";"o"},E1376&amp;" gkmo")),10)),"unknown")</f>
        <v/>
      </c>
      <c r="K1376" s="6" t="str">
        <f t="shared" si="84"/>
        <v>unknown</v>
      </c>
      <c r="L1376" s="6" t="str">
        <f t="shared" si="85"/>
        <v>Chio</v>
      </c>
      <c r="M1376" s="6" t="str">
        <f t="shared" si="86"/>
        <v>Pom-Bar</v>
      </c>
      <c r="N1376" s="6" t="str">
        <f t="shared" si="87"/>
        <v>Bulgaria, Romania</v>
      </c>
    </row>
    <row r="1377" spans="1:14" x14ac:dyDescent="0.25">
      <c r="A1377" s="6" t="s">
        <v>3443</v>
      </c>
      <c r="B1377" s="6">
        <v>13484</v>
      </c>
      <c r="C1377" s="6" t="s">
        <v>3444</v>
      </c>
      <c r="D1377" s="7" t="s">
        <v>3445</v>
      </c>
      <c r="E1377" s="6" t="s">
        <v>39</v>
      </c>
      <c r="F1377" s="6" t="s">
        <v>511</v>
      </c>
      <c r="G1377" s="8">
        <v>45917</v>
      </c>
      <c r="H1377" s="6">
        <v>9.59</v>
      </c>
      <c r="I1377" s="6" cm="1">
        <f t="array" ref="I1377">IFERROR(VALUE(TRIM(LEFT(E1377,MIN(FIND({" ";"g";"k";"m";"o"},E1377&amp;" gkmo"))-1))),0)</f>
        <v>150</v>
      </c>
      <c r="J1377" s="6" t="str" cm="1">
        <f t="array" ref="J1377">IFERROR(TRIM(MID(E1377,MIN(FIND({" ";"g";"k";"m";"o"},E1377&amp;" gkmo")),10)),"unknown")</f>
        <v>g</v>
      </c>
      <c r="K1377" s="6" t="str">
        <f t="shared" si="84"/>
        <v>g</v>
      </c>
      <c r="L1377" s="6" t="str">
        <f t="shared" si="85"/>
        <v>Natural Happiness</v>
      </c>
      <c r="M1377" s="6" t="str">
        <f t="shared" si="86"/>
        <v>Nut &amp; Fruit Mix</v>
      </c>
      <c r="N1377" s="6" t="str">
        <f t="shared" si="87"/>
        <v>France,Morocco</v>
      </c>
    </row>
    <row r="1378" spans="1:14" x14ac:dyDescent="0.25">
      <c r="A1378" s="6" t="s">
        <v>3446</v>
      </c>
      <c r="B1378" s="6">
        <v>8005</v>
      </c>
      <c r="C1378" s="6" t="s">
        <v>3447</v>
      </c>
      <c r="D1378" s="7" t="s">
        <v>3448</v>
      </c>
      <c r="E1378" s="6" t="s">
        <v>18</v>
      </c>
      <c r="F1378" s="6" t="s">
        <v>139</v>
      </c>
      <c r="G1378" s="8">
        <v>45831</v>
      </c>
      <c r="H1378" s="6">
        <v>12.32</v>
      </c>
      <c r="I1378" s="6" cm="1">
        <f t="array" ref="I1378">IFERROR(VALUE(TRIM(LEFT(E1378,MIN(FIND({" ";"g";"k";"m";"o"},E1378&amp;" gkmo"))-1))),0)</f>
        <v>100</v>
      </c>
      <c r="J1378" s="6" t="str" cm="1">
        <f t="array" ref="J1378">IFERROR(TRIM(MID(E1378,MIN(FIND({" ";"g";"k";"m";"o"},E1378&amp;" gkmo")),10)),"unknown")</f>
        <v>g</v>
      </c>
      <c r="K1378" s="6" t="str">
        <f t="shared" si="84"/>
        <v>g</v>
      </c>
      <c r="L1378" s="6" t="str">
        <f t="shared" si="85"/>
        <v>Mentos</v>
      </c>
      <c r="M1378" s="6" t="str">
        <f t="shared" si="86"/>
        <v>Chewing Gum Pure Fresh</v>
      </c>
      <c r="N1378" s="6" t="str">
        <f t="shared" si="87"/>
        <v>France</v>
      </c>
    </row>
    <row r="1379" spans="1:14" x14ac:dyDescent="0.25">
      <c r="A1379" s="6" t="s">
        <v>3449</v>
      </c>
      <c r="B1379" s="6">
        <v>6613</v>
      </c>
      <c r="C1379" s="6" t="s">
        <v>3450</v>
      </c>
      <c r="D1379" s="7" t="s">
        <v>7017</v>
      </c>
      <c r="E1379" s="6"/>
      <c r="F1379" s="6" t="s">
        <v>860</v>
      </c>
      <c r="G1379" s="8">
        <v>45437</v>
      </c>
      <c r="H1379" s="6">
        <v>17.350000000000001</v>
      </c>
      <c r="I1379" s="6" cm="1">
        <f t="array" ref="I1379">IFERROR(VALUE(TRIM(LEFT(E1379,MIN(FIND({" ";"g";"k";"m";"o"},E1379&amp;" gkmo"))-1))),0)</f>
        <v>0</v>
      </c>
      <c r="J1379" s="6" t="str" cm="1">
        <f t="array" ref="J1379">IFERROR(TRIM(MID(E1379,MIN(FIND({" ";"g";"k";"m";"o"},E1379&amp;" gkmo")),10)),"unknown")</f>
        <v/>
      </c>
      <c r="K1379" s="6" t="str">
        <f t="shared" si="84"/>
        <v>unknown</v>
      </c>
      <c r="L1379" s="6" t="str">
        <f t="shared" si="85"/>
        <v>Unknown</v>
      </c>
      <c r="M1379" s="6" t="str">
        <f t="shared" si="86"/>
        <v>Milka Triple Caramel</v>
      </c>
      <c r="N1379" s="6" t="str">
        <f t="shared" si="87"/>
        <v>Ma</v>
      </c>
    </row>
    <row r="1380" spans="1:14" x14ac:dyDescent="0.25">
      <c r="A1380" s="6" t="s">
        <v>3451</v>
      </c>
      <c r="B1380" s="6">
        <v>14895</v>
      </c>
      <c r="C1380" s="6" t="s">
        <v>7017</v>
      </c>
      <c r="D1380" s="7" t="s">
        <v>3452</v>
      </c>
      <c r="E1380" s="6"/>
      <c r="F1380" s="6" t="s">
        <v>177</v>
      </c>
      <c r="G1380" s="8">
        <v>45919</v>
      </c>
      <c r="H1380" s="6">
        <v>13.16</v>
      </c>
      <c r="I1380" s="6" cm="1">
        <f t="array" ref="I1380">IFERROR(VALUE(TRIM(LEFT(E1380,MIN(FIND({" ";"g";"k";"m";"o"},E1380&amp;" gkmo"))-1))),0)</f>
        <v>0</v>
      </c>
      <c r="J1380" s="6" t="str" cm="1">
        <f t="array" ref="J1380">IFERROR(TRIM(MID(E1380,MIN(FIND({" ";"g";"k";"m";"o"},E1380&amp;" gkmo")),10)),"unknown")</f>
        <v/>
      </c>
      <c r="K1380" s="6" t="str">
        <f t="shared" si="84"/>
        <v>unknown</v>
      </c>
      <c r="L1380" s="6" t="str">
        <f t="shared" si="85"/>
        <v>Organix</v>
      </c>
      <c r="M1380" s="6" t="str">
        <f t="shared" si="86"/>
        <v>Unknown</v>
      </c>
      <c r="N1380" s="6" t="str">
        <f t="shared" si="87"/>
        <v>United Kingdom</v>
      </c>
    </row>
    <row r="1381" spans="1:14" x14ac:dyDescent="0.25">
      <c r="A1381" s="6" t="s">
        <v>3453</v>
      </c>
      <c r="B1381" s="6">
        <v>8133</v>
      </c>
      <c r="C1381" s="6" t="s">
        <v>3454</v>
      </c>
      <c r="D1381" s="7" t="s">
        <v>3455</v>
      </c>
      <c r="E1381" s="6" t="s">
        <v>3456</v>
      </c>
      <c r="F1381" s="6" t="s">
        <v>48</v>
      </c>
      <c r="G1381" s="8">
        <v>45341</v>
      </c>
      <c r="H1381" s="6">
        <v>2.17</v>
      </c>
      <c r="I1381" s="6" cm="1">
        <f t="array" ref="I1381">IFERROR(VALUE(TRIM(LEFT(E1381,MIN(FIND({" ";"g";"k";"m";"o"},E1381&amp;" gkmo"))-1))),0)</f>
        <v>3</v>
      </c>
      <c r="J1381" s="6" t="str" cm="1">
        <f t="array" ref="J1381">IFERROR(TRIM(MID(E1381,MIN(FIND({" ";"g";"k";"m";"o"},E1381&amp;" gkmo")),10)),"unknown")</f>
        <v>/18g</v>
      </c>
      <c r="K1381" s="6" t="str">
        <f t="shared" si="84"/>
        <v>g</v>
      </c>
      <c r="L1381" s="6" t="str">
        <f t="shared" si="85"/>
        <v>Henrry'S</v>
      </c>
      <c r="M1381" s="6" t="str">
        <f t="shared" si="86"/>
        <v>Flipo</v>
      </c>
      <c r="N1381" s="6" t="str">
        <f t="shared" si="87"/>
        <v>Morocco</v>
      </c>
    </row>
    <row r="1382" spans="1:14" x14ac:dyDescent="0.25">
      <c r="A1382" s="6" t="s">
        <v>3457</v>
      </c>
      <c r="B1382" s="6">
        <v>14998</v>
      </c>
      <c r="C1382" s="6" t="s">
        <v>7017</v>
      </c>
      <c r="D1382" s="7" t="s">
        <v>1113</v>
      </c>
      <c r="E1382" s="6" t="s">
        <v>345</v>
      </c>
      <c r="F1382" s="6" t="s">
        <v>48</v>
      </c>
      <c r="G1382" s="8">
        <v>45972</v>
      </c>
      <c r="H1382" s="6">
        <v>13.16</v>
      </c>
      <c r="I1382" s="6" cm="1">
        <f t="array" ref="I1382">IFERROR(VALUE(TRIM(LEFT(E1382,MIN(FIND({" ";"g";"k";"m";"o"},E1382&amp;" gkmo"))-1))),0)</f>
        <v>52</v>
      </c>
      <c r="J1382" s="6" t="str" cm="1">
        <f t="array" ref="J1382">IFERROR(TRIM(MID(E1382,MIN(FIND({" ";"g";"k";"m";"o"},E1382&amp;" gkmo")),10)),"unknown")</f>
        <v>g</v>
      </c>
      <c r="K1382" s="6" t="str">
        <f t="shared" si="84"/>
        <v>g</v>
      </c>
      <c r="L1382" s="6" t="str">
        <f t="shared" si="85"/>
        <v>Excelo</v>
      </c>
      <c r="M1382" s="6" t="str">
        <f t="shared" si="86"/>
        <v>Unknown</v>
      </c>
      <c r="N1382" s="6" t="str">
        <f t="shared" si="87"/>
        <v>Morocco</v>
      </c>
    </row>
    <row r="1383" spans="1:14" x14ac:dyDescent="0.25">
      <c r="A1383" s="6" t="s">
        <v>3458</v>
      </c>
      <c r="B1383" s="6">
        <v>10251</v>
      </c>
      <c r="C1383" s="6" t="s">
        <v>3459</v>
      </c>
      <c r="D1383" s="7" t="s">
        <v>3062</v>
      </c>
      <c r="E1383" s="6" t="s">
        <v>3460</v>
      </c>
      <c r="F1383" s="6" t="s">
        <v>2333</v>
      </c>
      <c r="G1383" s="8">
        <v>45928</v>
      </c>
      <c r="H1383" s="6">
        <v>14.96</v>
      </c>
      <c r="I1383" s="6" cm="1">
        <f t="array" ref="I1383">IFERROR(VALUE(TRIM(LEFT(E1383,MIN(FIND({" ";"g";"k";"m";"o"},E1383&amp;" gkmo"))-1))),0)</f>
        <v>2</v>
      </c>
      <c r="J1383" s="6" t="str" cm="1">
        <f t="array" ref="J1383">IFERROR(TRIM(MID(E1383,MIN(FIND({" ";"g";"k";"m";"o"},E1383&amp;" gkmo")),10)),"unknown")</f>
        <v>oz</v>
      </c>
      <c r="K1383" s="6" t="str">
        <f t="shared" si="84"/>
        <v>unknown</v>
      </c>
      <c r="L1383" s="6" t="str">
        <f t="shared" si="85"/>
        <v>Nature'S Bakery</v>
      </c>
      <c r="M1383" s="6" t="str">
        <f t="shared" si="86"/>
        <v>Fig Bar Blueberry</v>
      </c>
      <c r="N1383" s="6" t="str">
        <f t="shared" si="87"/>
        <v>France,United States, World</v>
      </c>
    </row>
    <row r="1384" spans="1:14" x14ac:dyDescent="0.25">
      <c r="A1384" s="6" t="s">
        <v>3461</v>
      </c>
      <c r="B1384" s="6">
        <v>8556</v>
      </c>
      <c r="C1384" s="6" t="s">
        <v>7726</v>
      </c>
      <c r="D1384" s="7" t="s">
        <v>3462</v>
      </c>
      <c r="E1384" s="6" t="s">
        <v>3463</v>
      </c>
      <c r="F1384" s="6" t="s">
        <v>3464</v>
      </c>
      <c r="G1384" s="8">
        <v>46021</v>
      </c>
      <c r="H1384" s="6">
        <v>22.87</v>
      </c>
      <c r="I1384" s="6" cm="1">
        <f t="array" ref="I1384">IFERROR(VALUE(TRIM(LEFT(E1384,MIN(FIND({" ";"g";"k";"m";"o"},E1384&amp;" gkmo"))-1))),0)</f>
        <v>750</v>
      </c>
      <c r="J1384" s="6" t="str" cm="1">
        <f t="array" ref="J1384">IFERROR(TRIM(MID(E1384,MIN(FIND({" ";"g";"k";"m";"o"},E1384&amp;" gkmo")),10)),"unknown")</f>
        <v>g</v>
      </c>
      <c r="K1384" s="6" t="str">
        <f t="shared" si="84"/>
        <v>g</v>
      </c>
      <c r="L1384" s="6" t="str">
        <f t="shared" si="85"/>
        <v>Harvest Basket</v>
      </c>
      <c r="M1384" s="6" t="str">
        <f t="shared" si="86"/>
        <v>Potato Wedges Sà¼Lt Krumpli</v>
      </c>
      <c r="N1384" s="6" t="str">
        <f t="shared" si="87"/>
        <v>Finland,France,Germany,Slovenia,Spain</v>
      </c>
    </row>
    <row r="1385" spans="1:14" x14ac:dyDescent="0.25">
      <c r="A1385" s="6" t="s">
        <v>3465</v>
      </c>
      <c r="B1385" s="6">
        <v>14433</v>
      </c>
      <c r="C1385" s="6" t="s">
        <v>3466</v>
      </c>
      <c r="D1385" s="7" t="s">
        <v>7017</v>
      </c>
      <c r="E1385" s="6" t="s">
        <v>3467</v>
      </c>
      <c r="F1385" s="6" t="s">
        <v>139</v>
      </c>
      <c r="G1385" s="8">
        <v>45802</v>
      </c>
      <c r="H1385" s="6">
        <v>11.14</v>
      </c>
      <c r="I1385" s="6" cm="1">
        <f t="array" ref="I1385">IFERROR(VALUE(TRIM(LEFT(E1385,MIN(FIND({" ";"g";"k";"m";"o"},E1385&amp;" gkmo"))-1))),0)</f>
        <v>165</v>
      </c>
      <c r="J1385" s="6" t="str" cm="1">
        <f t="array" ref="J1385">IFERROR(TRIM(MID(E1385,MIN(FIND({" ";"g";"k";"m";"o"},E1385&amp;" gkmo")),10)),"unknown")</f>
        <v>g e</v>
      </c>
      <c r="K1385" s="6" t="str">
        <f t="shared" si="84"/>
        <v>g</v>
      </c>
      <c r="L1385" s="6" t="str">
        <f t="shared" si="85"/>
        <v>Unknown</v>
      </c>
      <c r="M1385" s="6" t="str">
        <f t="shared" si="86"/>
        <v>La Coqueline (Fraise)</v>
      </c>
      <c r="N1385" s="6" t="str">
        <f t="shared" si="87"/>
        <v>France</v>
      </c>
    </row>
    <row r="1386" spans="1:14" x14ac:dyDescent="0.25">
      <c r="A1386" s="6" t="s">
        <v>3468</v>
      </c>
      <c r="B1386" s="6">
        <v>12739</v>
      </c>
      <c r="C1386" s="6" t="s">
        <v>7485</v>
      </c>
      <c r="D1386" s="7" t="s">
        <v>13</v>
      </c>
      <c r="E1386" s="6" t="s">
        <v>423</v>
      </c>
      <c r="F1386" s="6" t="s">
        <v>8058</v>
      </c>
      <c r="G1386" s="8">
        <v>45559</v>
      </c>
      <c r="H1386" s="6">
        <v>4.29</v>
      </c>
      <c r="I1386" s="6" cm="1">
        <f t="array" ref="I1386">IFERROR(VALUE(TRIM(LEFT(E1386,MIN(FIND({" ";"g";"k";"m";"o"},E1386&amp;" gkmo"))-1))),0)</f>
        <v>125</v>
      </c>
      <c r="J1386" s="6" t="str" cm="1">
        <f t="array" ref="J1386">IFERROR(TRIM(MID(E1386,MIN(FIND({" ";"g";"k";"m";"o"},E1386&amp;" gkmo")),10)),"unknown")</f>
        <v>g</v>
      </c>
      <c r="K1386" s="6" t="str">
        <f t="shared" si="84"/>
        <v>g</v>
      </c>
      <c r="L1386" s="6" t="str">
        <f t="shared" si="85"/>
        <v>Lu</v>
      </c>
      <c r="M1386" s="6" t="str">
        <f t="shared" si="86"/>
        <v>Prince Choco'Ðÿ«Barre - Barre Céréalière Au Chocolatðÿ«</v>
      </c>
      <c r="N1386" s="6" t="str">
        <f t="shared" si="87"/>
        <v>France, Monaco, Switzerland</v>
      </c>
    </row>
    <row r="1387" spans="1:14" x14ac:dyDescent="0.25">
      <c r="A1387" s="6" t="s">
        <v>3469</v>
      </c>
      <c r="B1387" s="6">
        <v>11315</v>
      </c>
      <c r="C1387" s="6" t="s">
        <v>3470</v>
      </c>
      <c r="D1387" s="7" t="s">
        <v>60</v>
      </c>
      <c r="E1387" s="6" t="s">
        <v>10</v>
      </c>
      <c r="F1387" s="6" t="s">
        <v>8341</v>
      </c>
      <c r="G1387" s="8">
        <v>45767</v>
      </c>
      <c r="H1387" s="6">
        <v>6.62</v>
      </c>
      <c r="I1387" s="6" cm="1">
        <f t="array" ref="I1387">IFERROR(VALUE(TRIM(LEFT(E1387,MIN(FIND({" ";"g";"k";"m";"o"},E1387&amp;" gkmo"))-1))),0)</f>
        <v>100</v>
      </c>
      <c r="J1387" s="6" t="str" cm="1">
        <f t="array" ref="J1387">IFERROR(TRIM(MID(E1387,MIN(FIND({" ";"g";"k";"m";"o"},E1387&amp;" gkmo")),10)),"unknown")</f>
        <v>g</v>
      </c>
      <c r="K1387" s="6" t="str">
        <f t="shared" si="84"/>
        <v>g</v>
      </c>
      <c r="L1387" s="6" t="str">
        <f t="shared" si="85"/>
        <v>Lindt</v>
      </c>
      <c r="M1387" s="6" t="str">
        <f t="shared" si="86"/>
        <v>Excellence Noir Zeste De Citron Vert</v>
      </c>
      <c r="N1387" s="6" t="str">
        <f t="shared" si="87"/>
        <v>France,Italie,Spain,Switzerland</v>
      </c>
    </row>
    <row r="1388" spans="1:14" x14ac:dyDescent="0.25">
      <c r="A1388" s="6" t="s">
        <v>3471</v>
      </c>
      <c r="B1388" s="6">
        <v>5678</v>
      </c>
      <c r="C1388" s="6" t="s">
        <v>7232</v>
      </c>
      <c r="D1388" s="7" t="s">
        <v>7030</v>
      </c>
      <c r="E1388" s="6" t="s">
        <v>291</v>
      </c>
      <c r="F1388" s="6" t="s">
        <v>1181</v>
      </c>
      <c r="G1388" s="8">
        <v>45453</v>
      </c>
      <c r="H1388" s="6">
        <v>14.71</v>
      </c>
      <c r="I1388" s="6" cm="1">
        <f t="array" ref="I1388">IFERROR(VALUE(TRIM(LEFT(E1388,MIN(FIND({" ";"g";"k";"m";"o"},E1388&amp;" gkmo"))-1))),0)</f>
        <v>140</v>
      </c>
      <c r="J1388" s="6" t="str" cm="1">
        <f t="array" ref="J1388">IFERROR(TRIM(MID(E1388,MIN(FIND({" ";"g";"k";"m";"o"},E1388&amp;" gkmo")),10)),"unknown")</f>
        <v>g</v>
      </c>
      <c r="K1388" s="6" t="str">
        <f t="shared" si="84"/>
        <v>g</v>
      </c>
      <c r="L1388" s="6" t="str">
        <f t="shared" si="85"/>
        <v>Gerblé</v>
      </c>
      <c r="M1388" s="6" t="str">
        <f t="shared" si="86"/>
        <v>Génoise Chocolat Orange Gerblé Sans Sucres</v>
      </c>
      <c r="N1388" s="6" t="str">
        <f t="shared" si="87"/>
        <v>France,Switzerland</v>
      </c>
    </row>
    <row r="1389" spans="1:14" x14ac:dyDescent="0.25">
      <c r="A1389" s="6" t="s">
        <v>3472</v>
      </c>
      <c r="B1389" s="6">
        <v>10746</v>
      </c>
      <c r="C1389" s="6" t="s">
        <v>3473</v>
      </c>
      <c r="D1389" s="7" t="s">
        <v>7017</v>
      </c>
      <c r="E1389" s="6" t="s">
        <v>14</v>
      </c>
      <c r="F1389" s="6" t="s">
        <v>139</v>
      </c>
      <c r="G1389" s="8">
        <v>45533</v>
      </c>
      <c r="H1389" s="6">
        <v>23.94</v>
      </c>
      <c r="I1389" s="6" cm="1">
        <f t="array" ref="I1389">IFERROR(VALUE(TRIM(LEFT(E1389,MIN(FIND({" ";"g";"k";"m";"o"},E1389&amp;" gkmo"))-1))),0)</f>
        <v>300</v>
      </c>
      <c r="J1389" s="6" t="str" cm="1">
        <f t="array" ref="J1389">IFERROR(TRIM(MID(E1389,MIN(FIND({" ";"g";"k";"m";"o"},E1389&amp;" gkmo")),10)),"unknown")</f>
        <v>g</v>
      </c>
      <c r="K1389" s="6" t="str">
        <f t="shared" si="84"/>
        <v>g</v>
      </c>
      <c r="L1389" s="6" t="str">
        <f t="shared" si="85"/>
        <v>Unknown</v>
      </c>
      <c r="M1389" s="6" t="str">
        <f t="shared" si="86"/>
        <v>Madeleines</v>
      </c>
      <c r="N1389" s="6" t="str">
        <f t="shared" si="87"/>
        <v>France</v>
      </c>
    </row>
    <row r="1390" spans="1:14" x14ac:dyDescent="0.25">
      <c r="A1390" s="6" t="s">
        <v>3474</v>
      </c>
      <c r="B1390" s="6">
        <v>13249</v>
      </c>
      <c r="C1390" s="6" t="s">
        <v>2161</v>
      </c>
      <c r="D1390" s="7" t="s">
        <v>1689</v>
      </c>
      <c r="E1390" s="6" t="s">
        <v>727</v>
      </c>
      <c r="F1390" s="6" t="s">
        <v>8001</v>
      </c>
      <c r="G1390" s="8">
        <v>45508</v>
      </c>
      <c r="H1390" s="6">
        <v>9.14</v>
      </c>
      <c r="I1390" s="6" cm="1">
        <f t="array" ref="I1390">IFERROR(VALUE(TRIM(LEFT(E1390,MIN(FIND({" ";"g";"k";"m";"o"},E1390&amp;" gkmo"))-1))),0)</f>
        <v>25</v>
      </c>
      <c r="J1390" s="6" t="str" cm="1">
        <f t="array" ref="J1390">IFERROR(TRIM(MID(E1390,MIN(FIND({" ";"g";"k";"m";"o"},E1390&amp;" gkmo")),10)),"unknown")</f>
        <v>g</v>
      </c>
      <c r="K1390" s="6" t="str">
        <f t="shared" si="84"/>
        <v>g</v>
      </c>
      <c r="L1390" s="6" t="str">
        <f t="shared" si="85"/>
        <v>Le Ster</v>
      </c>
      <c r="M1390" s="6" t="str">
        <f t="shared" si="86"/>
        <v>Madeleine</v>
      </c>
      <c r="N1390" s="6" t="str">
        <f t="shared" si="87"/>
        <v>France,France</v>
      </c>
    </row>
    <row r="1391" spans="1:14" x14ac:dyDescent="0.25">
      <c r="A1391" s="6" t="s">
        <v>3475</v>
      </c>
      <c r="B1391" s="6">
        <v>5066</v>
      </c>
      <c r="C1391" s="6" t="s">
        <v>7095</v>
      </c>
      <c r="D1391" s="7" t="s">
        <v>7233</v>
      </c>
      <c r="E1391" s="6" t="s">
        <v>1044</v>
      </c>
      <c r="F1391" s="6" t="s">
        <v>139</v>
      </c>
      <c r="G1391" s="8">
        <v>45410</v>
      </c>
      <c r="H1391" s="6">
        <v>1.34</v>
      </c>
      <c r="I1391" s="6" cm="1">
        <f t="array" ref="I1391">IFERROR(VALUE(TRIM(LEFT(E1391,MIN(FIND({" ";"g";"k";"m";"o"},E1391&amp;" gkmo"))-1))),0)</f>
        <v>500</v>
      </c>
      <c r="J1391" s="6" t="str" cm="1">
        <f t="array" ref="J1391">IFERROR(TRIM(MID(E1391,MIN(FIND({" ";"g";"k";"m";"o"},E1391&amp;" gkmo")),10)),"unknown")</f>
        <v>g e</v>
      </c>
      <c r="K1391" s="6" t="str">
        <f t="shared" si="84"/>
        <v>g</v>
      </c>
      <c r="L1391" s="6" t="str">
        <f t="shared" si="85"/>
        <v>Chabrior, Intermarché</v>
      </c>
      <c r="M1391" s="6" t="str">
        <f t="shared" si="86"/>
        <v>Brioche Tranchée</v>
      </c>
      <c r="N1391" s="6" t="str">
        <f t="shared" si="87"/>
        <v>France</v>
      </c>
    </row>
    <row r="1392" spans="1:14" x14ac:dyDescent="0.25">
      <c r="A1392" s="6" t="s">
        <v>3476</v>
      </c>
      <c r="B1392" s="6">
        <v>10026</v>
      </c>
      <c r="C1392" s="6" t="s">
        <v>7727</v>
      </c>
      <c r="D1392" s="7" t="s">
        <v>3156</v>
      </c>
      <c r="E1392" s="6" t="s">
        <v>14</v>
      </c>
      <c r="F1392" s="6" t="s">
        <v>8001</v>
      </c>
      <c r="G1392" s="8">
        <v>45431</v>
      </c>
      <c r="H1392" s="6">
        <v>18.77</v>
      </c>
      <c r="I1392" s="6" cm="1">
        <f t="array" ref="I1392">IFERROR(VALUE(TRIM(LEFT(E1392,MIN(FIND({" ";"g";"k";"m";"o"},E1392&amp;" gkmo"))-1))),0)</f>
        <v>300</v>
      </c>
      <c r="J1392" s="6" t="str" cm="1">
        <f t="array" ref="J1392">IFERROR(TRIM(MID(E1392,MIN(FIND({" ";"g";"k";"m";"o"},E1392&amp;" gkmo")),10)),"unknown")</f>
        <v>g</v>
      </c>
      <c r="K1392" s="6" t="str">
        <f t="shared" si="84"/>
        <v>g</v>
      </c>
      <c r="L1392" s="6" t="str">
        <f t="shared" si="85"/>
        <v>Pierre Martinet</v>
      </c>
      <c r="M1392" s="6" t="str">
        <f t="shared" si="86"/>
        <v>Ma Salade De Lentilles À  La Lyonnaise</v>
      </c>
      <c r="N1392" s="6" t="str">
        <f t="shared" si="87"/>
        <v>France,France</v>
      </c>
    </row>
    <row r="1393" spans="1:14" x14ac:dyDescent="0.25">
      <c r="A1393" s="6" t="s">
        <v>3477</v>
      </c>
      <c r="B1393" s="6">
        <v>14428</v>
      </c>
      <c r="C1393" s="6" t="s">
        <v>3478</v>
      </c>
      <c r="D1393" s="7" t="s">
        <v>3479</v>
      </c>
      <c r="E1393" s="6" t="s">
        <v>3480</v>
      </c>
      <c r="F1393" s="6" t="s">
        <v>139</v>
      </c>
      <c r="G1393" s="8">
        <v>45527</v>
      </c>
      <c r="H1393" s="6">
        <v>14.13</v>
      </c>
      <c r="I1393" s="6" cm="1">
        <f t="array" ref="I1393">IFERROR(VALUE(TRIM(LEFT(E1393,MIN(FIND({" ";"g";"k";"m";"o"},E1393&amp;" gkmo"))-1))),0)</f>
        <v>160</v>
      </c>
      <c r="J1393" s="6" t="str" cm="1">
        <f t="array" ref="J1393">IFERROR(TRIM(MID(E1393,MIN(FIND({" ";"g";"k";"m";"o"},E1393&amp;" gkmo")),10)),"unknown")</f>
        <v>g (2 * 80</v>
      </c>
      <c r="K1393" s="6" t="str">
        <f t="shared" si="84"/>
        <v>g</v>
      </c>
      <c r="L1393" s="6" t="str">
        <f t="shared" si="85"/>
        <v>Bonne Maman</v>
      </c>
      <c r="M1393" s="6" t="str">
        <f t="shared" si="86"/>
        <v>Coeur Coulant Au Chocolatðÿ«</v>
      </c>
      <c r="N1393" s="6" t="str">
        <f t="shared" si="87"/>
        <v>France</v>
      </c>
    </row>
    <row r="1394" spans="1:14" x14ac:dyDescent="0.25">
      <c r="A1394" s="6" t="s">
        <v>3481</v>
      </c>
      <c r="B1394" s="6">
        <v>8836</v>
      </c>
      <c r="C1394" s="6" t="s">
        <v>7234</v>
      </c>
      <c r="D1394" s="7" t="s">
        <v>2914</v>
      </c>
      <c r="E1394" s="6" t="s">
        <v>7235</v>
      </c>
      <c r="F1394" s="6" t="s">
        <v>139</v>
      </c>
      <c r="G1394" s="8">
        <v>46024</v>
      </c>
      <c r="H1394" s="6">
        <v>13.16</v>
      </c>
      <c r="I1394" s="6" cm="1">
        <f t="array" ref="I1394">IFERROR(VALUE(TRIM(LEFT(E1394,MIN(FIND({" ";"g";"k";"m";"o"},E1394&amp;" gkmo"))-1))),0)</f>
        <v>270</v>
      </c>
      <c r="J1394" s="6" t="str" cm="1">
        <f t="array" ref="J1394">IFERROR(TRIM(MID(E1394,MIN(FIND({" ";"g";"k";"m";"o"},E1394&amp;" gkmo")),10)),"unknown")</f>
        <v>g e / 140</v>
      </c>
      <c r="K1394" s="6" t="str">
        <f t="shared" si="84"/>
        <v>g</v>
      </c>
      <c r="L1394" s="6" t="str">
        <f t="shared" si="85"/>
        <v>Florelli</v>
      </c>
      <c r="M1394" s="6" t="str">
        <f t="shared" si="86"/>
        <v>Tomates Séchées</v>
      </c>
      <c r="N1394" s="6" t="str">
        <f t="shared" si="87"/>
        <v>France</v>
      </c>
    </row>
    <row r="1395" spans="1:14" x14ac:dyDescent="0.25">
      <c r="A1395" s="6" t="s">
        <v>3482</v>
      </c>
      <c r="B1395" s="6">
        <v>7549</v>
      </c>
      <c r="C1395" s="6" t="s">
        <v>7236</v>
      </c>
      <c r="D1395" s="7" t="s">
        <v>3483</v>
      </c>
      <c r="E1395" s="6" t="s">
        <v>10</v>
      </c>
      <c r="F1395" s="6" t="s">
        <v>139</v>
      </c>
      <c r="G1395" s="8">
        <v>45665</v>
      </c>
      <c r="H1395" s="6">
        <v>2.16</v>
      </c>
      <c r="I1395" s="6" cm="1">
        <f t="array" ref="I1395">IFERROR(VALUE(TRIM(LEFT(E1395,MIN(FIND({" ";"g";"k";"m";"o"},E1395&amp;" gkmo"))-1))),0)</f>
        <v>100</v>
      </c>
      <c r="J1395" s="6" t="str" cm="1">
        <f t="array" ref="J1395">IFERROR(TRIM(MID(E1395,MIN(FIND({" ";"g";"k";"m";"o"},E1395&amp;" gkmo")),10)),"unknown")</f>
        <v>g</v>
      </c>
      <c r="K1395" s="6" t="str">
        <f t="shared" si="84"/>
        <v>g</v>
      </c>
      <c r="L1395" s="6" t="str">
        <f t="shared" si="85"/>
        <v>Ferrero,Michel Et Augustin</v>
      </c>
      <c r="M1395" s="6" t="str">
        <f t="shared" si="86"/>
        <v>Petits Sablés Beaufort</v>
      </c>
      <c r="N1395" s="6" t="str">
        <f t="shared" si="87"/>
        <v>France</v>
      </c>
    </row>
    <row r="1396" spans="1:14" x14ac:dyDescent="0.25">
      <c r="A1396" s="6" t="s">
        <v>3484</v>
      </c>
      <c r="B1396" s="6">
        <v>5126</v>
      </c>
      <c r="C1396" s="6" t="s">
        <v>3485</v>
      </c>
      <c r="D1396" s="7" t="s">
        <v>173</v>
      </c>
      <c r="E1396" s="6" t="s">
        <v>1721</v>
      </c>
      <c r="F1396" s="6" t="s">
        <v>7237</v>
      </c>
      <c r="G1396" s="8">
        <v>45529</v>
      </c>
      <c r="H1396" s="6">
        <v>20.440000000000001</v>
      </c>
      <c r="I1396" s="6" cm="1">
        <f t="array" ref="I1396">IFERROR(VALUE(TRIM(LEFT(E1396,MIN(FIND({" ";"g";"k";"m";"o"},E1396&amp;" gkmo"))-1))),0)</f>
        <v>30</v>
      </c>
      <c r="J1396" s="6" t="str" cm="1">
        <f t="array" ref="J1396">IFERROR(TRIM(MID(E1396,MIN(FIND({" ";"g";"k";"m";"o"},E1396&amp;" gkmo")),10)),"unknown")</f>
        <v>g</v>
      </c>
      <c r="K1396" s="6" t="str">
        <f t="shared" si="84"/>
        <v>g</v>
      </c>
      <c r="L1396" s="6" t="str">
        <f t="shared" si="85"/>
        <v>Kinder</v>
      </c>
      <c r="M1396" s="6" t="str">
        <f t="shared" si="86"/>
        <v>Kinder Pingui</v>
      </c>
      <c r="N1396" s="6" t="str">
        <f t="shared" si="87"/>
        <v>Bosnie-Herzégovine,Bulgarie,Croatie,France,Hongrie,Italie,Moldavie,Monténégro,Macédoine Du Nord,Roumanie,Serbie</v>
      </c>
    </row>
    <row r="1397" spans="1:14" x14ac:dyDescent="0.25">
      <c r="A1397" s="6" t="s">
        <v>3486</v>
      </c>
      <c r="B1397" s="6">
        <v>9908</v>
      </c>
      <c r="C1397" s="6" t="s">
        <v>3487</v>
      </c>
      <c r="D1397" s="7" t="s">
        <v>7017</v>
      </c>
      <c r="E1397" s="6"/>
      <c r="F1397" s="6" t="s">
        <v>511</v>
      </c>
      <c r="G1397" s="8">
        <v>45962</v>
      </c>
      <c r="H1397" s="6">
        <v>20.56</v>
      </c>
      <c r="I1397" s="6" cm="1">
        <f t="array" ref="I1397">IFERROR(VALUE(TRIM(LEFT(E1397,MIN(FIND({" ";"g";"k";"m";"o"},E1397&amp;" gkmo"))-1))),0)</f>
        <v>0</v>
      </c>
      <c r="J1397" s="6" t="str" cm="1">
        <f t="array" ref="J1397">IFERROR(TRIM(MID(E1397,MIN(FIND({" ";"g";"k";"m";"o"},E1397&amp;" gkmo")),10)),"unknown")</f>
        <v/>
      </c>
      <c r="K1397" s="6" t="str">
        <f t="shared" si="84"/>
        <v>unknown</v>
      </c>
      <c r="L1397" s="6" t="str">
        <f t="shared" si="85"/>
        <v>Unknown</v>
      </c>
      <c r="M1397" s="6" t="str">
        <f t="shared" si="86"/>
        <v>Flash</v>
      </c>
      <c r="N1397" s="6" t="str">
        <f t="shared" si="87"/>
        <v>France,Morocco</v>
      </c>
    </row>
    <row r="1398" spans="1:14" x14ac:dyDescent="0.25">
      <c r="A1398" s="6" t="s">
        <v>3488</v>
      </c>
      <c r="B1398" s="6">
        <v>13850</v>
      </c>
      <c r="C1398" s="6" t="s">
        <v>3489</v>
      </c>
      <c r="D1398" s="7" t="s">
        <v>3490</v>
      </c>
      <c r="E1398" s="6" t="s">
        <v>1711</v>
      </c>
      <c r="F1398" s="6" t="s">
        <v>48</v>
      </c>
      <c r="G1398" s="8">
        <v>45862</v>
      </c>
      <c r="H1398" s="6">
        <v>19.63</v>
      </c>
      <c r="I1398" s="6" cm="1">
        <f t="array" ref="I1398">IFERROR(VALUE(TRIM(LEFT(E1398,MIN(FIND({" ";"g";"k";"m";"o"},E1398&amp;" gkmo"))-1))),0)</f>
        <v>26</v>
      </c>
      <c r="J1398" s="6" t="str" cm="1">
        <f t="array" ref="J1398">IFERROR(TRIM(MID(E1398,MIN(FIND({" ";"g";"k";"m";"o"},E1398&amp;" gkmo")),10)),"unknown")</f>
        <v>g</v>
      </c>
      <c r="K1398" s="6" t="str">
        <f t="shared" si="84"/>
        <v>g</v>
      </c>
      <c r="L1398" s="6" t="str">
        <f t="shared" si="85"/>
        <v>Alimani</v>
      </c>
      <c r="M1398" s="6" t="str">
        <f t="shared" si="86"/>
        <v>Manyana</v>
      </c>
      <c r="N1398" s="6" t="str">
        <f t="shared" si="87"/>
        <v>Morocco</v>
      </c>
    </row>
    <row r="1399" spans="1:14" x14ac:dyDescent="0.25">
      <c r="A1399" s="6" t="s">
        <v>3491</v>
      </c>
      <c r="B1399" s="6">
        <v>8530</v>
      </c>
      <c r="C1399" s="6" t="s">
        <v>7017</v>
      </c>
      <c r="D1399" s="7" t="s">
        <v>3492</v>
      </c>
      <c r="E1399" s="6" t="s">
        <v>3493</v>
      </c>
      <c r="F1399" s="6" t="s">
        <v>3494</v>
      </c>
      <c r="G1399" s="8">
        <v>45766</v>
      </c>
      <c r="H1399" s="6">
        <v>13.16</v>
      </c>
      <c r="I1399" s="6" cm="1">
        <f t="array" ref="I1399">IFERROR(VALUE(TRIM(LEFT(E1399,MIN(FIND({" ";"g";"k";"m";"o"},E1399&amp;" gkmo"))-1))),0)</f>
        <v>20</v>
      </c>
      <c r="J1399" s="6" t="str" cm="1">
        <f t="array" ref="J1399">IFERROR(TRIM(MID(E1399,MIN(FIND({" ";"g";"k";"m";"o"},E1399&amp;" gkmo")),10)),"unknown")</f>
        <v>cl</v>
      </c>
      <c r="K1399" s="6" t="str">
        <f t="shared" si="84"/>
        <v>unknown</v>
      </c>
      <c r="L1399" s="6" t="str">
        <f t="shared" si="85"/>
        <v>Candia</v>
      </c>
      <c r="M1399" s="6" t="str">
        <f t="shared" si="86"/>
        <v>Unknown</v>
      </c>
      <c r="N1399" s="6" t="str">
        <f t="shared" si="87"/>
        <v>Ø§Ù„Ø¬Ø²Ø§Ø¦Ø±</v>
      </c>
    </row>
    <row r="1400" spans="1:14" x14ac:dyDescent="0.25">
      <c r="A1400" s="6" t="s">
        <v>3495</v>
      </c>
      <c r="B1400" s="6">
        <v>13918</v>
      </c>
      <c r="C1400" s="6" t="s">
        <v>3496</v>
      </c>
      <c r="D1400" s="7" t="s">
        <v>3497</v>
      </c>
      <c r="E1400" s="6" t="s">
        <v>1317</v>
      </c>
      <c r="F1400" s="6" t="s">
        <v>3498</v>
      </c>
      <c r="G1400" s="8">
        <v>45591</v>
      </c>
      <c r="H1400" s="6">
        <v>7.8</v>
      </c>
      <c r="I1400" s="6" cm="1">
        <f t="array" ref="I1400">IFERROR(VALUE(TRIM(LEFT(E1400,MIN(FIND({" ";"g";"k";"m";"o"},E1400&amp;" gkmo"))-1))),0)</f>
        <v>80</v>
      </c>
      <c r="J1400" s="6" t="str" cm="1">
        <f t="array" ref="J1400">IFERROR(TRIM(MID(E1400,MIN(FIND({" ";"g";"k";"m";"o"},E1400&amp;" gkmo")),10)),"unknown")</f>
        <v>g</v>
      </c>
      <c r="K1400" s="6" t="str">
        <f t="shared" si="84"/>
        <v>g</v>
      </c>
      <c r="L1400" s="6" t="str">
        <f t="shared" si="85"/>
        <v>Zweifel Vaya</v>
      </c>
      <c r="M1400" s="6" t="str">
        <f t="shared" si="86"/>
        <v>Bean Salt Snack</v>
      </c>
      <c r="N1400" s="6" t="str">
        <f t="shared" si="87"/>
        <v>Austria,France,Germany,Switzerland</v>
      </c>
    </row>
    <row r="1401" spans="1:14" x14ac:dyDescent="0.25">
      <c r="A1401" s="6" t="s">
        <v>3499</v>
      </c>
      <c r="B1401" s="6">
        <v>8480</v>
      </c>
      <c r="C1401" s="6" t="s">
        <v>3500</v>
      </c>
      <c r="D1401" s="7" t="s">
        <v>135</v>
      </c>
      <c r="E1401" s="6" t="s">
        <v>14</v>
      </c>
      <c r="F1401" s="6" t="s">
        <v>3501</v>
      </c>
      <c r="G1401" s="8">
        <v>45336</v>
      </c>
      <c r="H1401" s="6">
        <v>1.78</v>
      </c>
      <c r="I1401" s="6" cm="1">
        <f t="array" ref="I1401">IFERROR(VALUE(TRIM(LEFT(E1401,MIN(FIND({" ";"g";"k";"m";"o"},E1401&amp;" gkmo"))-1))),0)</f>
        <v>300</v>
      </c>
      <c r="J1401" s="6" t="str" cm="1">
        <f t="array" ref="J1401">IFERROR(TRIM(MID(E1401,MIN(FIND({" ";"g";"k";"m";"o"},E1401&amp;" gkmo")),10)),"unknown")</f>
        <v>g</v>
      </c>
      <c r="K1401" s="6" t="str">
        <f t="shared" si="84"/>
        <v>g</v>
      </c>
      <c r="L1401" s="6" t="str">
        <f t="shared" si="85"/>
        <v>Milka</v>
      </c>
      <c r="M1401" s="6" t="str">
        <f t="shared" si="86"/>
        <v>Caramel Et Noisettes</v>
      </c>
      <c r="N1401" s="6" t="str">
        <f t="shared" si="87"/>
        <v>À¸›À¸£À¸°À¹€À¸—À¸¨À¸À¸£À¸±À¹ˆÀ¸‡À¹€À¸¨À¸ª,À¸›À¸£À¸°À¹€À¸—À¸¨À¹€À¸¢À¸­À¸£À¸¡À¸™À¸µ,À¸›À¸£À¸°À¹€À¸—À¸¨À¸®À¸±À¸‡À¸À¸²À¸£À¸µ,À¸›À¸£À¸°À¹€À¸—À¸¨À¸ªà¹‚À¸¥À¸§À¸²À¹€À¸À¸µà¸¢,À¸›À¸£À¸°À¹€À¸—À¸¨À¸ªà¹€À¸›À¸™,À¸›À¸£À¸°À¹€À¸—À¸¨À¹„À¸—À¸¢ (Thai)</v>
      </c>
    </row>
    <row r="1402" spans="1:14" x14ac:dyDescent="0.25">
      <c r="A1402" s="6" t="s">
        <v>3502</v>
      </c>
      <c r="B1402" s="6">
        <v>11180</v>
      </c>
      <c r="C1402" s="6" t="s">
        <v>7238</v>
      </c>
      <c r="D1402" s="7" t="s">
        <v>7585</v>
      </c>
      <c r="E1402" s="6" t="s">
        <v>151</v>
      </c>
      <c r="F1402" s="6" t="s">
        <v>213</v>
      </c>
      <c r="G1402" s="8">
        <v>45826</v>
      </c>
      <c r="H1402" s="6">
        <v>16.989999999999998</v>
      </c>
      <c r="I1402" s="6" cm="1">
        <f t="array" ref="I1402">IFERROR(VALUE(TRIM(LEFT(E1402,MIN(FIND({" ";"g";"k";"m";"o"},E1402&amp;" gkmo"))-1))),0)</f>
        <v>200</v>
      </c>
      <c r="J1402" s="6" t="str" cm="1">
        <f t="array" ref="J1402">IFERROR(TRIM(MID(E1402,MIN(FIND({" ";"g";"k";"m";"o"},E1402&amp;" gkmo")),10)),"unknown")</f>
        <v>g</v>
      </c>
      <c r="K1402" s="6" t="str">
        <f t="shared" si="84"/>
        <v>g</v>
      </c>
      <c r="L1402" s="6" t="str">
        <f t="shared" si="85"/>
        <v>Cà´Te D'Or</v>
      </c>
      <c r="M1402" s="6" t="str">
        <f t="shared" si="86"/>
        <v>Noir Praliné</v>
      </c>
      <c r="N1402" s="6" t="str">
        <f t="shared" si="87"/>
        <v>Belgium,France</v>
      </c>
    </row>
    <row r="1403" spans="1:14" x14ac:dyDescent="0.25">
      <c r="A1403" s="6" t="s">
        <v>3503</v>
      </c>
      <c r="B1403" s="6">
        <v>6109</v>
      </c>
      <c r="C1403" s="6" t="s">
        <v>7239</v>
      </c>
      <c r="D1403" s="7" t="s">
        <v>7017</v>
      </c>
      <c r="E1403" s="6" t="s">
        <v>1953</v>
      </c>
      <c r="F1403" s="6" t="s">
        <v>717</v>
      </c>
      <c r="G1403" s="8">
        <v>45895</v>
      </c>
      <c r="H1403" s="6">
        <v>13.16</v>
      </c>
      <c r="I1403" s="6" cm="1">
        <f t="array" ref="I1403">IFERROR(VALUE(TRIM(LEFT(E1403,MIN(FIND({" ";"g";"k";"m";"o"},E1403&amp;" gkmo"))-1))),0)</f>
        <v>168</v>
      </c>
      <c r="J1403" s="6" t="str" cm="1">
        <f t="array" ref="J1403">IFERROR(TRIM(MID(E1403,MIN(FIND({" ";"g";"k";"m";"o"},E1403&amp;" gkmo")),10)),"unknown")</f>
        <v>g</v>
      </c>
      <c r="K1403" s="6" t="str">
        <f t="shared" si="84"/>
        <v>g</v>
      </c>
      <c r="L1403" s="6" t="str">
        <f t="shared" si="85"/>
        <v>Unknown</v>
      </c>
      <c r="M1403" s="6" t="str">
        <f t="shared" si="86"/>
        <v>Bouchées Mon Chéri Liqueur Cerise X16 - 168G</v>
      </c>
      <c r="N1403" s="6" t="str">
        <f t="shared" si="87"/>
        <v>France,Germany,Italy,Spain,Switzerland</v>
      </c>
    </row>
    <row r="1404" spans="1:14" x14ac:dyDescent="0.25">
      <c r="A1404" s="6" t="s">
        <v>3504</v>
      </c>
      <c r="B1404" s="6">
        <v>9269</v>
      </c>
      <c r="C1404" s="6" t="s">
        <v>7728</v>
      </c>
      <c r="D1404" s="7" t="s">
        <v>2398</v>
      </c>
      <c r="E1404" s="6"/>
      <c r="F1404" s="6" t="s">
        <v>2545</v>
      </c>
      <c r="G1404" s="8">
        <v>45915</v>
      </c>
      <c r="H1404" s="6">
        <v>2.57</v>
      </c>
      <c r="I1404" s="6" cm="1">
        <f t="array" ref="I1404">IFERROR(VALUE(TRIM(LEFT(E1404,MIN(FIND({" ";"g";"k";"m";"o"},E1404&amp;" gkmo"))-1))),0)</f>
        <v>0</v>
      </c>
      <c r="J1404" s="6" t="str" cm="1">
        <f t="array" ref="J1404">IFERROR(TRIM(MID(E1404,MIN(FIND({" ";"g";"k";"m";"o"},E1404&amp;" gkmo")),10)),"unknown")</f>
        <v/>
      </c>
      <c r="K1404" s="6" t="str">
        <f t="shared" si="84"/>
        <v>unknown</v>
      </c>
      <c r="L1404" s="6" t="str">
        <f t="shared" si="85"/>
        <v>Galbusera</v>
      </c>
      <c r="M1404" s="6" t="str">
        <f t="shared" si="86"/>
        <v>Buonicosà¬ Senza Zuccheri Aggiunti Frollini Classico</v>
      </c>
      <c r="N1404" s="6" t="str">
        <f t="shared" si="87"/>
        <v>France,Italy</v>
      </c>
    </row>
    <row r="1405" spans="1:14" x14ac:dyDescent="0.25">
      <c r="A1405" s="6" t="s">
        <v>3505</v>
      </c>
      <c r="B1405" s="6">
        <v>7417</v>
      </c>
      <c r="C1405" s="6" t="s">
        <v>3506</v>
      </c>
      <c r="D1405" s="7" t="s">
        <v>3507</v>
      </c>
      <c r="E1405" s="6"/>
      <c r="F1405" s="6" t="s">
        <v>3183</v>
      </c>
      <c r="G1405" s="8">
        <v>45845</v>
      </c>
      <c r="H1405" s="6">
        <v>13.16</v>
      </c>
      <c r="I1405" s="6" cm="1">
        <f t="array" ref="I1405">IFERROR(VALUE(TRIM(LEFT(E1405,MIN(FIND({" ";"g";"k";"m";"o"},E1405&amp;" gkmo"))-1))),0)</f>
        <v>0</v>
      </c>
      <c r="J1405" s="6" t="str" cm="1">
        <f t="array" ref="J1405">IFERROR(TRIM(MID(E1405,MIN(FIND({" ";"g";"k";"m";"o"},E1405&amp;" gkmo")),10)),"unknown")</f>
        <v/>
      </c>
      <c r="K1405" s="6" t="str">
        <f t="shared" si="84"/>
        <v>unknown</v>
      </c>
      <c r="L1405" s="6" t="str">
        <f t="shared" si="85"/>
        <v>Nature Valley</v>
      </c>
      <c r="M1405" s="6" t="str">
        <f t="shared" si="86"/>
        <v>Protein Peanut &amp; Chocolate Cereal Bar</v>
      </c>
      <c r="N1405" s="6" t="str">
        <f t="shared" si="87"/>
        <v>France,Germany,United Kingdom</v>
      </c>
    </row>
    <row r="1406" spans="1:14" x14ac:dyDescent="0.25">
      <c r="A1406" s="6" t="s">
        <v>3508</v>
      </c>
      <c r="B1406" s="6">
        <v>10623</v>
      </c>
      <c r="C1406" s="6" t="s">
        <v>3509</v>
      </c>
      <c r="D1406" s="7" t="s">
        <v>2179</v>
      </c>
      <c r="E1406" s="6" t="s">
        <v>335</v>
      </c>
      <c r="F1406" s="6" t="s">
        <v>8035</v>
      </c>
      <c r="G1406" s="8">
        <v>45865</v>
      </c>
      <c r="H1406" s="6">
        <v>21.95</v>
      </c>
      <c r="I1406" s="6" cm="1">
        <f t="array" ref="I1406">IFERROR(VALUE(TRIM(LEFT(E1406,MIN(FIND({" ";"g";"k";"m";"o"},E1406&amp;" gkmo"))-1))),0)</f>
        <v>250</v>
      </c>
      <c r="J1406" s="6" t="str" cm="1">
        <f t="array" ref="J1406">IFERROR(TRIM(MID(E1406,MIN(FIND({" ";"g";"k";"m";"o"},E1406&amp;" gkmo")),10)),"unknown")</f>
        <v>g</v>
      </c>
      <c r="K1406" s="6" t="str">
        <f t="shared" si="84"/>
        <v>g</v>
      </c>
      <c r="L1406" s="6" t="str">
        <f t="shared" si="85"/>
        <v>Valor</v>
      </c>
      <c r="M1406" s="6" t="str">
        <f t="shared" si="86"/>
        <v>Chocolate Puro Con Almendras</v>
      </c>
      <c r="N1406" s="6" t="str">
        <f t="shared" si="87"/>
        <v>France, Spain, Morocco</v>
      </c>
    </row>
    <row r="1407" spans="1:14" x14ac:dyDescent="0.25">
      <c r="A1407" s="6" t="s">
        <v>3510</v>
      </c>
      <c r="B1407" s="6">
        <v>10791</v>
      </c>
      <c r="C1407" s="6" t="s">
        <v>7017</v>
      </c>
      <c r="D1407" s="7" t="s">
        <v>7017</v>
      </c>
      <c r="E1407" s="6" t="s">
        <v>151</v>
      </c>
      <c r="F1407" s="6" t="s">
        <v>2106</v>
      </c>
      <c r="G1407" s="8">
        <v>45493</v>
      </c>
      <c r="H1407" s="6">
        <v>13.16</v>
      </c>
      <c r="I1407" s="6" cm="1">
        <f t="array" ref="I1407">IFERROR(VALUE(TRIM(LEFT(E1407,MIN(FIND({" ";"g";"k";"m";"o"},E1407&amp;" gkmo"))-1))),0)</f>
        <v>200</v>
      </c>
      <c r="J1407" s="6" t="str" cm="1">
        <f t="array" ref="J1407">IFERROR(TRIM(MID(E1407,MIN(FIND({" ";"g";"k";"m";"o"},E1407&amp;" gkmo")),10)),"unknown")</f>
        <v>g</v>
      </c>
      <c r="K1407" s="6" t="str">
        <f t="shared" si="84"/>
        <v>g</v>
      </c>
      <c r="L1407" s="6" t="str">
        <f t="shared" si="85"/>
        <v>Unknown</v>
      </c>
      <c r="M1407" s="6" t="str">
        <f t="shared" si="86"/>
        <v>Unknown</v>
      </c>
      <c r="N1407" s="6" t="str">
        <f t="shared" si="87"/>
        <v>Espanha</v>
      </c>
    </row>
    <row r="1408" spans="1:14" x14ac:dyDescent="0.25">
      <c r="A1408" s="6" t="s">
        <v>3511</v>
      </c>
      <c r="B1408" s="6">
        <v>9167</v>
      </c>
      <c r="C1408" s="6" t="s">
        <v>3512</v>
      </c>
      <c r="D1408" s="7" t="s">
        <v>452</v>
      </c>
      <c r="E1408" s="6" t="s">
        <v>352</v>
      </c>
      <c r="F1408" s="6" t="s">
        <v>7573</v>
      </c>
      <c r="G1408" s="8">
        <v>45858</v>
      </c>
      <c r="H1408" s="6">
        <v>10.8</v>
      </c>
      <c r="I1408" s="6" cm="1">
        <f t="array" ref="I1408">IFERROR(VALUE(TRIM(LEFT(E1408,MIN(FIND({" ";"g";"k";"m";"o"},E1408&amp;" gkmo"))-1))),0)</f>
        <v>170</v>
      </c>
      <c r="J1408" s="6" t="str" cm="1">
        <f t="array" ref="J1408">IFERROR(TRIM(MID(E1408,MIN(FIND({" ";"g";"k";"m";"o"},E1408&amp;" gkmo")),10)),"unknown")</f>
        <v>g</v>
      </c>
      <c r="K1408" s="6" t="str">
        <f t="shared" si="84"/>
        <v>g</v>
      </c>
      <c r="L1408" s="6" t="str">
        <f t="shared" si="85"/>
        <v>Hacendado</v>
      </c>
      <c r="M1408" s="6" t="str">
        <f t="shared" si="86"/>
        <v>Pan Tostado Ajo Y Perejil</v>
      </c>
      <c r="N1408" s="6" t="str">
        <f t="shared" si="87"/>
        <v>Portugal,Espaà±A</v>
      </c>
    </row>
    <row r="1409" spans="1:14" x14ac:dyDescent="0.25">
      <c r="A1409" s="6" t="s">
        <v>3513</v>
      </c>
      <c r="B1409" s="6">
        <v>12975</v>
      </c>
      <c r="C1409" s="6" t="s">
        <v>3514</v>
      </c>
      <c r="D1409" s="7" t="s">
        <v>7017</v>
      </c>
      <c r="E1409" s="6"/>
      <c r="F1409" s="6" t="s">
        <v>7919</v>
      </c>
      <c r="G1409" s="8">
        <v>45382</v>
      </c>
      <c r="H1409" s="6">
        <v>17.52</v>
      </c>
      <c r="I1409" s="6" cm="1">
        <f t="array" ref="I1409">IFERROR(VALUE(TRIM(LEFT(E1409,MIN(FIND({" ";"g";"k";"m";"o"},E1409&amp;" gkmo"))-1))),0)</f>
        <v>0</v>
      </c>
      <c r="J1409" s="6" t="str" cm="1">
        <f t="array" ref="J1409">IFERROR(TRIM(MID(E1409,MIN(FIND({" ";"g";"k";"m";"o"},E1409&amp;" gkmo")),10)),"unknown")</f>
        <v/>
      </c>
      <c r="K1409" s="6" t="str">
        <f t="shared" si="84"/>
        <v>unknown</v>
      </c>
      <c r="L1409" s="6" t="str">
        <f t="shared" si="85"/>
        <v>Unknown</v>
      </c>
      <c r="M1409" s="6" t="str">
        <f t="shared" si="86"/>
        <v>Conikos Barbecue</v>
      </c>
      <c r="N1409" s="6" t="str">
        <f t="shared" si="87"/>
        <v>France, Morocco</v>
      </c>
    </row>
    <row r="1410" spans="1:14" x14ac:dyDescent="0.25">
      <c r="A1410" s="6" t="s">
        <v>3515</v>
      </c>
      <c r="B1410" s="6">
        <v>10573</v>
      </c>
      <c r="C1410" s="6" t="s">
        <v>3516</v>
      </c>
      <c r="D1410" s="7" t="s">
        <v>310</v>
      </c>
      <c r="E1410" s="6" t="s">
        <v>197</v>
      </c>
      <c r="F1410" s="6" t="s">
        <v>139</v>
      </c>
      <c r="G1410" s="8">
        <v>45747</v>
      </c>
      <c r="H1410" s="6">
        <v>19.96</v>
      </c>
      <c r="I1410" s="6" cm="1">
        <f t="array" ref="I1410">IFERROR(VALUE(TRIM(LEFT(E1410,MIN(FIND({" ";"g";"k";"m";"o"},E1410&amp;" gkmo"))-1))),0)</f>
        <v>130</v>
      </c>
      <c r="J1410" s="6" t="str" cm="1">
        <f t="array" ref="J1410">IFERROR(TRIM(MID(E1410,MIN(FIND({" ";"g";"k";"m";"o"},E1410&amp;" gkmo")),10)),"unknown")</f>
        <v>g</v>
      </c>
      <c r="K1410" s="6" t="str">
        <f t="shared" si="84"/>
        <v>g</v>
      </c>
      <c r="L1410" s="6" t="str">
        <f t="shared" si="85"/>
        <v>St Michel</v>
      </c>
      <c r="M1410" s="6" t="str">
        <f t="shared" si="86"/>
        <v>Galettes Au Bon Beurre Bio</v>
      </c>
      <c r="N1410" s="6" t="str">
        <f t="shared" si="87"/>
        <v>France</v>
      </c>
    </row>
    <row r="1411" spans="1:14" x14ac:dyDescent="0.25">
      <c r="A1411" s="6" t="s">
        <v>3517</v>
      </c>
      <c r="B1411" s="6">
        <v>13262</v>
      </c>
      <c r="C1411" s="6" t="s">
        <v>3518</v>
      </c>
      <c r="D1411" s="7" t="s">
        <v>3419</v>
      </c>
      <c r="E1411" s="6" t="s">
        <v>840</v>
      </c>
      <c r="F1411" s="6" t="s">
        <v>3519</v>
      </c>
      <c r="G1411" s="8">
        <v>45702</v>
      </c>
      <c r="H1411" s="6">
        <v>18.649999999999999</v>
      </c>
      <c r="I1411" s="6" cm="1">
        <f t="array" ref="I1411">IFERROR(VALUE(TRIM(LEFT(E1411,MIN(FIND({" ";"g";"k";"m";"o"},E1411&amp;" gkmo"))-1))),0)</f>
        <v>175</v>
      </c>
      <c r="J1411" s="6" t="str" cm="1">
        <f t="array" ref="J1411">IFERROR(TRIM(MID(E1411,MIN(FIND({" ";"g";"k";"m";"o"},E1411&amp;" gkmo")),10)),"unknown")</f>
        <v>g</v>
      </c>
      <c r="K1411" s="6" t="str">
        <f t="shared" ref="K1411:K1474" si="88">IF(E1411="","unknown",IF(OR(J1411="g",LEFT(J1411,1)="g"),"g",IF(OR(LEFT(J1411,2)="kg",LEFT(J1411,2)="ki"),"kg",IF(OR(LEFT(J1411,2)="ml",LEFT(J1411,1)="m"),"ml",IF(LEFT(J1411,1)="l","l",IF(ISNUMBER(SEARCH("g",E1411)),"g",IF(ISNUMBER(SEARCH("kg",E1411)),"kg",IF(ISNUMBER(SEARCH("ml",E1411)),"ml","unknown"))))))))</f>
        <v>g</v>
      </c>
      <c r="L1411" s="6" t="str">
        <f t="shared" ref="L1411:L1474" si="89">IF(D1411="","Unknown",PROPER(TRIM(D1411)))</f>
        <v>Haribo</v>
      </c>
      <c r="M1411" s="6" t="str">
        <f t="shared" ref="M1411:M1474" si="90">IF(C1411="Unknown","Unknown",PROPER(TRIM(C1411)))</f>
        <v>Starmix</v>
      </c>
      <c r="N1411" s="6" t="str">
        <f t="shared" ref="N1411:N1474" si="91">IF(F1411="","Unknown",PROPER(TRIM(F1411)))</f>
        <v>Canada,France,United Kingdom</v>
      </c>
    </row>
    <row r="1412" spans="1:14" x14ac:dyDescent="0.25">
      <c r="A1412" s="6" t="s">
        <v>3520</v>
      </c>
      <c r="B1412" s="6">
        <v>10825</v>
      </c>
      <c r="C1412" s="6" t="s">
        <v>3521</v>
      </c>
      <c r="D1412" s="7" t="s">
        <v>3522</v>
      </c>
      <c r="E1412" s="6" t="s">
        <v>10</v>
      </c>
      <c r="F1412" s="6" t="s">
        <v>3523</v>
      </c>
      <c r="G1412" s="8">
        <v>45610</v>
      </c>
      <c r="H1412" s="6">
        <v>17.649999999999999</v>
      </c>
      <c r="I1412" s="6" cm="1">
        <f t="array" ref="I1412">IFERROR(VALUE(TRIM(LEFT(E1412,MIN(FIND({" ";"g";"k";"m";"o"},E1412&amp;" gkmo"))-1))),0)</f>
        <v>100</v>
      </c>
      <c r="J1412" s="6" t="str" cm="1">
        <f t="array" ref="J1412">IFERROR(TRIM(MID(E1412,MIN(FIND({" ";"g";"k";"m";"o"},E1412&amp;" gkmo")),10)),"unknown")</f>
        <v>g</v>
      </c>
      <c r="K1412" s="6" t="str">
        <f t="shared" si="88"/>
        <v>g</v>
      </c>
      <c r="L1412" s="6" t="str">
        <f t="shared" si="89"/>
        <v>Aldi,Choceur,Wiha</v>
      </c>
      <c r="M1412" s="6" t="str">
        <f t="shared" si="90"/>
        <v>Nussknacker - Vollmilchschokolade</v>
      </c>
      <c r="N1412" s="6" t="str">
        <f t="shared" si="91"/>
        <v>Germany,Morocco,Romania</v>
      </c>
    </row>
    <row r="1413" spans="1:14" x14ac:dyDescent="0.25">
      <c r="A1413" s="6" t="s">
        <v>3524</v>
      </c>
      <c r="B1413" s="6">
        <v>10902</v>
      </c>
      <c r="C1413" s="6" t="s">
        <v>3525</v>
      </c>
      <c r="D1413" s="7" t="s">
        <v>7017</v>
      </c>
      <c r="E1413" s="6"/>
      <c r="F1413" s="6" t="s">
        <v>7926</v>
      </c>
      <c r="G1413" s="8">
        <v>45654</v>
      </c>
      <c r="H1413" s="6">
        <v>9.4499999999999993</v>
      </c>
      <c r="I1413" s="6" cm="1">
        <f t="array" ref="I1413">IFERROR(VALUE(TRIM(LEFT(E1413,MIN(FIND({" ";"g";"k";"m";"o"},E1413&amp;" gkmo"))-1))),0)</f>
        <v>0</v>
      </c>
      <c r="J1413" s="6" t="str" cm="1">
        <f t="array" ref="J1413">IFERROR(TRIM(MID(E1413,MIN(FIND({" ";"g";"k";"m";"o"},E1413&amp;" gkmo")),10)),"unknown")</f>
        <v/>
      </c>
      <c r="K1413" s="6" t="str">
        <f t="shared" si="88"/>
        <v>unknown</v>
      </c>
      <c r="L1413" s="6" t="str">
        <f t="shared" si="89"/>
        <v>Unknown</v>
      </c>
      <c r="M1413" s="6" t="str">
        <f t="shared" si="90"/>
        <v>Kiddylicious Fruity Bakes - Fraise - 132G (6X1P)</v>
      </c>
      <c r="N1413" s="6" t="str">
        <f t="shared" si="91"/>
        <v>France, United-Kingdom</v>
      </c>
    </row>
    <row r="1414" spans="1:14" x14ac:dyDescent="0.25">
      <c r="A1414" s="6" t="s">
        <v>3526</v>
      </c>
      <c r="B1414" s="6">
        <v>7269</v>
      </c>
      <c r="C1414" s="6" t="s">
        <v>7240</v>
      </c>
      <c r="D1414" s="7" t="s">
        <v>72</v>
      </c>
      <c r="E1414" s="6" t="s">
        <v>197</v>
      </c>
      <c r="F1414" s="6" t="s">
        <v>139</v>
      </c>
      <c r="G1414" s="8">
        <v>45919</v>
      </c>
      <c r="H1414" s="6">
        <v>1.73</v>
      </c>
      <c r="I1414" s="6" cm="1">
        <f t="array" ref="I1414">IFERROR(VALUE(TRIM(LEFT(E1414,MIN(FIND({" ";"g";"k";"m";"o"},E1414&amp;" gkmo"))-1))),0)</f>
        <v>130</v>
      </c>
      <c r="J1414" s="6" t="str" cm="1">
        <f t="array" ref="J1414">IFERROR(TRIM(MID(E1414,MIN(FIND({" ";"g";"k";"m";"o"},E1414&amp;" gkmo")),10)),"unknown")</f>
        <v>g</v>
      </c>
      <c r="K1414" s="6" t="str">
        <f t="shared" si="88"/>
        <v>g</v>
      </c>
      <c r="L1414" s="6" t="str">
        <f t="shared" si="89"/>
        <v>Bjorg</v>
      </c>
      <c r="M1414" s="6" t="str">
        <f t="shared" si="90"/>
        <v>Avoine Sésame</v>
      </c>
      <c r="N1414" s="6" t="str">
        <f t="shared" si="91"/>
        <v>France</v>
      </c>
    </row>
    <row r="1415" spans="1:14" x14ac:dyDescent="0.25">
      <c r="A1415" s="6" t="s">
        <v>3527</v>
      </c>
      <c r="B1415" s="6">
        <v>11470</v>
      </c>
      <c r="C1415" s="6" t="s">
        <v>3528</v>
      </c>
      <c r="D1415" s="7" t="s">
        <v>3529</v>
      </c>
      <c r="E1415" s="6" t="s">
        <v>3530</v>
      </c>
      <c r="F1415" s="6" t="s">
        <v>177</v>
      </c>
      <c r="G1415" s="8">
        <v>45354</v>
      </c>
      <c r="H1415" s="6">
        <v>13.16</v>
      </c>
      <c r="I1415" s="6" cm="1">
        <f t="array" ref="I1415">IFERROR(VALUE(TRIM(LEFT(E1415,MIN(FIND({" ";"g";"k";"m";"o"},E1415&amp;" gkmo"))-1))),0)</f>
        <v>1</v>
      </c>
      <c r="J1415" s="6" t="str" cm="1">
        <f t="array" ref="J1415">IFERROR(TRIM(MID(E1415,MIN(FIND({" ";"g";"k";"m";"o"},E1415&amp;" gkmo")),10)),"unknown")</f>
        <v>kg</v>
      </c>
      <c r="K1415" s="6" t="str">
        <f t="shared" si="88"/>
        <v>kg</v>
      </c>
      <c r="L1415" s="6" t="str">
        <f t="shared" si="89"/>
        <v>Mccain</v>
      </c>
      <c r="M1415" s="6" t="str">
        <f t="shared" si="90"/>
        <v>Home Chip</v>
      </c>
      <c r="N1415" s="6" t="str">
        <f t="shared" si="91"/>
        <v>United Kingdom</v>
      </c>
    </row>
    <row r="1416" spans="1:14" x14ac:dyDescent="0.25">
      <c r="A1416" s="6" t="s">
        <v>3531</v>
      </c>
      <c r="B1416" s="6">
        <v>12895</v>
      </c>
      <c r="C1416" s="6" t="s">
        <v>3532</v>
      </c>
      <c r="D1416" s="7" t="s">
        <v>13</v>
      </c>
      <c r="E1416" s="6" t="s">
        <v>2081</v>
      </c>
      <c r="F1416" s="6" t="s">
        <v>139</v>
      </c>
      <c r="G1416" s="8">
        <v>45612</v>
      </c>
      <c r="H1416" s="6">
        <v>10.33</v>
      </c>
      <c r="I1416" s="6" cm="1">
        <f t="array" ref="I1416">IFERROR(VALUE(TRIM(LEFT(E1416,MIN(FIND({" ";"g";"k";"m";"o"},E1416&amp;" gkmo"))-1))),0)</f>
        <v>120</v>
      </c>
      <c r="J1416" s="6" t="str" cm="1">
        <f t="array" ref="J1416">IFERROR(TRIM(MID(E1416,MIN(FIND({" ";"g";"k";"m";"o"},E1416&amp;" gkmo")),10)),"unknown")</f>
        <v>g</v>
      </c>
      <c r="K1416" s="6" t="str">
        <f t="shared" si="88"/>
        <v>g</v>
      </c>
      <c r="L1416" s="6" t="str">
        <f t="shared" si="89"/>
        <v>Lu</v>
      </c>
      <c r="M1416" s="6" t="str">
        <f t="shared" si="90"/>
        <v>Grany - Envie De Nuts</v>
      </c>
      <c r="N1416" s="6" t="str">
        <f t="shared" si="91"/>
        <v>France</v>
      </c>
    </row>
    <row r="1417" spans="1:14" x14ac:dyDescent="0.25">
      <c r="A1417" s="6" t="s">
        <v>3533</v>
      </c>
      <c r="B1417" s="6">
        <v>13306</v>
      </c>
      <c r="C1417" s="6" t="s">
        <v>7241</v>
      </c>
      <c r="D1417" s="7" t="s">
        <v>3534</v>
      </c>
      <c r="E1417" s="6" t="s">
        <v>855</v>
      </c>
      <c r="F1417" s="6" t="s">
        <v>8059</v>
      </c>
      <c r="G1417" s="8">
        <v>45753</v>
      </c>
      <c r="H1417" s="6">
        <v>10.74</v>
      </c>
      <c r="I1417" s="6" cm="1">
        <f t="array" ref="I1417">IFERROR(VALUE(TRIM(LEFT(E1417,MIN(FIND({" ";"g";"k";"m";"o"},E1417&amp;" gkmo"))-1))),0)</f>
        <v>80</v>
      </c>
      <c r="J1417" s="6" t="str" cm="1">
        <f t="array" ref="J1417">IFERROR(TRIM(MID(E1417,MIN(FIND({" ";"g";"k";"m";"o"},E1417&amp;" gkmo")),10)),"unknown")</f>
        <v>g</v>
      </c>
      <c r="K1417" s="6" t="str">
        <f t="shared" si="88"/>
        <v>g</v>
      </c>
      <c r="L1417" s="6" t="str">
        <f t="shared" si="89"/>
        <v>N.A ! Nature Addicts</v>
      </c>
      <c r="M1417" s="6" t="str">
        <f t="shared" si="90"/>
        <v>Tortilla Pops Finement Salé</v>
      </c>
      <c r="N1417" s="6" t="str">
        <f t="shared" si="91"/>
        <v>France, United States, Morocco</v>
      </c>
    </row>
    <row r="1418" spans="1:14" x14ac:dyDescent="0.25">
      <c r="A1418" s="6" t="s">
        <v>3535</v>
      </c>
      <c r="B1418" s="6">
        <v>5136</v>
      </c>
      <c r="C1418" s="6" t="s">
        <v>3536</v>
      </c>
      <c r="D1418" s="7" t="s">
        <v>3537</v>
      </c>
      <c r="E1418" s="6" t="s">
        <v>291</v>
      </c>
      <c r="F1418" s="6" t="s">
        <v>177</v>
      </c>
      <c r="G1418" s="8">
        <v>45458</v>
      </c>
      <c r="H1418" s="6">
        <v>13.16</v>
      </c>
      <c r="I1418" s="6" cm="1">
        <f t="array" ref="I1418">IFERROR(VALUE(TRIM(LEFT(E1418,MIN(FIND({" ";"g";"k";"m";"o"},E1418&amp;" gkmo"))-1))),0)</f>
        <v>140</v>
      </c>
      <c r="J1418" s="6" t="str" cm="1">
        <f t="array" ref="J1418">IFERROR(TRIM(MID(E1418,MIN(FIND({" ";"g";"k";"m";"o"},E1418&amp;" gkmo")),10)),"unknown")</f>
        <v>g</v>
      </c>
      <c r="K1418" s="6" t="str">
        <f t="shared" si="88"/>
        <v>g</v>
      </c>
      <c r="L1418" s="6" t="str">
        <f t="shared" si="89"/>
        <v>Candy Kittens</v>
      </c>
      <c r="M1418" s="6" t="str">
        <f t="shared" si="90"/>
        <v>Wild Strawberry Gourmet Sweets</v>
      </c>
      <c r="N1418" s="6" t="str">
        <f t="shared" si="91"/>
        <v>United Kingdom</v>
      </c>
    </row>
    <row r="1419" spans="1:14" x14ac:dyDescent="0.25">
      <c r="A1419" s="6" t="s">
        <v>3538</v>
      </c>
      <c r="B1419" s="6">
        <v>5207</v>
      </c>
      <c r="C1419" s="6" t="s">
        <v>3539</v>
      </c>
      <c r="D1419" s="7" t="s">
        <v>3540</v>
      </c>
      <c r="E1419" s="6" t="s">
        <v>1687</v>
      </c>
      <c r="F1419" s="6" t="s">
        <v>213</v>
      </c>
      <c r="G1419" s="8">
        <v>45863</v>
      </c>
      <c r="H1419" s="6">
        <v>22.83</v>
      </c>
      <c r="I1419" s="6" cm="1">
        <f t="array" ref="I1419">IFERROR(VALUE(TRIM(LEFT(E1419,MIN(FIND({" ";"g";"k";"m";"o"},E1419&amp;" gkmo"))-1))),0)</f>
        <v>85</v>
      </c>
      <c r="J1419" s="6" t="str" cm="1">
        <f t="array" ref="J1419">IFERROR(TRIM(MID(E1419,MIN(FIND({" ";"g";"k";"m";"o"},E1419&amp;" gkmo")),10)),"unknown")</f>
        <v>g</v>
      </c>
      <c r="K1419" s="6" t="str">
        <f t="shared" si="88"/>
        <v>g</v>
      </c>
      <c r="L1419" s="6" t="str">
        <f t="shared" si="89"/>
        <v>Nature Addict</v>
      </c>
      <c r="M1419" s="6" t="str">
        <f t="shared" si="90"/>
        <v>Rice Cracker Paprika</v>
      </c>
      <c r="N1419" s="6" t="str">
        <f t="shared" si="91"/>
        <v>Belgium,France</v>
      </c>
    </row>
    <row r="1420" spans="1:14" x14ac:dyDescent="0.25">
      <c r="A1420" s="6" t="s">
        <v>3541</v>
      </c>
      <c r="B1420" s="6">
        <v>14354</v>
      </c>
      <c r="C1420" s="6" t="s">
        <v>3542</v>
      </c>
      <c r="D1420" s="7" t="s">
        <v>1010</v>
      </c>
      <c r="E1420" s="6"/>
      <c r="F1420" s="6" t="s">
        <v>2973</v>
      </c>
      <c r="G1420" s="8">
        <v>45499</v>
      </c>
      <c r="H1420" s="6">
        <v>21.16</v>
      </c>
      <c r="I1420" s="6" cm="1">
        <f t="array" ref="I1420">IFERROR(VALUE(TRIM(LEFT(E1420,MIN(FIND({" ";"g";"k";"m";"o"},E1420&amp;" gkmo"))-1))),0)</f>
        <v>0</v>
      </c>
      <c r="J1420" s="6" t="str" cm="1">
        <f t="array" ref="J1420">IFERROR(TRIM(MID(E1420,MIN(FIND({" ";"g";"k";"m";"o"},E1420&amp;" gkmo")),10)),"unknown")</f>
        <v/>
      </c>
      <c r="K1420" s="6" t="str">
        <f t="shared" si="88"/>
        <v>unknown</v>
      </c>
      <c r="L1420" s="6" t="str">
        <f t="shared" si="89"/>
        <v>Manomasa</v>
      </c>
      <c r="M1420" s="6" t="str">
        <f t="shared" si="90"/>
        <v>Serrano Cholli &amp; Yucatan Honey</v>
      </c>
      <c r="N1420" s="6" t="str">
        <f t="shared" si="91"/>
        <v>Gb</v>
      </c>
    </row>
    <row r="1421" spans="1:14" x14ac:dyDescent="0.25">
      <c r="A1421" s="6" t="s">
        <v>3543</v>
      </c>
      <c r="B1421" s="6">
        <v>6011</v>
      </c>
      <c r="C1421" s="6" t="s">
        <v>7242</v>
      </c>
      <c r="D1421" s="7" t="s">
        <v>3544</v>
      </c>
      <c r="E1421" s="6" t="s">
        <v>10</v>
      </c>
      <c r="F1421" s="6" t="s">
        <v>139</v>
      </c>
      <c r="G1421" s="8">
        <v>45687</v>
      </c>
      <c r="H1421" s="6">
        <v>24.49</v>
      </c>
      <c r="I1421" s="6" cm="1">
        <f t="array" ref="I1421">IFERROR(VALUE(TRIM(LEFT(E1421,MIN(FIND({" ";"g";"k";"m";"o"},E1421&amp;" gkmo"))-1))),0)</f>
        <v>100</v>
      </c>
      <c r="J1421" s="6" t="str" cm="1">
        <f t="array" ref="J1421">IFERROR(TRIM(MID(E1421,MIN(FIND({" ";"g";"k";"m";"o"},E1421&amp;" gkmo")),10)),"unknown")</f>
        <v>g</v>
      </c>
      <c r="K1421" s="6" t="str">
        <f t="shared" si="88"/>
        <v>g</v>
      </c>
      <c r="L1421" s="6" t="str">
        <f t="shared" si="89"/>
        <v>Krokola, Merveilles Du Monde</v>
      </c>
      <c r="M1421" s="6" t="str">
        <f t="shared" si="90"/>
        <v>Tablette Noir Noisettes Et Amandes Pilées</v>
      </c>
      <c r="N1421" s="6" t="str">
        <f t="shared" si="91"/>
        <v>France</v>
      </c>
    </row>
    <row r="1422" spans="1:14" x14ac:dyDescent="0.25">
      <c r="A1422" s="6" t="s">
        <v>3545</v>
      </c>
      <c r="B1422" s="6">
        <v>12786</v>
      </c>
      <c r="C1422" s="6" t="s">
        <v>3546</v>
      </c>
      <c r="D1422" s="7" t="s">
        <v>3547</v>
      </c>
      <c r="E1422" s="6" t="s">
        <v>504</v>
      </c>
      <c r="F1422" s="6" t="s">
        <v>2973</v>
      </c>
      <c r="G1422" s="8">
        <v>45719</v>
      </c>
      <c r="H1422" s="6">
        <v>3.1</v>
      </c>
      <c r="I1422" s="6" cm="1">
        <f t="array" ref="I1422">IFERROR(VALUE(TRIM(LEFT(E1422,MIN(FIND({" ";"g";"k";"m";"o"},E1422&amp;" gkmo"))-1))),0)</f>
        <v>400</v>
      </c>
      <c r="J1422" s="6" t="str" cm="1">
        <f t="array" ref="J1422">IFERROR(TRIM(MID(E1422,MIN(FIND({" ";"g";"k";"m";"o"},E1422&amp;" gkmo")),10)),"unknown")</f>
        <v>g</v>
      </c>
      <c r="K1422" s="6" t="str">
        <f t="shared" si="88"/>
        <v>g</v>
      </c>
      <c r="L1422" s="6" t="str">
        <f t="shared" si="89"/>
        <v>Kellogg'S</v>
      </c>
      <c r="M1422" s="6" t="str">
        <f t="shared" si="90"/>
        <v>Crunchy Nut Clusters Chocolate</v>
      </c>
      <c r="N1422" s="6" t="str">
        <f t="shared" si="91"/>
        <v>Gb</v>
      </c>
    </row>
    <row r="1423" spans="1:14" x14ac:dyDescent="0.25">
      <c r="A1423" s="6" t="s">
        <v>3548</v>
      </c>
      <c r="B1423" s="6">
        <v>8754</v>
      </c>
      <c r="C1423" s="6" t="s">
        <v>7486</v>
      </c>
      <c r="D1423" s="7" t="s">
        <v>3549</v>
      </c>
      <c r="E1423" s="6"/>
      <c r="F1423" s="6" t="s">
        <v>48</v>
      </c>
      <c r="G1423" s="8">
        <v>46035</v>
      </c>
      <c r="H1423" s="6">
        <v>6.75</v>
      </c>
      <c r="I1423" s="6" cm="1">
        <f t="array" ref="I1423">IFERROR(VALUE(TRIM(LEFT(E1423,MIN(FIND({" ";"g";"k";"m";"o"},E1423&amp;" gkmo"))-1))),0)</f>
        <v>0</v>
      </c>
      <c r="J1423" s="6" t="str" cm="1">
        <f t="array" ref="J1423">IFERROR(TRIM(MID(E1423,MIN(FIND({" ";"g";"k";"m";"o"},E1423&amp;" gkmo")),10)),"unknown")</f>
        <v/>
      </c>
      <c r="K1423" s="6" t="str">
        <f t="shared" si="88"/>
        <v>unknown</v>
      </c>
      <c r="L1423" s="6" t="str">
        <f t="shared" si="89"/>
        <v>Leka</v>
      </c>
      <c r="M1423" s="6" t="str">
        <f t="shared" si="90"/>
        <v>Gaufrette Fourrée Chocolat &amp; Cacahuètes</v>
      </c>
      <c r="N1423" s="6" t="str">
        <f t="shared" si="91"/>
        <v>Morocco</v>
      </c>
    </row>
    <row r="1424" spans="1:14" x14ac:dyDescent="0.25">
      <c r="A1424" s="6" t="s">
        <v>3550</v>
      </c>
      <c r="B1424" s="6">
        <v>12887</v>
      </c>
      <c r="C1424" s="6" t="s">
        <v>2075</v>
      </c>
      <c r="D1424" s="7" t="s">
        <v>1205</v>
      </c>
      <c r="E1424" s="6" t="s">
        <v>352</v>
      </c>
      <c r="F1424" s="6" t="s">
        <v>177</v>
      </c>
      <c r="G1424" s="8">
        <v>45690</v>
      </c>
      <c r="H1424" s="6">
        <v>12.53</v>
      </c>
      <c r="I1424" s="6" cm="1">
        <f t="array" ref="I1424">IFERROR(VALUE(TRIM(LEFT(E1424,MIN(FIND({" ";"g";"k";"m";"o"},E1424&amp;" gkmo"))-1))),0)</f>
        <v>170</v>
      </c>
      <c r="J1424" s="6" t="str" cm="1">
        <f t="array" ref="J1424">IFERROR(TRIM(MID(E1424,MIN(FIND({" ";"g";"k";"m";"o"},E1424&amp;" gkmo")),10)),"unknown")</f>
        <v>g</v>
      </c>
      <c r="K1424" s="6" t="str">
        <f t="shared" si="88"/>
        <v>g</v>
      </c>
      <c r="L1424" s="6" t="str">
        <f t="shared" si="89"/>
        <v>Savour Bakes</v>
      </c>
      <c r="M1424" s="6" t="str">
        <f t="shared" si="90"/>
        <v>Multigrain Crackers</v>
      </c>
      <c r="N1424" s="6" t="str">
        <f t="shared" si="91"/>
        <v>United Kingdom</v>
      </c>
    </row>
    <row r="1425" spans="1:14" x14ac:dyDescent="0.25">
      <c r="A1425" s="6" t="s">
        <v>3551</v>
      </c>
      <c r="B1425" s="6">
        <v>9544</v>
      </c>
      <c r="C1425" s="6" t="s">
        <v>3552</v>
      </c>
      <c r="D1425" s="7" t="s">
        <v>3553</v>
      </c>
      <c r="E1425" s="6" t="s">
        <v>3554</v>
      </c>
      <c r="F1425" s="6" t="s">
        <v>3555</v>
      </c>
      <c r="G1425" s="8">
        <v>45401</v>
      </c>
      <c r="H1425" s="6">
        <v>13.16</v>
      </c>
      <c r="I1425" s="6" cm="1">
        <f t="array" ref="I1425">IFERROR(VALUE(TRIM(LEFT(E1425,MIN(FIND({" ";"g";"k";"m";"o"},E1425&amp;" gkmo"))-1))),0)</f>
        <v>740</v>
      </c>
      <c r="J1425" s="6" t="str" cm="1">
        <f t="array" ref="J1425">IFERROR(TRIM(MID(E1425,MIN(FIND({" ";"g";"k";"m";"o"},E1425&amp;" gkmo")),10)),"unknown")</f>
        <v>g</v>
      </c>
      <c r="K1425" s="6" t="str">
        <f t="shared" si="88"/>
        <v>g</v>
      </c>
      <c r="L1425" s="6" t="str">
        <f t="shared" si="89"/>
        <v>Snack Day,Tastino</v>
      </c>
      <c r="M1425" s="6" t="str">
        <f t="shared" si="90"/>
        <v>Tortilla Wraps</v>
      </c>
      <c r="N1425" s="6" t="str">
        <f t="shared" si="91"/>
        <v>Bulgaria,France,Romania,Spain,Czech Republic</v>
      </c>
    </row>
    <row r="1426" spans="1:14" x14ac:dyDescent="0.25">
      <c r="A1426" s="6" t="s">
        <v>3556</v>
      </c>
      <c r="B1426" s="6">
        <v>6779</v>
      </c>
      <c r="C1426" s="6" t="s">
        <v>7017</v>
      </c>
      <c r="D1426" s="7" t="s">
        <v>7017</v>
      </c>
      <c r="E1426" s="6"/>
      <c r="F1426" s="6" t="s">
        <v>48</v>
      </c>
      <c r="G1426" s="8">
        <v>45696</v>
      </c>
      <c r="H1426" s="6">
        <v>13.16</v>
      </c>
      <c r="I1426" s="6" cm="1">
        <f t="array" ref="I1426">IFERROR(VALUE(TRIM(LEFT(E1426,MIN(FIND({" ";"g";"k";"m";"o"},E1426&amp;" gkmo"))-1))),0)</f>
        <v>0</v>
      </c>
      <c r="J1426" s="6" t="str" cm="1">
        <f t="array" ref="J1426">IFERROR(TRIM(MID(E1426,MIN(FIND({" ";"g";"k";"m";"o"},E1426&amp;" gkmo")),10)),"unknown")</f>
        <v/>
      </c>
      <c r="K1426" s="6" t="str">
        <f t="shared" si="88"/>
        <v>unknown</v>
      </c>
      <c r="L1426" s="6" t="str">
        <f t="shared" si="89"/>
        <v>Unknown</v>
      </c>
      <c r="M1426" s="6" t="str">
        <f t="shared" si="90"/>
        <v>Unknown</v>
      </c>
      <c r="N1426" s="6" t="str">
        <f t="shared" si="91"/>
        <v>Morocco</v>
      </c>
    </row>
    <row r="1427" spans="1:14" x14ac:dyDescent="0.25">
      <c r="A1427" s="6" t="s">
        <v>3557</v>
      </c>
      <c r="B1427" s="6">
        <v>7630</v>
      </c>
      <c r="C1427" s="6" t="s">
        <v>1529</v>
      </c>
      <c r="D1427" s="7" t="s">
        <v>1529</v>
      </c>
      <c r="E1427" s="6" t="s">
        <v>3558</v>
      </c>
      <c r="F1427" s="6" t="s">
        <v>511</v>
      </c>
      <c r="G1427" s="8">
        <v>45897</v>
      </c>
      <c r="H1427" s="6">
        <v>3.51</v>
      </c>
      <c r="I1427" s="6" cm="1">
        <f t="array" ref="I1427">IFERROR(VALUE(TRIM(LEFT(E1427,MIN(FIND({" ";"g";"k";"m";"o"},E1427&amp;" gkmo"))-1))),0)</f>
        <v>51</v>
      </c>
      <c r="J1427" s="6" t="str" cm="1">
        <f t="array" ref="J1427">IFERROR(TRIM(MID(E1427,MIN(FIND({" ";"g";"k";"m";"o"},E1427&amp;" gkmo")),10)),"unknown")</f>
        <v>g</v>
      </c>
      <c r="K1427" s="6" t="str">
        <f t="shared" si="88"/>
        <v>g</v>
      </c>
      <c r="L1427" s="6" t="str">
        <f t="shared" si="89"/>
        <v>Mars</v>
      </c>
      <c r="M1427" s="6" t="str">
        <f t="shared" si="90"/>
        <v>Mars</v>
      </c>
      <c r="N1427" s="6" t="str">
        <f t="shared" si="91"/>
        <v>France,Morocco</v>
      </c>
    </row>
    <row r="1428" spans="1:14" x14ac:dyDescent="0.25">
      <c r="A1428" s="6" t="s">
        <v>3559</v>
      </c>
      <c r="B1428" s="6">
        <v>14272</v>
      </c>
      <c r="C1428" s="6" t="s">
        <v>3560</v>
      </c>
      <c r="D1428" s="7" t="s">
        <v>578</v>
      </c>
      <c r="E1428" s="6" t="s">
        <v>28</v>
      </c>
      <c r="F1428" s="6" t="s">
        <v>400</v>
      </c>
      <c r="G1428" s="8">
        <v>45344</v>
      </c>
      <c r="H1428" s="6">
        <v>23.57</v>
      </c>
      <c r="I1428" s="6" cm="1">
        <f t="array" ref="I1428">IFERROR(VALUE(TRIM(LEFT(E1428,MIN(FIND({" ";"g";"k";"m";"o"},E1428&amp;" gkmo"))-1))),0)</f>
        <v>125</v>
      </c>
      <c r="J1428" s="6" t="str" cm="1">
        <f t="array" ref="J1428">IFERROR(TRIM(MID(E1428,MIN(FIND({" ";"g";"k";"m";"o"},E1428&amp;" gkmo")),10)),"unknown")</f>
        <v>g</v>
      </c>
      <c r="K1428" s="6" t="str">
        <f t="shared" si="88"/>
        <v>g</v>
      </c>
      <c r="L1428" s="6" t="str">
        <f t="shared" si="89"/>
        <v>Marks &amp; Spencer</v>
      </c>
      <c r="M1428" s="6" t="str">
        <f t="shared" si="90"/>
        <v>Swiss Chocolate Extra Fine Dark</v>
      </c>
      <c r="N1428" s="6" t="str">
        <f t="shared" si="91"/>
        <v>France,United Kingdom</v>
      </c>
    </row>
    <row r="1429" spans="1:14" x14ac:dyDescent="0.25">
      <c r="A1429" s="6" t="s">
        <v>3561</v>
      </c>
      <c r="B1429" s="6">
        <v>7013</v>
      </c>
      <c r="C1429" s="6" t="s">
        <v>3562</v>
      </c>
      <c r="D1429" s="7" t="s">
        <v>7017</v>
      </c>
      <c r="E1429" s="6" t="s">
        <v>151</v>
      </c>
      <c r="F1429" s="6" t="s">
        <v>7926</v>
      </c>
      <c r="G1429" s="8">
        <v>45649</v>
      </c>
      <c r="H1429" s="6">
        <v>21.66</v>
      </c>
      <c r="I1429" s="6" cm="1">
        <f t="array" ref="I1429">IFERROR(VALUE(TRIM(LEFT(E1429,MIN(FIND({" ";"g";"k";"m";"o"},E1429&amp;" gkmo"))-1))),0)</f>
        <v>200</v>
      </c>
      <c r="J1429" s="6" t="str" cm="1">
        <f t="array" ref="J1429">IFERROR(TRIM(MID(E1429,MIN(FIND({" ";"g";"k";"m";"o"},E1429&amp;" gkmo")),10)),"unknown")</f>
        <v>g</v>
      </c>
      <c r="K1429" s="6" t="str">
        <f t="shared" si="88"/>
        <v>g</v>
      </c>
      <c r="L1429" s="6" t="str">
        <f t="shared" si="89"/>
        <v>Unknown</v>
      </c>
      <c r="M1429" s="6" t="str">
        <f t="shared" si="90"/>
        <v>Marylands Chocolate Chip Cookies</v>
      </c>
      <c r="N1429" s="6" t="str">
        <f t="shared" si="91"/>
        <v>France, United-Kingdom</v>
      </c>
    </row>
    <row r="1430" spans="1:14" x14ac:dyDescent="0.25">
      <c r="A1430" s="6" t="s">
        <v>3563</v>
      </c>
      <c r="B1430" s="6">
        <v>8129</v>
      </c>
      <c r="C1430" s="6" t="s">
        <v>3564</v>
      </c>
      <c r="D1430" s="7" t="s">
        <v>3565</v>
      </c>
      <c r="E1430" s="6" t="s">
        <v>3566</v>
      </c>
      <c r="F1430" s="6" t="s">
        <v>2682</v>
      </c>
      <c r="G1430" s="8">
        <v>45739</v>
      </c>
      <c r="H1430" s="6">
        <v>18</v>
      </c>
      <c r="I1430" s="6" cm="1">
        <f t="array" ref="I1430">IFERROR(VALUE(TRIM(LEFT(E1430,MIN(FIND({" ";"g";"k";"m";"o"},E1430&amp;" gkmo"))-1))),0)</f>
        <v>1</v>
      </c>
      <c r="J1430" s="6" t="str" cm="1">
        <f t="array" ref="J1430">IFERROR(TRIM(MID(E1430,MIN(FIND({" ";"g";"k";"m";"o"},E1430&amp;" gkmo")),10)),"unknown")</f>
        <v>bar (52g)</v>
      </c>
      <c r="K1430" s="6" t="str">
        <f t="shared" si="88"/>
        <v>g</v>
      </c>
      <c r="L1430" s="6" t="str">
        <f t="shared" si="89"/>
        <v>Rxbar</v>
      </c>
      <c r="M1430" s="6" t="str">
        <f t="shared" si="90"/>
        <v>Chocolate Sea Salt</v>
      </c>
      <c r="N1430" s="6" t="str">
        <f t="shared" si="91"/>
        <v>United States</v>
      </c>
    </row>
    <row r="1431" spans="1:14" x14ac:dyDescent="0.25">
      <c r="A1431" s="6" t="s">
        <v>3567</v>
      </c>
      <c r="B1431" s="6">
        <v>9593</v>
      </c>
      <c r="C1431" s="6" t="s">
        <v>3568</v>
      </c>
      <c r="D1431" s="7" t="s">
        <v>7729</v>
      </c>
      <c r="E1431" s="6" t="s">
        <v>1675</v>
      </c>
      <c r="F1431" s="6" t="s">
        <v>8361</v>
      </c>
      <c r="G1431" s="8">
        <v>45647</v>
      </c>
      <c r="H1431" s="6">
        <v>13.18</v>
      </c>
      <c r="I1431" s="6" cm="1">
        <f t="array" ref="I1431">IFERROR(VALUE(TRIM(LEFT(E1431,MIN(FIND({" ";"g";"k";"m";"o"},E1431&amp;" gkmo"))-1))),0)</f>
        <v>600</v>
      </c>
      <c r="J1431" s="6" t="str" cm="1">
        <f t="array" ref="J1431">IFERROR(TRIM(MID(E1431,MIN(FIND({" ";"g";"k";"m";"o"},E1431&amp;" gkmo")),10)),"unknown")</f>
        <v>g</v>
      </c>
      <c r="K1431" s="6" t="str">
        <f t="shared" si="88"/>
        <v>g</v>
      </c>
      <c r="L1431" s="6" t="str">
        <f t="shared" si="89"/>
        <v>Coppenrath Feingebà¤Ck Gmbh,Favorina</v>
      </c>
      <c r="M1431" s="6" t="str">
        <f t="shared" si="90"/>
        <v>Spiced Biscuits</v>
      </c>
      <c r="N1431" s="6" t="str">
        <f t="shared" si="91"/>
        <v>Repàºblica Checa,France,Germany,Espaà±A,Switzerland</v>
      </c>
    </row>
    <row r="1432" spans="1:14" x14ac:dyDescent="0.25">
      <c r="A1432" s="6" t="s">
        <v>3569</v>
      </c>
      <c r="B1432" s="6">
        <v>14468</v>
      </c>
      <c r="C1432" s="6" t="s">
        <v>3570</v>
      </c>
      <c r="D1432" s="7" t="s">
        <v>1176</v>
      </c>
      <c r="E1432" s="6" t="s">
        <v>132</v>
      </c>
      <c r="F1432" s="6" t="s">
        <v>7730</v>
      </c>
      <c r="G1432" s="8">
        <v>45430</v>
      </c>
      <c r="H1432" s="6">
        <v>2.14</v>
      </c>
      <c r="I1432" s="6" cm="1">
        <f t="array" ref="I1432">IFERROR(VALUE(TRIM(LEFT(E1432,MIN(FIND({" ";"g";"k";"m";"o"},E1432&amp;" gkmo"))-1))),0)</f>
        <v>350</v>
      </c>
      <c r="J1432" s="6" t="str" cm="1">
        <f t="array" ref="J1432">IFERROR(TRIM(MID(E1432,MIN(FIND({" ";"g";"k";"m";"o"},E1432&amp;" gkmo")),10)),"unknown")</f>
        <v>g</v>
      </c>
      <c r="K1432" s="6" t="str">
        <f t="shared" si="88"/>
        <v>g</v>
      </c>
      <c r="L1432" s="6" t="str">
        <f t="shared" si="89"/>
        <v>Snack Day</v>
      </c>
      <c r="M1432" s="6" t="str">
        <f t="shared" si="90"/>
        <v>Galletas Saladas</v>
      </c>
      <c r="N1432" s="6" t="str">
        <f t="shared" si="91"/>
        <v>Franà§A,Espanha</v>
      </c>
    </row>
    <row r="1433" spans="1:14" x14ac:dyDescent="0.25">
      <c r="A1433" s="6" t="s">
        <v>3571</v>
      </c>
      <c r="B1433" s="6">
        <v>6790</v>
      </c>
      <c r="C1433" s="6" t="s">
        <v>7731</v>
      </c>
      <c r="D1433" s="7" t="s">
        <v>3572</v>
      </c>
      <c r="E1433" s="6" t="s">
        <v>3573</v>
      </c>
      <c r="F1433" s="6" t="s">
        <v>139</v>
      </c>
      <c r="G1433" s="8">
        <v>45955</v>
      </c>
      <c r="H1433" s="6">
        <v>11.65</v>
      </c>
      <c r="I1433" s="6" cm="1">
        <f t="array" ref="I1433">IFERROR(VALUE(TRIM(LEFT(E1433,MIN(FIND({" ";"g";"k";"m";"o"},E1433&amp;" gkmo"))-1))),0)</f>
        <v>375</v>
      </c>
      <c r="J1433" s="6" t="str" cm="1">
        <f t="array" ref="J1433">IFERROR(TRIM(MID(E1433,MIN(FIND({" ";"g";"k";"m";"o"},E1433&amp;" gkmo")),10)),"unknown")</f>
        <v>g</v>
      </c>
      <c r="K1433" s="6" t="str">
        <f t="shared" si="88"/>
        <v>g</v>
      </c>
      <c r="L1433" s="6" t="str">
        <f t="shared" si="89"/>
        <v>Rem</v>
      </c>
      <c r="M1433" s="6" t="str">
        <f t="shared" si="90"/>
        <v>Goà»Ters Rem Parfum Chocolat</v>
      </c>
      <c r="N1433" s="6" t="str">
        <f t="shared" si="91"/>
        <v>France</v>
      </c>
    </row>
    <row r="1434" spans="1:14" x14ac:dyDescent="0.25">
      <c r="A1434" s="6" t="s">
        <v>3574</v>
      </c>
      <c r="B1434" s="6">
        <v>12622</v>
      </c>
      <c r="C1434" s="6" t="s">
        <v>3575</v>
      </c>
      <c r="D1434" s="7" t="s">
        <v>310</v>
      </c>
      <c r="E1434" s="6" t="s">
        <v>3576</v>
      </c>
      <c r="F1434" s="6" t="s">
        <v>139</v>
      </c>
      <c r="G1434" s="8">
        <v>45439</v>
      </c>
      <c r="H1434" s="6">
        <v>7.94</v>
      </c>
      <c r="I1434" s="6" cm="1">
        <f t="array" ref="I1434">IFERROR(VALUE(TRIM(LEFT(E1434,MIN(FIND({" ";"g";"k";"m";"o"},E1434&amp;" gkmo"))-1))),0)</f>
        <v>260</v>
      </c>
      <c r="J1434" s="6" t="str" cm="1">
        <f t="array" ref="J1434">IFERROR(TRIM(MID(E1434,MIN(FIND({" ";"g";"k";"m";"o"},E1434&amp;" gkmo")),10)),"unknown")</f>
        <v>g (2 * 13</v>
      </c>
      <c r="K1434" s="6" t="str">
        <f t="shared" si="88"/>
        <v>g</v>
      </c>
      <c r="L1434" s="6" t="str">
        <f t="shared" si="89"/>
        <v>St Michel</v>
      </c>
      <c r="M1434" s="6" t="str">
        <f t="shared" si="90"/>
        <v>Galettes Au Bon Beurre</v>
      </c>
      <c r="N1434" s="6" t="str">
        <f t="shared" si="91"/>
        <v>France</v>
      </c>
    </row>
    <row r="1435" spans="1:14" x14ac:dyDescent="0.25">
      <c r="A1435" s="6" t="s">
        <v>3577</v>
      </c>
      <c r="B1435" s="6">
        <v>13934</v>
      </c>
      <c r="C1435" s="6" t="s">
        <v>3578</v>
      </c>
      <c r="D1435" s="7" t="s">
        <v>2594</v>
      </c>
      <c r="E1435" s="6" t="s">
        <v>84</v>
      </c>
      <c r="F1435" s="6" t="s">
        <v>139</v>
      </c>
      <c r="G1435" s="8">
        <v>45761</v>
      </c>
      <c r="H1435" s="6">
        <v>17.55</v>
      </c>
      <c r="I1435" s="6" cm="1">
        <f t="array" ref="I1435">IFERROR(VALUE(TRIM(LEFT(E1435,MIN(FIND({" ";"g";"k";"m";"o"},E1435&amp;" gkmo"))-1))),0)</f>
        <v>85</v>
      </c>
      <c r="J1435" s="6" t="str" cm="1">
        <f t="array" ref="J1435">IFERROR(TRIM(MID(E1435,MIN(FIND({" ";"g";"k";"m";"o"},E1435&amp;" gkmo")),10)),"unknown")</f>
        <v>g</v>
      </c>
      <c r="K1435" s="6" t="str">
        <f t="shared" si="88"/>
        <v>g</v>
      </c>
      <c r="L1435" s="6" t="str">
        <f t="shared" si="89"/>
        <v>Belin</v>
      </c>
      <c r="M1435" s="6" t="str">
        <f t="shared" si="90"/>
        <v>Minizza Tomateðÿ…&amp; Herbes De Provence</v>
      </c>
      <c r="N1435" s="6" t="str">
        <f t="shared" si="91"/>
        <v>France</v>
      </c>
    </row>
    <row r="1436" spans="1:14" x14ac:dyDescent="0.25">
      <c r="A1436" s="6" t="s">
        <v>3579</v>
      </c>
      <c r="B1436" s="6">
        <v>11429</v>
      </c>
      <c r="C1436" s="6" t="s">
        <v>3580</v>
      </c>
      <c r="D1436" s="7" t="s">
        <v>2808</v>
      </c>
      <c r="E1436" s="6" t="s">
        <v>335</v>
      </c>
      <c r="F1436" s="6" t="s">
        <v>139</v>
      </c>
      <c r="G1436" s="8">
        <v>45689</v>
      </c>
      <c r="H1436" s="6">
        <v>24.36</v>
      </c>
      <c r="I1436" s="6" cm="1">
        <f t="array" ref="I1436">IFERROR(VALUE(TRIM(LEFT(E1436,MIN(FIND({" ";"g";"k";"m";"o"},E1436&amp;" gkmo"))-1))),0)</f>
        <v>250</v>
      </c>
      <c r="J1436" s="6" t="str" cm="1">
        <f t="array" ref="J1436">IFERROR(TRIM(MID(E1436,MIN(FIND({" ";"g";"k";"m";"o"},E1436&amp;" gkmo")),10)),"unknown")</f>
        <v>g</v>
      </c>
      <c r="K1436" s="6" t="str">
        <f t="shared" si="88"/>
        <v>g</v>
      </c>
      <c r="L1436" s="6" t="str">
        <f t="shared" si="89"/>
        <v>Lutti</v>
      </c>
      <c r="M1436" s="6" t="str">
        <f t="shared" si="90"/>
        <v>250G Bubblizz Lutti</v>
      </c>
      <c r="N1436" s="6" t="str">
        <f t="shared" si="91"/>
        <v>France</v>
      </c>
    </row>
    <row r="1437" spans="1:14" x14ac:dyDescent="0.25">
      <c r="A1437" s="6" t="s">
        <v>3581</v>
      </c>
      <c r="B1437" s="6">
        <v>5914</v>
      </c>
      <c r="C1437" s="6" t="s">
        <v>179</v>
      </c>
      <c r="D1437" s="7" t="s">
        <v>1231</v>
      </c>
      <c r="E1437" s="6" t="s">
        <v>39</v>
      </c>
      <c r="F1437" s="6" t="s">
        <v>139</v>
      </c>
      <c r="G1437" s="8">
        <v>45703</v>
      </c>
      <c r="H1437" s="6">
        <v>14.61</v>
      </c>
      <c r="I1437" s="6" cm="1">
        <f t="array" ref="I1437">IFERROR(VALUE(TRIM(LEFT(E1437,MIN(FIND({" ";"g";"k";"m";"o"},E1437&amp;" gkmo"))-1))),0)</f>
        <v>150</v>
      </c>
      <c r="J1437" s="6" t="str" cm="1">
        <f t="array" ref="J1437">IFERROR(TRIM(MID(E1437,MIN(FIND({" ";"g";"k";"m";"o"},E1437&amp;" gkmo")),10)),"unknown")</f>
        <v>g</v>
      </c>
      <c r="K1437" s="6" t="str">
        <f t="shared" si="88"/>
        <v>g</v>
      </c>
      <c r="L1437" s="6" t="str">
        <f t="shared" si="89"/>
        <v>Lay'S, Lays</v>
      </c>
      <c r="M1437" s="6" t="str">
        <f t="shared" si="90"/>
        <v>Chips</v>
      </c>
      <c r="N1437" s="6" t="str">
        <f t="shared" si="91"/>
        <v>France</v>
      </c>
    </row>
    <row r="1438" spans="1:14" x14ac:dyDescent="0.25">
      <c r="A1438" s="6" t="s">
        <v>3582</v>
      </c>
      <c r="B1438" s="6">
        <v>13917</v>
      </c>
      <c r="C1438" s="6" t="s">
        <v>3583</v>
      </c>
      <c r="D1438" s="7" t="s">
        <v>7030</v>
      </c>
      <c r="E1438" s="6" t="s">
        <v>3584</v>
      </c>
      <c r="F1438" s="6" t="s">
        <v>139</v>
      </c>
      <c r="G1438" s="8">
        <v>45621</v>
      </c>
      <c r="H1438" s="6">
        <v>18.920000000000002</v>
      </c>
      <c r="I1438" s="6" cm="1">
        <f t="array" ref="I1438">IFERROR(VALUE(TRIM(LEFT(E1438,MIN(FIND({" ";"g";"k";"m";"o"},E1438&amp;" gkmo"))-1))),0)</f>
        <v>196</v>
      </c>
      <c r="J1438" s="6" t="str" cm="1">
        <f t="array" ref="J1438">IFERROR(TRIM(MID(E1438,MIN(FIND({" ";"g";"k";"m";"o"},E1438&amp;" gkmo")),10)),"unknown")</f>
        <v>g</v>
      </c>
      <c r="K1438" s="6" t="str">
        <f t="shared" si="88"/>
        <v>g</v>
      </c>
      <c r="L1438" s="6" t="str">
        <f t="shared" si="89"/>
        <v>Gerblé</v>
      </c>
      <c r="M1438" s="6" t="str">
        <f t="shared" si="90"/>
        <v>Moelleux Tout Chocolat Sans Sucres</v>
      </c>
      <c r="N1438" s="6" t="str">
        <f t="shared" si="91"/>
        <v>France</v>
      </c>
    </row>
    <row r="1439" spans="1:14" x14ac:dyDescent="0.25">
      <c r="A1439" s="6" t="s">
        <v>3585</v>
      </c>
      <c r="B1439" s="6">
        <v>6515</v>
      </c>
      <c r="C1439" s="6" t="s">
        <v>7017</v>
      </c>
      <c r="D1439" s="7" t="s">
        <v>854</v>
      </c>
      <c r="E1439" s="6" t="s">
        <v>3586</v>
      </c>
      <c r="F1439" s="6" t="s">
        <v>8060</v>
      </c>
      <c r="G1439" s="8">
        <v>45974</v>
      </c>
      <c r="H1439" s="6">
        <v>13.16</v>
      </c>
      <c r="I1439" s="6" cm="1">
        <f t="array" ref="I1439">IFERROR(VALUE(TRIM(LEFT(E1439,MIN(FIND({" ";"g";"k";"m";"o"},E1439&amp;" gkmo"))-1))),0)</f>
        <v>200</v>
      </c>
      <c r="J1439" s="6" t="str" cm="1">
        <f t="array" ref="J1439">IFERROR(TRIM(MID(E1439,MIN(FIND({" ";"g";"k";"m";"o"},E1439&amp;" gkmo")),10)),"unknown")</f>
        <v>g (4 x 50</v>
      </c>
      <c r="K1439" s="6" t="str">
        <f t="shared" si="88"/>
        <v>g</v>
      </c>
      <c r="L1439" s="6" t="str">
        <f t="shared" si="89"/>
        <v>Carrefour</v>
      </c>
      <c r="M1439" s="6" t="str">
        <f t="shared" si="90"/>
        <v>Unknown</v>
      </c>
      <c r="N1439" s="6" t="str">
        <f t="shared" si="91"/>
        <v>France, Italy, Spain, Polynésie Franà§Aise</v>
      </c>
    </row>
    <row r="1440" spans="1:14" x14ac:dyDescent="0.25">
      <c r="A1440" s="6" t="s">
        <v>3587</v>
      </c>
      <c r="B1440" s="6">
        <v>14705</v>
      </c>
      <c r="C1440" s="6" t="s">
        <v>7243</v>
      </c>
      <c r="D1440" s="7" t="s">
        <v>3588</v>
      </c>
      <c r="E1440" s="6" t="s">
        <v>84</v>
      </c>
      <c r="F1440" s="6" t="s">
        <v>7978</v>
      </c>
      <c r="G1440" s="8">
        <v>45759</v>
      </c>
      <c r="H1440" s="6">
        <v>20.76</v>
      </c>
      <c r="I1440" s="6" cm="1">
        <f t="array" ref="I1440">IFERROR(VALUE(TRIM(LEFT(E1440,MIN(FIND({" ";"g";"k";"m";"o"},E1440&amp;" gkmo"))-1))),0)</f>
        <v>85</v>
      </c>
      <c r="J1440" s="6" t="str" cm="1">
        <f t="array" ref="J1440">IFERROR(TRIM(MID(E1440,MIN(FIND({" ";"g";"k";"m";"o"},E1440&amp;" gkmo")),10)),"unknown")</f>
        <v>g</v>
      </c>
      <c r="K1440" s="6" t="str">
        <f t="shared" si="88"/>
        <v>g</v>
      </c>
      <c r="L1440" s="6" t="str">
        <f t="shared" si="89"/>
        <v>Toogood</v>
      </c>
      <c r="M1440" s="6" t="str">
        <f t="shared" si="90"/>
        <v>Snack Poppé Saveur Paprika</v>
      </c>
      <c r="N1440" s="6" t="str">
        <f t="shared" si="91"/>
        <v>France, Us</v>
      </c>
    </row>
    <row r="1441" spans="1:14" x14ac:dyDescent="0.25">
      <c r="A1441" s="6" t="s">
        <v>3589</v>
      </c>
      <c r="B1441" s="6">
        <v>7496</v>
      </c>
      <c r="C1441" s="6" t="s">
        <v>7244</v>
      </c>
      <c r="D1441" s="7" t="s">
        <v>1869</v>
      </c>
      <c r="E1441" s="6"/>
      <c r="F1441" s="6" t="s">
        <v>213</v>
      </c>
      <c r="G1441" s="8">
        <v>45476</v>
      </c>
      <c r="H1441" s="6">
        <v>3.31</v>
      </c>
      <c r="I1441" s="6" cm="1">
        <f t="array" ref="I1441">IFERROR(VALUE(TRIM(LEFT(E1441,MIN(FIND({" ";"g";"k";"m";"o"},E1441&amp;" gkmo"))-1))),0)</f>
        <v>0</v>
      </c>
      <c r="J1441" s="6" t="str" cm="1">
        <f t="array" ref="J1441">IFERROR(TRIM(MID(E1441,MIN(FIND({" ";"g";"k";"m";"o"},E1441&amp;" gkmo")),10)),"unknown")</f>
        <v/>
      </c>
      <c r="K1441" s="6" t="str">
        <f t="shared" si="88"/>
        <v>unknown</v>
      </c>
      <c r="L1441" s="6" t="str">
        <f t="shared" si="89"/>
        <v>Ivoria</v>
      </c>
      <c r="M1441" s="6" t="str">
        <f t="shared" si="90"/>
        <v>Tablette Bio Dégustation - Chocolat Noir Pérou 85% - 100G</v>
      </c>
      <c r="N1441" s="6" t="str">
        <f t="shared" si="91"/>
        <v>Belgium,France</v>
      </c>
    </row>
    <row r="1442" spans="1:14" x14ac:dyDescent="0.25">
      <c r="A1442" s="6" t="s">
        <v>3590</v>
      </c>
      <c r="B1442" s="6">
        <v>10760</v>
      </c>
      <c r="C1442" s="6" t="s">
        <v>3591</v>
      </c>
      <c r="D1442" s="7" t="s">
        <v>7732</v>
      </c>
      <c r="E1442" s="6" t="s">
        <v>7245</v>
      </c>
      <c r="F1442" s="6" t="s">
        <v>139</v>
      </c>
      <c r="G1442" s="8">
        <v>45777</v>
      </c>
      <c r="H1442" s="6">
        <v>23.36</v>
      </c>
      <c r="I1442" s="6" cm="1">
        <f t="array" ref="I1442">IFERROR(VALUE(TRIM(LEFT(E1442,MIN(FIND({" ";"g";"k";"m";"o"},E1442&amp;" gkmo"))-1))),0)</f>
        <v>250</v>
      </c>
      <c r="J1442" s="6" t="str" cm="1">
        <f t="array" ref="J1442">IFERROR(TRIM(MID(E1442,MIN(FIND({" ";"g";"k";"m";"o"},E1442&amp;" gkmo")),10)),"unknown")</f>
        <v>g (20 uni</v>
      </c>
      <c r="K1442" s="6" t="str">
        <f t="shared" si="88"/>
        <v>g</v>
      </c>
      <c r="L1442" s="6" t="str">
        <f t="shared" si="89"/>
        <v>Le Ster, Le Pà¢Tissier</v>
      </c>
      <c r="M1442" s="6" t="str">
        <f t="shared" si="90"/>
        <v>Madeleines Longues - Perles De Sucre</v>
      </c>
      <c r="N1442" s="6" t="str">
        <f t="shared" si="91"/>
        <v>France</v>
      </c>
    </row>
    <row r="1443" spans="1:14" x14ac:dyDescent="0.25">
      <c r="A1443" s="6" t="s">
        <v>3592</v>
      </c>
      <c r="B1443" s="6">
        <v>12886</v>
      </c>
      <c r="C1443" s="6" t="s">
        <v>3593</v>
      </c>
      <c r="D1443" s="7" t="s">
        <v>3594</v>
      </c>
      <c r="E1443" s="6" t="s">
        <v>151</v>
      </c>
      <c r="F1443" s="6" t="s">
        <v>139</v>
      </c>
      <c r="G1443" s="8">
        <v>45869</v>
      </c>
      <c r="H1443" s="6">
        <v>12.21</v>
      </c>
      <c r="I1443" s="6" cm="1">
        <f t="array" ref="I1443">IFERROR(VALUE(TRIM(LEFT(E1443,MIN(FIND({" ";"g";"k";"m";"o"},E1443&amp;" gkmo"))-1))),0)</f>
        <v>200</v>
      </c>
      <c r="J1443" s="6" t="str" cm="1">
        <f t="array" ref="J1443">IFERROR(TRIM(MID(E1443,MIN(FIND({" ";"g";"k";"m";"o"},E1443&amp;" gkmo")),10)),"unknown")</f>
        <v>g</v>
      </c>
      <c r="K1443" s="6" t="str">
        <f t="shared" si="88"/>
        <v>g</v>
      </c>
      <c r="L1443" s="6" t="str">
        <f t="shared" si="89"/>
        <v>U</v>
      </c>
      <c r="M1443" s="6" t="str">
        <f t="shared" si="90"/>
        <v>Petit Beurre 200G</v>
      </c>
      <c r="N1443" s="6" t="str">
        <f t="shared" si="91"/>
        <v>France</v>
      </c>
    </row>
    <row r="1444" spans="1:14" x14ac:dyDescent="0.25">
      <c r="A1444" s="6" t="s">
        <v>3595</v>
      </c>
      <c r="B1444" s="6">
        <v>12599</v>
      </c>
      <c r="C1444" s="6" t="s">
        <v>7246</v>
      </c>
      <c r="D1444" s="7" t="s">
        <v>3594</v>
      </c>
      <c r="E1444" s="6" t="s">
        <v>10</v>
      </c>
      <c r="F1444" s="6" t="s">
        <v>139</v>
      </c>
      <c r="G1444" s="8">
        <v>45849</v>
      </c>
      <c r="H1444" s="6">
        <v>13.16</v>
      </c>
      <c r="I1444" s="6" cm="1">
        <f t="array" ref="I1444">IFERROR(VALUE(TRIM(LEFT(E1444,MIN(FIND({" ";"g";"k";"m";"o"},E1444&amp;" gkmo"))-1))),0)</f>
        <v>100</v>
      </c>
      <c r="J1444" s="6" t="str" cm="1">
        <f t="array" ref="J1444">IFERROR(TRIM(MID(E1444,MIN(FIND({" ";"g";"k";"m";"o"},E1444&amp;" gkmo")),10)),"unknown")</f>
        <v>g</v>
      </c>
      <c r="K1444" s="6" t="str">
        <f t="shared" si="88"/>
        <v>g</v>
      </c>
      <c r="L1444" s="6" t="str">
        <f t="shared" si="89"/>
        <v>U</v>
      </c>
      <c r="M1444" s="6" t="str">
        <f t="shared" si="90"/>
        <v>Chocolat Noir Dégustation 85% De Cacao Tablette De 100G</v>
      </c>
      <c r="N1444" s="6" t="str">
        <f t="shared" si="91"/>
        <v>France</v>
      </c>
    </row>
    <row r="1445" spans="1:14" x14ac:dyDescent="0.25">
      <c r="A1445" s="6" t="s">
        <v>3596</v>
      </c>
      <c r="B1445" s="6">
        <v>8170</v>
      </c>
      <c r="C1445" s="6" t="s">
        <v>3597</v>
      </c>
      <c r="D1445" s="7" t="s">
        <v>652</v>
      </c>
      <c r="E1445" s="6" t="s">
        <v>200</v>
      </c>
      <c r="F1445" s="6" t="s">
        <v>139</v>
      </c>
      <c r="G1445" s="8">
        <v>45874</v>
      </c>
      <c r="H1445" s="6">
        <v>13.16</v>
      </c>
      <c r="I1445" s="6" cm="1">
        <f t="array" ref="I1445">IFERROR(VALUE(TRIM(LEFT(E1445,MIN(FIND({" ";"g";"k";"m";"o"},E1445&amp;" gkmo"))-1))),0)</f>
        <v>285</v>
      </c>
      <c r="J1445" s="6" t="str" cm="1">
        <f t="array" ref="J1445">IFERROR(TRIM(MID(E1445,MIN(FIND({" ";"g";"k";"m";"o"},E1445&amp;" gkmo")),10)),"unknown")</f>
        <v>g</v>
      </c>
      <c r="K1445" s="6" t="str">
        <f t="shared" si="88"/>
        <v>g</v>
      </c>
      <c r="L1445" s="6" t="str">
        <f t="shared" si="89"/>
        <v>Brossard</v>
      </c>
      <c r="M1445" s="6" t="str">
        <f t="shared" si="90"/>
        <v>Brossard - Brownie Familial Pepites De Chocolat 285Gr</v>
      </c>
      <c r="N1445" s="6" t="str">
        <f t="shared" si="91"/>
        <v>France</v>
      </c>
    </row>
    <row r="1446" spans="1:14" x14ac:dyDescent="0.25">
      <c r="A1446" s="6" t="s">
        <v>3598</v>
      </c>
      <c r="B1446" s="6">
        <v>10169</v>
      </c>
      <c r="C1446" s="6" t="s">
        <v>7487</v>
      </c>
      <c r="D1446" s="7" t="s">
        <v>7456</v>
      </c>
      <c r="E1446" s="6" t="s">
        <v>985</v>
      </c>
      <c r="F1446" s="6" t="s">
        <v>139</v>
      </c>
      <c r="G1446" s="8">
        <v>45824</v>
      </c>
      <c r="H1446" s="6">
        <v>2.84</v>
      </c>
      <c r="I1446" s="6" cm="1">
        <f t="array" ref="I1446">IFERROR(VALUE(TRIM(LEFT(E1446,MIN(FIND({" ";"g";"k";"m";"o"},E1446&amp;" gkmo"))-1))),0)</f>
        <v>340</v>
      </c>
      <c r="J1446" s="6" t="str" cm="1">
        <f t="array" ref="J1446">IFERROR(TRIM(MID(E1446,MIN(FIND({" ";"g";"k";"m";"o"},E1446&amp;" gkmo")),10)),"unknown")</f>
        <v>g</v>
      </c>
      <c r="K1446" s="6" t="str">
        <f t="shared" si="88"/>
        <v>g</v>
      </c>
      <c r="L1446" s="6" t="str">
        <f t="shared" si="89"/>
        <v>La Boulangère</v>
      </c>
      <c r="M1446" s="6" t="str">
        <f t="shared" si="90"/>
        <v>4 Baguettes Viennoises Complètes Sans Sucres Ajoutés 340G</v>
      </c>
      <c r="N1446" s="6" t="str">
        <f t="shared" si="91"/>
        <v>France</v>
      </c>
    </row>
    <row r="1447" spans="1:14" x14ac:dyDescent="0.25">
      <c r="A1447" s="6" t="s">
        <v>3599</v>
      </c>
      <c r="B1447" s="6">
        <v>6208</v>
      </c>
      <c r="C1447" s="6" t="s">
        <v>3600</v>
      </c>
      <c r="D1447" s="7" t="s">
        <v>3601</v>
      </c>
      <c r="E1447" s="6" t="s">
        <v>3602</v>
      </c>
      <c r="F1447" s="6" t="s">
        <v>177</v>
      </c>
      <c r="G1447" s="8">
        <v>45937</v>
      </c>
      <c r="H1447" s="6">
        <v>4.26</v>
      </c>
      <c r="I1447" s="6" cm="1">
        <f t="array" ref="I1447">IFERROR(VALUE(TRIM(LEFT(E1447,MIN(FIND({" ";"g";"k";"m";"o"},E1447&amp;" gkmo"))-1))),0)</f>
        <v>60</v>
      </c>
      <c r="J1447" s="6" t="str" cm="1">
        <f t="array" ref="J1447">IFERROR(TRIM(MID(E1447,MIN(FIND({" ";"g";"k";"m";"o"},E1447&amp;" gkmo")),10)),"unknown")</f>
        <v>pieces</v>
      </c>
      <c r="K1447" s="6" t="str">
        <f t="shared" si="88"/>
        <v>unknown</v>
      </c>
      <c r="L1447" s="6" t="str">
        <f t="shared" si="89"/>
        <v>Wrigley'S</v>
      </c>
      <c r="M1447" s="6" t="str">
        <f t="shared" si="90"/>
        <v>Wrigley'S Extra Peppermint</v>
      </c>
      <c r="N1447" s="6" t="str">
        <f t="shared" si="91"/>
        <v>United Kingdom</v>
      </c>
    </row>
    <row r="1448" spans="1:14" x14ac:dyDescent="0.25">
      <c r="A1448" s="6" t="s">
        <v>3603</v>
      </c>
      <c r="B1448" s="6">
        <v>13775</v>
      </c>
      <c r="C1448" s="6" t="s">
        <v>3604</v>
      </c>
      <c r="D1448" s="7" t="s">
        <v>248</v>
      </c>
      <c r="E1448" s="6" t="s">
        <v>160</v>
      </c>
      <c r="F1448" s="6" t="s">
        <v>400</v>
      </c>
      <c r="G1448" s="8">
        <v>45817</v>
      </c>
      <c r="H1448" s="6">
        <v>24.77</v>
      </c>
      <c r="I1448" s="6" cm="1">
        <f t="array" ref="I1448">IFERROR(VALUE(TRIM(LEFT(E1448,MIN(FIND({" ";"g";"k";"m";"o"},E1448&amp;" gkmo"))-1))),0)</f>
        <v>165</v>
      </c>
      <c r="J1448" s="6" t="str" cm="1">
        <f t="array" ref="J1448">IFERROR(TRIM(MID(E1448,MIN(FIND({" ";"g";"k";"m";"o"},E1448&amp;" gkmo")),10)),"unknown")</f>
        <v>g</v>
      </c>
      <c r="K1448" s="6" t="str">
        <f t="shared" si="88"/>
        <v>g</v>
      </c>
      <c r="L1448" s="6" t="str">
        <f t="shared" si="89"/>
        <v>Tesco</v>
      </c>
      <c r="M1448" s="6" t="str">
        <f t="shared" si="90"/>
        <v>Finest Scottish Shortbread Fingers</v>
      </c>
      <c r="N1448" s="6" t="str">
        <f t="shared" si="91"/>
        <v>France,United Kingdom</v>
      </c>
    </row>
    <row r="1449" spans="1:14" x14ac:dyDescent="0.25">
      <c r="A1449" s="6" t="s">
        <v>3605</v>
      </c>
      <c r="B1449" s="6">
        <v>6953</v>
      </c>
      <c r="C1449" s="6" t="s">
        <v>3606</v>
      </c>
      <c r="D1449" s="7" t="s">
        <v>204</v>
      </c>
      <c r="E1449" s="6" t="s">
        <v>3607</v>
      </c>
      <c r="F1449" s="6" t="s">
        <v>400</v>
      </c>
      <c r="G1449" s="8">
        <v>46037</v>
      </c>
      <c r="H1449" s="6">
        <v>7.85</v>
      </c>
      <c r="I1449" s="6" cm="1">
        <f t="array" ref="I1449">IFERROR(VALUE(TRIM(LEFT(E1449,MIN(FIND({" ";"g";"k";"m";"o"},E1449&amp;" gkmo"))-1))),0)</f>
        <v>24.6</v>
      </c>
      <c r="J1449" s="6" t="str" cm="1">
        <f t="array" ref="J1449">IFERROR(TRIM(MID(E1449,MIN(FIND({" ";"g";"k";"m";"o"},E1449&amp;" gkmo")),10)),"unknown")</f>
        <v>g</v>
      </c>
      <c r="K1449" s="6" t="str">
        <f t="shared" si="88"/>
        <v>g</v>
      </c>
      <c r="L1449" s="6" t="str">
        <f t="shared" si="89"/>
        <v>Mcvitie'S</v>
      </c>
      <c r="M1449" s="6" t="str">
        <f t="shared" si="90"/>
        <v>Penguin Biscuit Bar</v>
      </c>
      <c r="N1449" s="6" t="str">
        <f t="shared" si="91"/>
        <v>France,United Kingdom</v>
      </c>
    </row>
    <row r="1450" spans="1:14" x14ac:dyDescent="0.25">
      <c r="A1450" s="6" t="s">
        <v>3608</v>
      </c>
      <c r="B1450" s="6">
        <v>6113</v>
      </c>
      <c r="C1450" s="6" t="s">
        <v>3609</v>
      </c>
      <c r="D1450" s="7" t="s">
        <v>3610</v>
      </c>
      <c r="E1450" s="6" t="s">
        <v>1312</v>
      </c>
      <c r="F1450" s="6" t="s">
        <v>8061</v>
      </c>
      <c r="G1450" s="8">
        <v>45841</v>
      </c>
      <c r="H1450" s="6">
        <v>16.13</v>
      </c>
      <c r="I1450" s="6" cm="1">
        <f t="array" ref="I1450">IFERROR(VALUE(TRIM(LEFT(E1450,MIN(FIND({" ";"g";"k";"m";"o"},E1450&amp;" gkmo"))-1))),0)</f>
        <v>50</v>
      </c>
      <c r="J1450" s="6" t="str" cm="1">
        <f t="array" ref="J1450">IFERROR(TRIM(MID(E1450,MIN(FIND({" ";"g";"k";"m";"o"},E1450&amp;" gkmo")),10)),"unknown")</f>
        <v>g</v>
      </c>
      <c r="K1450" s="6" t="str">
        <f t="shared" si="88"/>
        <v>g</v>
      </c>
      <c r="L1450" s="6" t="str">
        <f t="shared" si="89"/>
        <v>Go On</v>
      </c>
      <c r="M1450" s="6" t="str">
        <f t="shared" si="90"/>
        <v>Sante Baton Proteinowy Go On Kakaowy</v>
      </c>
      <c r="N1450" s="6" t="str">
        <f t="shared" si="91"/>
        <v>France, Morocco, Poland</v>
      </c>
    </row>
    <row r="1451" spans="1:14" x14ac:dyDescent="0.25">
      <c r="A1451" s="6" t="s">
        <v>3611</v>
      </c>
      <c r="B1451" s="6">
        <v>8482</v>
      </c>
      <c r="C1451" s="6" t="s">
        <v>2145</v>
      </c>
      <c r="D1451" s="7" t="s">
        <v>2145</v>
      </c>
      <c r="E1451" s="6" t="s">
        <v>3612</v>
      </c>
      <c r="F1451" s="6" t="s">
        <v>8062</v>
      </c>
      <c r="G1451" s="8">
        <v>45500</v>
      </c>
      <c r="H1451" s="6">
        <v>9.59</v>
      </c>
      <c r="I1451" s="6" cm="1">
        <f t="array" ref="I1451">IFERROR(VALUE(TRIM(LEFT(E1451,MIN(FIND({" ";"g";"k";"m";"o"},E1451&amp;" gkmo"))-1))),0)</f>
        <v>154</v>
      </c>
      <c r="J1451" s="6" t="str" cm="1">
        <f t="array" ref="J1451">IFERROR(TRIM(MID(E1451,MIN(FIND({" ";"g";"k";"m";"o"},E1451&amp;" gkmo")),10)),"unknown")</f>
        <v>g</v>
      </c>
      <c r="K1451" s="6" t="str">
        <f t="shared" si="88"/>
        <v>g</v>
      </c>
      <c r="L1451" s="6" t="str">
        <f t="shared" si="89"/>
        <v>Oreo</v>
      </c>
      <c r="M1451" s="6" t="str">
        <f t="shared" si="90"/>
        <v>Oreo</v>
      </c>
      <c r="N1451" s="6" t="str">
        <f t="shared" si="91"/>
        <v>Czech Republic, France, Germany, Romania, Bulgaria</v>
      </c>
    </row>
    <row r="1452" spans="1:14" x14ac:dyDescent="0.25">
      <c r="A1452" s="6" t="s">
        <v>3613</v>
      </c>
      <c r="B1452" s="6">
        <v>13672</v>
      </c>
      <c r="C1452" s="6" t="s">
        <v>3614</v>
      </c>
      <c r="D1452" s="7" t="s">
        <v>7017</v>
      </c>
      <c r="E1452" s="6" t="s">
        <v>3615</v>
      </c>
      <c r="F1452" s="6" t="s">
        <v>139</v>
      </c>
      <c r="G1452" s="8">
        <v>45654</v>
      </c>
      <c r="H1452" s="6">
        <v>15.23</v>
      </c>
      <c r="I1452" s="6" cm="1">
        <f t="array" ref="I1452">IFERROR(VALUE(TRIM(LEFT(E1452,MIN(FIND({" ";"g";"k";"m";"o"},E1452&amp;" gkmo"))-1))),0)</f>
        <v>400</v>
      </c>
      <c r="J1452" s="6" t="str" cm="1">
        <f t="array" ref="J1452">IFERROR(TRIM(MID(E1452,MIN(FIND({" ";"g";"k";"m";"o"},E1452&amp;" gkmo")),10)),"unknown")</f>
        <v>g (2 * 20</v>
      </c>
      <c r="K1452" s="6" t="str">
        <f t="shared" si="88"/>
        <v>g</v>
      </c>
      <c r="L1452" s="6" t="str">
        <f t="shared" si="89"/>
        <v>Unknown</v>
      </c>
      <c r="M1452" s="6" t="str">
        <f t="shared" si="90"/>
        <v>Granola L'Original</v>
      </c>
      <c r="N1452" s="6" t="str">
        <f t="shared" si="91"/>
        <v>France</v>
      </c>
    </row>
    <row r="1453" spans="1:14" x14ac:dyDescent="0.25">
      <c r="A1453" s="6" t="s">
        <v>3616</v>
      </c>
      <c r="B1453" s="6">
        <v>9941</v>
      </c>
      <c r="C1453" s="6" t="s">
        <v>7247</v>
      </c>
      <c r="D1453" s="7" t="s">
        <v>7585</v>
      </c>
      <c r="E1453" s="6" t="s">
        <v>151</v>
      </c>
      <c r="F1453" s="6" t="s">
        <v>139</v>
      </c>
      <c r="G1453" s="8">
        <v>46035</v>
      </c>
      <c r="H1453" s="6">
        <v>17.37</v>
      </c>
      <c r="I1453" s="6" cm="1">
        <f t="array" ref="I1453">IFERROR(VALUE(TRIM(LEFT(E1453,MIN(FIND({" ";"g";"k";"m";"o"},E1453&amp;" gkmo"))-1))),0)</f>
        <v>200</v>
      </c>
      <c r="J1453" s="6" t="str" cm="1">
        <f t="array" ref="J1453">IFERROR(TRIM(MID(E1453,MIN(FIND({" ";"g";"k";"m";"o"},E1453&amp;" gkmo")),10)),"unknown")</f>
        <v>g</v>
      </c>
      <c r="K1453" s="6" t="str">
        <f t="shared" si="88"/>
        <v>g</v>
      </c>
      <c r="L1453" s="6" t="str">
        <f t="shared" si="89"/>
        <v>Cà´Te D'Or</v>
      </c>
      <c r="M1453" s="6" t="str">
        <f t="shared" si="90"/>
        <v>Lait Praliné Double Lait</v>
      </c>
      <c r="N1453" s="6" t="str">
        <f t="shared" si="91"/>
        <v>France</v>
      </c>
    </row>
    <row r="1454" spans="1:14" x14ac:dyDescent="0.25">
      <c r="A1454" s="6" t="s">
        <v>3617</v>
      </c>
      <c r="B1454" s="6">
        <v>13466</v>
      </c>
      <c r="C1454" s="6" t="s">
        <v>3618</v>
      </c>
      <c r="D1454" s="7" t="s">
        <v>3619</v>
      </c>
      <c r="E1454" s="6" t="s">
        <v>3620</v>
      </c>
      <c r="F1454" s="6" t="s">
        <v>157</v>
      </c>
      <c r="G1454" s="8">
        <v>45765</v>
      </c>
      <c r="H1454" s="6">
        <v>11.46</v>
      </c>
      <c r="I1454" s="6" cm="1">
        <f t="array" ref="I1454">IFERROR(VALUE(TRIM(LEFT(E1454,MIN(FIND({" ";"g";"k";"m";"o"},E1454&amp;" gkmo"))-1))),0)</f>
        <v>54</v>
      </c>
      <c r="J1454" s="6" t="str" cm="1">
        <f t="array" ref="J1454">IFERROR(TRIM(MID(E1454,MIN(FIND({" ";"g";"k";"m";"o"},E1454&amp;" gkmo")),10)),"unknown")</f>
        <v>g</v>
      </c>
      <c r="K1454" s="6" t="str">
        <f t="shared" si="88"/>
        <v>g</v>
      </c>
      <c r="L1454" s="6" t="str">
        <f t="shared" si="89"/>
        <v>Ferrero,Mixte,Tic Tac</v>
      </c>
      <c r="M1454" s="6" t="str">
        <f t="shared" si="90"/>
        <v>Bonbons Tic Tac X110 Pastilles Menthe - 54G</v>
      </c>
      <c r="N1454" s="6" t="str">
        <f t="shared" si="91"/>
        <v>France,Germany,Switzerland</v>
      </c>
    </row>
    <row r="1455" spans="1:14" x14ac:dyDescent="0.25">
      <c r="A1455" s="6" t="s">
        <v>3621</v>
      </c>
      <c r="B1455" s="6">
        <v>9191</v>
      </c>
      <c r="C1455" s="6" t="s">
        <v>3622</v>
      </c>
      <c r="D1455" s="7" t="s">
        <v>568</v>
      </c>
      <c r="E1455" s="6" t="s">
        <v>2083</v>
      </c>
      <c r="F1455" s="6" t="s">
        <v>557</v>
      </c>
      <c r="G1455" s="8">
        <v>45936</v>
      </c>
      <c r="H1455" s="6">
        <v>9.4499999999999993</v>
      </c>
      <c r="I1455" s="6" cm="1">
        <f t="array" ref="I1455">IFERROR(VALUE(TRIM(LEFT(E1455,MIN(FIND({" ";"g";"k";"m";"o"},E1455&amp;" gkmo"))-1))),0)</f>
        <v>240</v>
      </c>
      <c r="J1455" s="6" t="str" cm="1">
        <f t="array" ref="J1455">IFERROR(TRIM(MID(E1455,MIN(FIND({" ";"g";"k";"m";"o"},E1455&amp;" gkmo")),10)),"unknown")</f>
        <v>g</v>
      </c>
      <c r="K1455" s="6" t="str">
        <f t="shared" si="88"/>
        <v>g</v>
      </c>
      <c r="L1455" s="6" t="str">
        <f t="shared" si="89"/>
        <v>Ferrero,Kinder</v>
      </c>
      <c r="M1455" s="6" t="str">
        <f t="shared" si="90"/>
        <v>Kinder Pingui Gouter Frais Genoise Avec Chocolat Noir Extra, Fourree Lait Et Cacao T8 Pack De 8 Etuis</v>
      </c>
      <c r="N1455" s="6" t="str">
        <f t="shared" si="91"/>
        <v>Belgium,France,Switzerland</v>
      </c>
    </row>
    <row r="1456" spans="1:14" x14ac:dyDescent="0.25">
      <c r="A1456" s="6" t="s">
        <v>3623</v>
      </c>
      <c r="B1456" s="6">
        <v>14480</v>
      </c>
      <c r="C1456" s="6" t="s">
        <v>912</v>
      </c>
      <c r="D1456" s="7" t="s">
        <v>116</v>
      </c>
      <c r="E1456" s="6" t="s">
        <v>621</v>
      </c>
      <c r="F1456" s="6" t="s">
        <v>400</v>
      </c>
      <c r="G1456" s="8">
        <v>45431</v>
      </c>
      <c r="H1456" s="6">
        <v>22.71</v>
      </c>
      <c r="I1456" s="6" cm="1">
        <f t="array" ref="I1456">IFERROR(VALUE(TRIM(LEFT(E1456,MIN(FIND({" ";"g";"k";"m";"o"},E1456&amp;" gkmo"))-1))),0)</f>
        <v>160</v>
      </c>
      <c r="J1456" s="6" t="str" cm="1">
        <f t="array" ref="J1456">IFERROR(TRIM(MID(E1456,MIN(FIND({" ";"g";"k";"m";"o"},E1456&amp;" gkmo")),10)),"unknown")</f>
        <v>g</v>
      </c>
      <c r="K1456" s="6" t="str">
        <f t="shared" si="88"/>
        <v>g</v>
      </c>
      <c r="L1456" s="6" t="str">
        <f t="shared" si="89"/>
        <v>Nature Valley</v>
      </c>
      <c r="M1456" s="6" t="str">
        <f t="shared" si="90"/>
        <v>Protein Salted Caramel Nut</v>
      </c>
      <c r="N1456" s="6" t="str">
        <f t="shared" si="91"/>
        <v>France,United Kingdom</v>
      </c>
    </row>
    <row r="1457" spans="1:14" x14ac:dyDescent="0.25">
      <c r="A1457" s="6" t="s">
        <v>3624</v>
      </c>
      <c r="B1457" s="6">
        <v>13338</v>
      </c>
      <c r="C1457" s="6" t="s">
        <v>3625</v>
      </c>
      <c r="D1457" s="7" t="s">
        <v>7578</v>
      </c>
      <c r="E1457" s="6" t="s">
        <v>2605</v>
      </c>
      <c r="F1457" s="6" t="s">
        <v>8063</v>
      </c>
      <c r="G1457" s="8">
        <v>45547</v>
      </c>
      <c r="H1457" s="6">
        <v>4.79</v>
      </c>
      <c r="I1457" s="6" cm="1">
        <f t="array" ref="I1457">IFERROR(VALUE(TRIM(LEFT(E1457,MIN(FIND({" ";"g";"k";"m";"o"},E1457&amp;" gkmo"))-1))),0)</f>
        <v>220</v>
      </c>
      <c r="J1457" s="6" t="str" cm="1">
        <f t="array" ref="J1457">IFERROR(TRIM(MID(E1457,MIN(FIND({" ";"g";"k";"m";"o"},E1457&amp;" gkmo")),10)),"unknown")</f>
        <v>g</v>
      </c>
      <c r="K1457" s="6" t="str">
        <f t="shared" si="88"/>
        <v>g</v>
      </c>
      <c r="L1457" s="6" t="str">
        <f t="shared" si="89"/>
        <v>Gullà³N</v>
      </c>
      <c r="M1457" s="6" t="str">
        <f t="shared" si="90"/>
        <v>Gullon Hearts Of Cereal Breakfast</v>
      </c>
      <c r="N1457" s="6" t="str">
        <f t="shared" si="91"/>
        <v>France, Italy, Morocco</v>
      </c>
    </row>
    <row r="1458" spans="1:14" x14ac:dyDescent="0.25">
      <c r="A1458" s="6" t="s">
        <v>3626</v>
      </c>
      <c r="B1458" s="6">
        <v>10742</v>
      </c>
      <c r="C1458" s="6" t="s">
        <v>3627</v>
      </c>
      <c r="D1458" s="7" t="s">
        <v>7598</v>
      </c>
      <c r="E1458" s="6"/>
      <c r="F1458" s="6" t="s">
        <v>8064</v>
      </c>
      <c r="G1458" s="8">
        <v>45625</v>
      </c>
      <c r="H1458" s="6">
        <v>23.07</v>
      </c>
      <c r="I1458" s="6" cm="1">
        <f t="array" ref="I1458">IFERROR(VALUE(TRIM(LEFT(E1458,MIN(FIND({" ";"g";"k";"m";"o"},E1458&amp;" gkmo"))-1))),0)</f>
        <v>0</v>
      </c>
      <c r="J1458" s="6" t="str" cm="1">
        <f t="array" ref="J1458">IFERROR(TRIM(MID(E1458,MIN(FIND({" ";"g";"k";"m";"o"},E1458&amp;" gkmo")),10)),"unknown")</f>
        <v/>
      </c>
      <c r="K1458" s="6" t="str">
        <f t="shared" si="88"/>
        <v>unknown</v>
      </c>
      <c r="L1458" s="6" t="str">
        <f t="shared" si="89"/>
        <v>Florbàº</v>
      </c>
      <c r="M1458" s="6" t="str">
        <f t="shared" si="90"/>
        <v>Muesli &amp; Raisin Cookies 185G</v>
      </c>
      <c r="N1458" s="6" t="str">
        <f t="shared" si="91"/>
        <v>Cape-Verde, Morocco, Spain, France</v>
      </c>
    </row>
    <row r="1459" spans="1:14" x14ac:dyDescent="0.25">
      <c r="A1459" s="6" t="s">
        <v>3628</v>
      </c>
      <c r="B1459" s="6">
        <v>13726</v>
      </c>
      <c r="C1459" s="6" t="s">
        <v>3629</v>
      </c>
      <c r="D1459" s="7" t="s">
        <v>3630</v>
      </c>
      <c r="E1459" s="6"/>
      <c r="F1459" s="6" t="s">
        <v>8027</v>
      </c>
      <c r="G1459" s="8">
        <v>45664</v>
      </c>
      <c r="H1459" s="6">
        <v>13.16</v>
      </c>
      <c r="I1459" s="6" cm="1">
        <f t="array" ref="I1459">IFERROR(VALUE(TRIM(LEFT(E1459,MIN(FIND({" ";"g";"k";"m";"o"},E1459&amp;" gkmo"))-1))),0)</f>
        <v>0</v>
      </c>
      <c r="J1459" s="6" t="str" cm="1">
        <f t="array" ref="J1459">IFERROR(TRIM(MID(E1459,MIN(FIND({" ";"g";"k";"m";"o"},E1459&amp;" gkmo")),10)),"unknown")</f>
        <v/>
      </c>
      <c r="K1459" s="6" t="str">
        <f t="shared" si="88"/>
        <v>unknown</v>
      </c>
      <c r="L1459" s="6" t="str">
        <f t="shared" si="89"/>
        <v>San Nicasio</v>
      </c>
      <c r="M1459" s="6" t="str">
        <f t="shared" si="90"/>
        <v>San Nicasio Crisps Imp</v>
      </c>
      <c r="N1459" s="6" t="str">
        <f t="shared" si="91"/>
        <v>France, Spain, United-Kingdom</v>
      </c>
    </row>
    <row r="1460" spans="1:14" x14ac:dyDescent="0.25">
      <c r="A1460" s="6" t="s">
        <v>3631</v>
      </c>
      <c r="B1460" s="6">
        <v>9124</v>
      </c>
      <c r="C1460" s="6" t="s">
        <v>3632</v>
      </c>
      <c r="D1460" s="7" t="s">
        <v>7017</v>
      </c>
      <c r="E1460" s="6" t="s">
        <v>2343</v>
      </c>
      <c r="F1460" s="6" t="s">
        <v>7595</v>
      </c>
      <c r="G1460" s="8">
        <v>45385</v>
      </c>
      <c r="H1460" s="6">
        <v>18.829999999999998</v>
      </c>
      <c r="I1460" s="6" cm="1">
        <f t="array" ref="I1460">IFERROR(VALUE(TRIM(LEFT(E1460,MIN(FIND({" ";"g";"k";"m";"o"},E1460&amp;" gkmo"))-1))),0)</f>
        <v>150</v>
      </c>
      <c r="J1460" s="6" t="str" cm="1">
        <f t="array" ref="J1460">IFERROR(TRIM(MID(E1460,MIN(FIND({" ";"g";"k";"m";"o"},E1460&amp;" gkmo")),10)),"unknown")</f>
        <v>g (6 x 25</v>
      </c>
      <c r="K1460" s="6" t="str">
        <f t="shared" si="88"/>
        <v>g</v>
      </c>
      <c r="L1460" s="6" t="str">
        <f t="shared" si="89"/>
        <v>Unknown</v>
      </c>
      <c r="M1460" s="6" t="str">
        <f t="shared" si="90"/>
        <v>Barritas De Cereales Muesli Con Avellanas Y Almendras</v>
      </c>
      <c r="N1460" s="6" t="str">
        <f t="shared" si="91"/>
        <v>Espaà±A</v>
      </c>
    </row>
    <row r="1461" spans="1:14" x14ac:dyDescent="0.25">
      <c r="A1461" s="6" t="s">
        <v>3633</v>
      </c>
      <c r="B1461" s="6">
        <v>10397</v>
      </c>
      <c r="C1461" s="6" t="s">
        <v>3634</v>
      </c>
      <c r="D1461" s="7" t="s">
        <v>3635</v>
      </c>
      <c r="E1461" s="6" t="s">
        <v>3636</v>
      </c>
      <c r="F1461" s="6" t="s">
        <v>8065</v>
      </c>
      <c r="G1461" s="8">
        <v>45534</v>
      </c>
      <c r="H1461" s="6">
        <v>11.06</v>
      </c>
      <c r="I1461" s="6" cm="1">
        <f t="array" ref="I1461">IFERROR(VALUE(TRIM(LEFT(E1461,MIN(FIND({" ";"g";"k";"m";"o"},E1461&amp;" gkmo"))-1))),0)</f>
        <v>55</v>
      </c>
      <c r="J1461" s="6" t="str" cm="1">
        <f t="array" ref="J1461">IFERROR(TRIM(MID(E1461,MIN(FIND({" ";"g";"k";"m";"o"},E1461&amp;" gkmo")),10)),"unknown")</f>
        <v>oz</v>
      </c>
      <c r="K1461" s="6" t="str">
        <f t="shared" si="88"/>
        <v>unknown</v>
      </c>
      <c r="L1461" s="6" t="str">
        <f t="shared" si="89"/>
        <v>Kirkland Signature</v>
      </c>
      <c r="M1461" s="6" t="str">
        <f t="shared" si="90"/>
        <v>Peanut Butter Pretzels</v>
      </c>
      <c r="N1461" s="6" t="str">
        <f t="shared" si="91"/>
        <v>Canada, France, United States, United-Kingdom</v>
      </c>
    </row>
    <row r="1462" spans="1:14" x14ac:dyDescent="0.25">
      <c r="A1462" s="6" t="s">
        <v>3637</v>
      </c>
      <c r="B1462" s="6">
        <v>5585</v>
      </c>
      <c r="C1462" s="6" t="s">
        <v>7248</v>
      </c>
      <c r="D1462" s="7" t="s">
        <v>3638</v>
      </c>
      <c r="E1462" s="6" t="s">
        <v>840</v>
      </c>
      <c r="F1462" s="6" t="s">
        <v>8280</v>
      </c>
      <c r="G1462" s="8">
        <v>45601</v>
      </c>
      <c r="H1462" s="6">
        <v>19.559999999999999</v>
      </c>
      <c r="I1462" s="6" cm="1">
        <f t="array" ref="I1462">IFERROR(VALUE(TRIM(LEFT(E1462,MIN(FIND({" ";"g";"k";"m";"o"},E1462&amp;" gkmo"))-1))),0)</f>
        <v>175</v>
      </c>
      <c r="J1462" s="6" t="str" cm="1">
        <f t="array" ref="J1462">IFERROR(TRIM(MID(E1462,MIN(FIND({" ";"g";"k";"m";"o"},E1462&amp;" gkmo")),10)),"unknown")</f>
        <v>g</v>
      </c>
      <c r="K1462" s="6" t="str">
        <f t="shared" si="88"/>
        <v>g</v>
      </c>
      <c r="L1462" s="6" t="str">
        <f t="shared" si="89"/>
        <v>Carrefour, Reflets De France</v>
      </c>
      <c r="M1462" s="6" t="str">
        <f t="shared" si="90"/>
        <v>Sablés Normands</v>
      </c>
      <c r="N1462" s="6" t="str">
        <f t="shared" si="91"/>
        <v>France,Italie,Spain</v>
      </c>
    </row>
    <row r="1463" spans="1:14" x14ac:dyDescent="0.25">
      <c r="A1463" s="6" t="s">
        <v>3639</v>
      </c>
      <c r="B1463" s="6">
        <v>11496</v>
      </c>
      <c r="C1463" s="6" t="s">
        <v>7488</v>
      </c>
      <c r="D1463" s="7" t="s">
        <v>7017</v>
      </c>
      <c r="E1463" s="6" t="s">
        <v>2042</v>
      </c>
      <c r="F1463" s="6" t="s">
        <v>139</v>
      </c>
      <c r="G1463" s="8">
        <v>45616</v>
      </c>
      <c r="H1463" s="6">
        <v>8.44</v>
      </c>
      <c r="I1463" s="6" cm="1">
        <f t="array" ref="I1463">IFERROR(VALUE(TRIM(LEFT(E1463,MIN(FIND({" ";"g";"k";"m";"o"},E1463&amp;" gkmo"))-1))),0)</f>
        <v>363</v>
      </c>
      <c r="J1463" s="6" t="str" cm="1">
        <f t="array" ref="J1463">IFERROR(TRIM(MID(E1463,MIN(FIND({" ";"g";"k";"m";"o"},E1463&amp;" gkmo")),10)),"unknown")</f>
        <v>g</v>
      </c>
      <c r="K1463" s="6" t="str">
        <f t="shared" si="88"/>
        <v>g</v>
      </c>
      <c r="L1463" s="6" t="str">
        <f t="shared" si="89"/>
        <v>Unknown</v>
      </c>
      <c r="M1463" s="6" t="str">
        <f t="shared" si="90"/>
        <v>Lotus Gaufre De Liège Chocolat Au Lait 363G (7X1P)</v>
      </c>
      <c r="N1463" s="6" t="str">
        <f t="shared" si="91"/>
        <v>France</v>
      </c>
    </row>
    <row r="1464" spans="1:14" x14ac:dyDescent="0.25">
      <c r="A1464" s="6" t="s">
        <v>3640</v>
      </c>
      <c r="B1464" s="6">
        <v>11106</v>
      </c>
      <c r="C1464" s="6" t="s">
        <v>3641</v>
      </c>
      <c r="D1464" s="7" t="s">
        <v>452</v>
      </c>
      <c r="E1464" s="6" t="s">
        <v>185</v>
      </c>
      <c r="F1464" s="6" t="s">
        <v>7595</v>
      </c>
      <c r="G1464" s="8">
        <v>45328</v>
      </c>
      <c r="H1464" s="6">
        <v>10.02</v>
      </c>
      <c r="I1464" s="6" cm="1">
        <f t="array" ref="I1464">IFERROR(VALUE(TRIM(LEFT(E1464,MIN(FIND({" ";"g";"k";"m";"o"},E1464&amp;" gkmo"))-1))),0)</f>
        <v>270</v>
      </c>
      <c r="J1464" s="6" t="str" cm="1">
        <f t="array" ref="J1464">IFERROR(TRIM(MID(E1464,MIN(FIND({" ";"g";"k";"m";"o"},E1464&amp;" gkmo")),10)),"unknown")</f>
        <v>g</v>
      </c>
      <c r="K1464" s="6" t="str">
        <f t="shared" si="88"/>
        <v>g</v>
      </c>
      <c r="L1464" s="6" t="str">
        <f t="shared" si="89"/>
        <v>Hacendado</v>
      </c>
      <c r="M1464" s="6" t="str">
        <f t="shared" si="90"/>
        <v>Palomitas Pipocas Microondas Sal</v>
      </c>
      <c r="N1464" s="6" t="str">
        <f t="shared" si="91"/>
        <v>Espaà±A</v>
      </c>
    </row>
    <row r="1465" spans="1:14" x14ac:dyDescent="0.25">
      <c r="A1465" s="6" t="s">
        <v>3642</v>
      </c>
      <c r="B1465" s="6">
        <v>12336</v>
      </c>
      <c r="C1465" s="6" t="s">
        <v>7249</v>
      </c>
      <c r="D1465" s="7" t="s">
        <v>135</v>
      </c>
      <c r="E1465" s="6" t="s">
        <v>18</v>
      </c>
      <c r="F1465" s="6" t="s">
        <v>8066</v>
      </c>
      <c r="G1465" s="8">
        <v>45726</v>
      </c>
      <c r="H1465" s="6">
        <v>5.3</v>
      </c>
      <c r="I1465" s="6" cm="1">
        <f t="array" ref="I1465">IFERROR(VALUE(TRIM(LEFT(E1465,MIN(FIND({" ";"g";"k";"m";"o"},E1465&amp;" gkmo"))-1))),0)</f>
        <v>100</v>
      </c>
      <c r="J1465" s="6" t="str" cm="1">
        <f t="array" ref="J1465">IFERROR(TRIM(MID(E1465,MIN(FIND({" ";"g";"k";"m";"o"},E1465&amp;" gkmo")),10)),"unknown")</f>
        <v>g</v>
      </c>
      <c r="K1465" s="6" t="str">
        <f t="shared" si="88"/>
        <v>g</v>
      </c>
      <c r="L1465" s="6" t="str">
        <f t="shared" si="89"/>
        <v>Milka</v>
      </c>
      <c r="M1465" s="6" t="str">
        <f t="shared" si="90"/>
        <v>Milka Oréo</v>
      </c>
      <c r="N1465" s="6" t="str">
        <f t="shared" si="91"/>
        <v>France, Romania, Morocco</v>
      </c>
    </row>
    <row r="1466" spans="1:14" x14ac:dyDescent="0.25">
      <c r="A1466" s="6" t="s">
        <v>3643</v>
      </c>
      <c r="B1466" s="6">
        <v>6928</v>
      </c>
      <c r="C1466" s="6" t="s">
        <v>7017</v>
      </c>
      <c r="D1466" s="7" t="s">
        <v>3644</v>
      </c>
      <c r="E1466" s="6" t="s">
        <v>855</v>
      </c>
      <c r="F1466" s="6" t="s">
        <v>3645</v>
      </c>
      <c r="G1466" s="8">
        <v>45691</v>
      </c>
      <c r="H1466" s="6">
        <v>13.16</v>
      </c>
      <c r="I1466" s="6" cm="1">
        <f t="array" ref="I1466">IFERROR(VALUE(TRIM(LEFT(E1466,MIN(FIND({" ";"g";"k";"m";"o"},E1466&amp;" gkmo"))-1))),0)</f>
        <v>80</v>
      </c>
      <c r="J1466" s="6" t="str" cm="1">
        <f t="array" ref="J1466">IFERROR(TRIM(MID(E1466,MIN(FIND({" ";"g";"k";"m";"o"},E1466&amp;" gkmo")),10)),"unknown")</f>
        <v>g</v>
      </c>
      <c r="K1466" s="6" t="str">
        <f t="shared" si="88"/>
        <v>g</v>
      </c>
      <c r="L1466" s="6" t="str">
        <f t="shared" si="89"/>
        <v>Roshen</v>
      </c>
      <c r="M1466" s="6" t="str">
        <f t="shared" si="90"/>
        <v>Unknown</v>
      </c>
      <c r="N1466" s="6" t="str">
        <f t="shared" si="91"/>
        <v>Bulgaria,Georgia,Romania</v>
      </c>
    </row>
    <row r="1467" spans="1:14" x14ac:dyDescent="0.25">
      <c r="A1467" s="6" t="s">
        <v>3646</v>
      </c>
      <c r="B1467" s="6">
        <v>12601</v>
      </c>
      <c r="C1467" s="6" t="s">
        <v>3647</v>
      </c>
      <c r="D1467" s="7" t="s">
        <v>7733</v>
      </c>
      <c r="E1467" s="6" t="s">
        <v>1977</v>
      </c>
      <c r="F1467" s="6" t="s">
        <v>8067</v>
      </c>
      <c r="G1467" s="8">
        <v>45797</v>
      </c>
      <c r="H1467" s="6">
        <v>23.91</v>
      </c>
      <c r="I1467" s="6" cm="1">
        <f t="array" ref="I1467">IFERROR(VALUE(TRIM(LEFT(E1467,MIN(FIND({" ";"g";"k";"m";"o"},E1467&amp;" gkmo"))-1))),0)</f>
        <v>170</v>
      </c>
      <c r="J1467" s="6" t="str" cm="1">
        <f t="array" ref="J1467">IFERROR(TRIM(MID(E1467,MIN(FIND({" ";"g";"k";"m";"o"},E1467&amp;" gkmo")),10)),"unknown")</f>
        <v>g</v>
      </c>
      <c r="K1467" s="6" t="str">
        <f t="shared" si="88"/>
        <v>g</v>
      </c>
      <c r="L1467" s="6" t="str">
        <f t="shared" si="89"/>
        <v>Arvid Nordquist Norge As, Schà¤R</v>
      </c>
      <c r="M1467" s="6" t="str">
        <f t="shared" si="90"/>
        <v>Curvies Original Gluten Free</v>
      </c>
      <c r="N1467" s="6" t="str">
        <f t="shared" si="91"/>
        <v>France, Germany, United Kingdom, Morocco</v>
      </c>
    </row>
    <row r="1468" spans="1:14" x14ac:dyDescent="0.25">
      <c r="A1468" s="6" t="s">
        <v>3648</v>
      </c>
      <c r="B1468" s="6">
        <v>10167</v>
      </c>
      <c r="C1468" s="6" t="s">
        <v>3649</v>
      </c>
      <c r="D1468" s="7" t="s">
        <v>3650</v>
      </c>
      <c r="E1468" s="6" t="s">
        <v>3651</v>
      </c>
      <c r="F1468" s="6" t="s">
        <v>2973</v>
      </c>
      <c r="G1468" s="8">
        <v>45528</v>
      </c>
      <c r="H1468" s="6">
        <v>17.579999999999998</v>
      </c>
      <c r="I1468" s="6" cm="1">
        <f t="array" ref="I1468">IFERROR(VALUE(TRIM(LEFT(E1468,MIN(FIND({" ";"g";"k";"m";"o"},E1468&amp;" gkmo"))-1))),0)</f>
        <v>6</v>
      </c>
      <c r="J1468" s="6" t="str" cm="1">
        <f t="array" ref="J1468">IFERROR(TRIM(MID(E1468,MIN(FIND({" ";"g";"k";"m";"o"},E1468&amp;" gkmo")),10)),"unknown")</f>
        <v>Bags 25g</v>
      </c>
      <c r="K1468" s="6" t="str">
        <f t="shared" si="88"/>
        <v>g</v>
      </c>
      <c r="L1468" s="6" t="str">
        <f t="shared" si="89"/>
        <v>Specially Selected</v>
      </c>
      <c r="M1468" s="6" t="str">
        <f t="shared" si="90"/>
        <v>Hand Cooked Lightly Salted Potato Crisps</v>
      </c>
      <c r="N1468" s="6" t="str">
        <f t="shared" si="91"/>
        <v>Gb</v>
      </c>
    </row>
    <row r="1469" spans="1:14" x14ac:dyDescent="0.25">
      <c r="A1469" s="6" t="s">
        <v>3652</v>
      </c>
      <c r="B1469" s="6">
        <v>7146</v>
      </c>
      <c r="C1469" s="6" t="s">
        <v>3653</v>
      </c>
      <c r="D1469" s="7" t="s">
        <v>3654</v>
      </c>
      <c r="E1469" s="6" t="s">
        <v>39</v>
      </c>
      <c r="F1469" s="6" t="s">
        <v>139</v>
      </c>
      <c r="G1469" s="8">
        <v>45899</v>
      </c>
      <c r="H1469" s="6">
        <v>20.329999999999998</v>
      </c>
      <c r="I1469" s="6" cm="1">
        <f t="array" ref="I1469">IFERROR(VALUE(TRIM(LEFT(E1469,MIN(FIND({" ";"g";"k";"m";"o"},E1469&amp;" gkmo"))-1))),0)</f>
        <v>150</v>
      </c>
      <c r="J1469" s="6" t="str" cm="1">
        <f t="array" ref="J1469">IFERROR(TRIM(MID(E1469,MIN(FIND({" ";"g";"k";"m";"o"},E1469&amp;" gkmo")),10)),"unknown")</f>
        <v>g</v>
      </c>
      <c r="K1469" s="6" t="str">
        <f t="shared" si="88"/>
        <v>g</v>
      </c>
      <c r="L1469" s="6" t="str">
        <f t="shared" si="89"/>
        <v>Snacks Of The World</v>
      </c>
      <c r="M1469" s="6" t="str">
        <f t="shared" si="90"/>
        <v>Cashew Nuts Unsalted (Anacardos Sin Sal)</v>
      </c>
      <c r="N1469" s="6" t="str">
        <f t="shared" si="91"/>
        <v>France</v>
      </c>
    </row>
    <row r="1470" spans="1:14" x14ac:dyDescent="0.25">
      <c r="A1470" s="6" t="s">
        <v>3655</v>
      </c>
      <c r="B1470" s="6">
        <v>11725</v>
      </c>
      <c r="C1470" s="6" t="s">
        <v>7734</v>
      </c>
      <c r="D1470" s="7" t="s">
        <v>3462</v>
      </c>
      <c r="E1470" s="6" t="s">
        <v>156</v>
      </c>
      <c r="F1470" s="6" t="s">
        <v>8378</v>
      </c>
      <c r="G1470" s="8">
        <v>45589</v>
      </c>
      <c r="H1470" s="6">
        <v>10.6</v>
      </c>
      <c r="I1470" s="6" cm="1">
        <f t="array" ref="I1470">IFERROR(VALUE(TRIM(LEFT(E1470,MIN(FIND({" ";"g";"k";"m";"o"},E1470&amp;" gkmo"))-1))),0)</f>
        <v>500</v>
      </c>
      <c r="J1470" s="6" t="str" cm="1">
        <f t="array" ref="J1470">IFERROR(TRIM(MID(E1470,MIN(FIND({" ";"g";"k";"m";"o"},E1470&amp;" gkmo")),10)),"unknown")</f>
        <v>g</v>
      </c>
      <c r="K1470" s="6" t="str">
        <f t="shared" si="88"/>
        <v>g</v>
      </c>
      <c r="L1470" s="6" t="str">
        <f t="shared" si="89"/>
        <v>Harvest Basket</v>
      </c>
      <c r="M1470" s="6" t="str">
        <f t="shared" si="90"/>
        <v>Sà¼Àÿkartoffel Pommes</v>
      </c>
      <c r="N1470" s="6" t="str">
        <f t="shared" si="91"/>
        <v>République Tchèque,France,Germany,Hongrie,United Kingdom</v>
      </c>
    </row>
    <row r="1471" spans="1:14" x14ac:dyDescent="0.25">
      <c r="A1471" s="6" t="s">
        <v>3656</v>
      </c>
      <c r="B1471" s="6">
        <v>12892</v>
      </c>
      <c r="C1471" s="6" t="s">
        <v>378</v>
      </c>
      <c r="D1471" s="7" t="s">
        <v>646</v>
      </c>
      <c r="E1471" s="6" t="s">
        <v>3657</v>
      </c>
      <c r="F1471" s="6" t="s">
        <v>8284</v>
      </c>
      <c r="G1471" s="8">
        <v>45990</v>
      </c>
      <c r="H1471" s="6">
        <v>8.5</v>
      </c>
      <c r="I1471" s="6" cm="1">
        <f t="array" ref="I1471">IFERROR(VALUE(TRIM(LEFT(E1471,MIN(FIND({" ";"g";"k";"m";"o"},E1471&amp;" gkmo"))-1))),0)</f>
        <v>150</v>
      </c>
      <c r="J1471" s="6" t="str" cm="1">
        <f t="array" ref="J1471">IFERROR(TRIM(MID(E1471,MIN(FIND({" ";"g";"k";"m";"o"},E1471&amp;" gkmo")),10)),"unknown")</f>
        <v>g (2 x 75</v>
      </c>
      <c r="K1471" s="6" t="str">
        <f t="shared" si="88"/>
        <v>g</v>
      </c>
      <c r="L1471" s="6" t="str">
        <f t="shared" si="89"/>
        <v>Carrefour Bio, Carrefour</v>
      </c>
      <c r="M1471" s="6" t="str">
        <f t="shared" si="90"/>
        <v>Tartines Craquantes Sarrasin</v>
      </c>
      <c r="N1471" s="6" t="str">
        <f t="shared" si="91"/>
        <v>France, Belgium, Italie, Spain</v>
      </c>
    </row>
    <row r="1472" spans="1:14" x14ac:dyDescent="0.25">
      <c r="A1472" s="6" t="s">
        <v>3658</v>
      </c>
      <c r="B1472" s="6">
        <v>12624</v>
      </c>
      <c r="C1472" s="6" t="s">
        <v>3659</v>
      </c>
      <c r="D1472" s="7" t="s">
        <v>2109</v>
      </c>
      <c r="E1472" s="6" t="s">
        <v>2792</v>
      </c>
      <c r="F1472" s="6" t="s">
        <v>2973</v>
      </c>
      <c r="G1472" s="8">
        <v>45929</v>
      </c>
      <c r="H1472" s="6">
        <v>1.44</v>
      </c>
      <c r="I1472" s="6" cm="1">
        <f t="array" ref="I1472">IFERROR(VALUE(TRIM(LEFT(E1472,MIN(FIND({" ";"g";"k";"m";"o"},E1472&amp;" gkmo"))-1))),0)</f>
        <v>5</v>
      </c>
      <c r="J1472" s="6" t="str" cm="1">
        <f t="array" ref="J1472">IFERROR(TRIM(MID(E1472,MIN(FIND({" ";"g";"k";"m";"o"},E1472&amp;" gkmo")),10)),"unknown")</f>
        <v>x 17 g</v>
      </c>
      <c r="K1472" s="6" t="str">
        <f t="shared" si="88"/>
        <v>g</v>
      </c>
      <c r="L1472" s="6" t="str">
        <f t="shared" si="89"/>
        <v>Popchips</v>
      </c>
      <c r="M1472" s="6" t="str">
        <f t="shared" si="90"/>
        <v>Sour Cream &amp; Onion Flavour Potato Chips</v>
      </c>
      <c r="N1472" s="6" t="str">
        <f t="shared" si="91"/>
        <v>Gb</v>
      </c>
    </row>
    <row r="1473" spans="1:14" x14ac:dyDescent="0.25">
      <c r="A1473" s="6" t="s">
        <v>3660</v>
      </c>
      <c r="B1473" s="6">
        <v>6202</v>
      </c>
      <c r="C1473" s="6" t="s">
        <v>3661</v>
      </c>
      <c r="D1473" s="7" t="s">
        <v>3370</v>
      </c>
      <c r="E1473" s="6" t="s">
        <v>1962</v>
      </c>
      <c r="F1473" s="6" t="s">
        <v>2973</v>
      </c>
      <c r="G1473" s="8">
        <v>45723</v>
      </c>
      <c r="H1473" s="6">
        <v>15.06</v>
      </c>
      <c r="I1473" s="6" cm="1">
        <f t="array" ref="I1473">IFERROR(VALUE(TRIM(LEFT(E1473,MIN(FIND({" ";"g";"k";"m";"o"},E1473&amp;" gkmo"))-1))),0)</f>
        <v>135</v>
      </c>
      <c r="J1473" s="6" t="str" cm="1">
        <f t="array" ref="J1473">IFERROR(TRIM(MID(E1473,MIN(FIND({" ";"g";"k";"m";"o"},E1473&amp;" gkmo")),10)),"unknown")</f>
        <v>g</v>
      </c>
      <c r="K1473" s="6" t="str">
        <f t="shared" si="88"/>
        <v>g</v>
      </c>
      <c r="L1473" s="6" t="str">
        <f t="shared" si="89"/>
        <v>Snaktastic</v>
      </c>
      <c r="M1473" s="6" t="str">
        <f t="shared" si="90"/>
        <v>Hummus Bites Tomato And Basil</v>
      </c>
      <c r="N1473" s="6" t="str">
        <f t="shared" si="91"/>
        <v>Gb</v>
      </c>
    </row>
    <row r="1474" spans="1:14" x14ac:dyDescent="0.25">
      <c r="A1474" s="6" t="s">
        <v>3662</v>
      </c>
      <c r="B1474" s="6">
        <v>5994</v>
      </c>
      <c r="C1474" s="6" t="s">
        <v>3663</v>
      </c>
      <c r="D1474" s="7" t="s">
        <v>1985</v>
      </c>
      <c r="E1474" s="6" t="s">
        <v>44</v>
      </c>
      <c r="F1474" s="6" t="s">
        <v>241</v>
      </c>
      <c r="G1474" s="8">
        <v>45647</v>
      </c>
      <c r="H1474" s="6">
        <v>14.74</v>
      </c>
      <c r="I1474" s="6" cm="1">
        <f t="array" ref="I1474">IFERROR(VALUE(TRIM(LEFT(E1474,MIN(FIND({" ";"g";"k";"m";"o"},E1474&amp;" gkmo"))-1))),0)</f>
        <v>90</v>
      </c>
      <c r="J1474" s="6" t="str" cm="1">
        <f t="array" ref="J1474">IFERROR(TRIM(MID(E1474,MIN(FIND({" ";"g";"k";"m";"o"},E1474&amp;" gkmo")),10)),"unknown")</f>
        <v>g</v>
      </c>
      <c r="K1474" s="6" t="str">
        <f t="shared" si="88"/>
        <v>g</v>
      </c>
      <c r="L1474" s="6" t="str">
        <f t="shared" si="89"/>
        <v>Funny-Frisch</v>
      </c>
      <c r="M1474" s="6" t="str">
        <f t="shared" si="90"/>
        <v>Linsen Chips Paprika Style</v>
      </c>
      <c r="N1474" s="6" t="str">
        <f t="shared" si="91"/>
        <v>Germany</v>
      </c>
    </row>
    <row r="1475" spans="1:14" x14ac:dyDescent="0.25">
      <c r="A1475" s="6" t="s">
        <v>3664</v>
      </c>
      <c r="B1475" s="6">
        <v>5047</v>
      </c>
      <c r="C1475" s="6" t="s">
        <v>7250</v>
      </c>
      <c r="D1475" s="7" t="s">
        <v>3594</v>
      </c>
      <c r="E1475" s="6" t="s">
        <v>335</v>
      </c>
      <c r="F1475" s="6" t="s">
        <v>139</v>
      </c>
      <c r="G1475" s="8">
        <v>45902</v>
      </c>
      <c r="H1475" s="6">
        <v>17.34</v>
      </c>
      <c r="I1475" s="6" cm="1">
        <f t="array" ref="I1475">IFERROR(VALUE(TRIM(LEFT(E1475,MIN(FIND({" ";"g";"k";"m";"o"},E1475&amp;" gkmo"))-1))),0)</f>
        <v>250</v>
      </c>
      <c r="J1475" s="6" t="str" cm="1">
        <f t="array" ref="J1475">IFERROR(TRIM(MID(E1475,MIN(FIND({" ";"g";"k";"m";"o"},E1475&amp;" gkmo")),10)),"unknown")</f>
        <v>g</v>
      </c>
      <c r="K1475" s="6" t="str">
        <f t="shared" ref="K1475:K1538" si="92">IF(E1475="","unknown",IF(OR(J1475="g",LEFT(J1475,1)="g"),"g",IF(OR(LEFT(J1475,2)="kg",LEFT(J1475,2)="ki"),"kg",IF(OR(LEFT(J1475,2)="ml",LEFT(J1475,1)="m"),"ml",IF(LEFT(J1475,1)="l","l",IF(ISNUMBER(SEARCH("g",E1475)),"g",IF(ISNUMBER(SEARCH("kg",E1475)),"kg",IF(ISNUMBER(SEARCH("ml",E1475)),"ml","unknown"))))))))</f>
        <v>g</v>
      </c>
      <c r="L1475" s="6" t="str">
        <f t="shared" ref="L1475:L1538" si="93">IF(D1475="","Unknown",PROPER(TRIM(D1475)))</f>
        <v>U</v>
      </c>
      <c r="M1475" s="6" t="str">
        <f t="shared" ref="M1475:M1538" si="94">IF(C1475="Unknown","Unknown",PROPER(TRIM(C1475)))</f>
        <v>Tartines Craquantes Au Blé Complet 250G</v>
      </c>
      <c r="N1475" s="6" t="str">
        <f t="shared" ref="N1475:N1538" si="95">IF(F1475="","Unknown",PROPER(TRIM(F1475)))</f>
        <v>France</v>
      </c>
    </row>
    <row r="1476" spans="1:14" x14ac:dyDescent="0.25">
      <c r="A1476" s="6" t="s">
        <v>3665</v>
      </c>
      <c r="B1476" s="6">
        <v>12251</v>
      </c>
      <c r="C1476" s="6" t="s">
        <v>3666</v>
      </c>
      <c r="D1476" s="7" t="s">
        <v>7456</v>
      </c>
      <c r="E1476" s="6" t="s">
        <v>335</v>
      </c>
      <c r="F1476" s="6" t="s">
        <v>5759</v>
      </c>
      <c r="G1476" s="8">
        <v>45408</v>
      </c>
      <c r="H1476" s="6">
        <v>14.1</v>
      </c>
      <c r="I1476" s="6" cm="1">
        <f t="array" ref="I1476">IFERROR(VALUE(TRIM(LEFT(E1476,MIN(FIND({" ";"g";"k";"m";"o"},E1476&amp;" gkmo"))-1))),0)</f>
        <v>250</v>
      </c>
      <c r="J1476" s="6" t="str" cm="1">
        <f t="array" ref="J1476">IFERROR(TRIM(MID(E1476,MIN(FIND({" ";"g";"k";"m";"o"},E1476&amp;" gkmo")),10)),"unknown")</f>
        <v>g</v>
      </c>
      <c r="K1476" s="6" t="str">
        <f t="shared" si="92"/>
        <v>g</v>
      </c>
      <c r="L1476" s="6" t="str">
        <f t="shared" si="93"/>
        <v>La Boulangère</v>
      </c>
      <c r="M1476" s="6" t="str">
        <f t="shared" si="94"/>
        <v>Brioche Muffin X 5 250G</v>
      </c>
      <c r="N1476" s="6" t="str">
        <f t="shared" si="95"/>
        <v>Fr</v>
      </c>
    </row>
    <row r="1477" spans="1:14" x14ac:dyDescent="0.25">
      <c r="A1477" s="6" t="s">
        <v>3667</v>
      </c>
      <c r="B1477" s="6">
        <v>9339</v>
      </c>
      <c r="C1477" s="6" t="s">
        <v>7538</v>
      </c>
      <c r="D1477" s="7" t="s">
        <v>3668</v>
      </c>
      <c r="E1477" s="6" t="s">
        <v>676</v>
      </c>
      <c r="F1477" s="6" t="s">
        <v>1356</v>
      </c>
      <c r="G1477" s="8">
        <v>45696</v>
      </c>
      <c r="H1477" s="6">
        <v>6.3</v>
      </c>
      <c r="I1477" s="6" cm="1">
        <f t="array" ref="I1477">IFERROR(VALUE(TRIM(LEFT(E1477,MIN(FIND({" ";"g";"k";"m";"o"},E1477&amp;" gkmo"))-1))),0)</f>
        <v>180</v>
      </c>
      <c r="J1477" s="6" t="str" cm="1">
        <f t="array" ref="J1477">IFERROR(TRIM(MID(E1477,MIN(FIND({" ";"g";"k";"m";"o"},E1477&amp;" gkmo")),10)),"unknown")</f>
        <v>g</v>
      </c>
      <c r="K1477" s="6" t="str">
        <f t="shared" si="92"/>
        <v>g</v>
      </c>
      <c r="L1477" s="6" t="str">
        <f t="shared" si="93"/>
        <v>Fairglobe, Way To Go!, Lidl</v>
      </c>
      <c r="M1477" s="6" t="str">
        <f t="shared" si="94"/>
        <v>Chocolat Noir, Éclats D'Amandes Grillées &amp; Pointe De Sel</v>
      </c>
      <c r="N1477" s="6" t="str">
        <f t="shared" si="95"/>
        <v>France,Germany</v>
      </c>
    </row>
    <row r="1478" spans="1:14" x14ac:dyDescent="0.25">
      <c r="A1478" s="6" t="s">
        <v>3669</v>
      </c>
      <c r="B1478" s="6">
        <v>6007</v>
      </c>
      <c r="C1478" s="6" t="s">
        <v>3670</v>
      </c>
      <c r="D1478" s="7" t="s">
        <v>1630</v>
      </c>
      <c r="E1478" s="6" t="s">
        <v>3671</v>
      </c>
      <c r="F1478" s="6" t="s">
        <v>7954</v>
      </c>
      <c r="G1478" s="8">
        <v>45618</v>
      </c>
      <c r="H1478" s="6">
        <v>1.84</v>
      </c>
      <c r="I1478" s="6" cm="1">
        <f t="array" ref="I1478">IFERROR(VALUE(TRIM(LEFT(E1478,MIN(FIND({" ";"g";"k";"m";"o"},E1478&amp;" gkmo"))-1))),0)</f>
        <v>136</v>
      </c>
      <c r="J1478" s="6" t="str" cm="1">
        <f t="array" ref="J1478">IFERROR(TRIM(MID(E1478,MIN(FIND({" ";"g";"k";"m";"o"},E1478&amp;" gkmo")),10)),"unknown")</f>
        <v>g</v>
      </c>
      <c r="K1478" s="6" t="str">
        <f t="shared" si="92"/>
        <v>g</v>
      </c>
      <c r="L1478" s="6" t="str">
        <f t="shared" si="93"/>
        <v>Delacre</v>
      </c>
      <c r="M1478" s="6" t="str">
        <f t="shared" si="94"/>
        <v>Cookies Classique</v>
      </c>
      <c r="N1478" s="6" t="str">
        <f t="shared" si="95"/>
        <v>France, Belgium</v>
      </c>
    </row>
    <row r="1479" spans="1:14" x14ac:dyDescent="0.25">
      <c r="A1479" s="6" t="s">
        <v>3672</v>
      </c>
      <c r="B1479" s="6">
        <v>5373</v>
      </c>
      <c r="C1479" s="6" t="s">
        <v>3673</v>
      </c>
      <c r="D1479" s="7" t="s">
        <v>940</v>
      </c>
      <c r="E1479" s="6"/>
      <c r="F1479" s="6" t="s">
        <v>177</v>
      </c>
      <c r="G1479" s="8">
        <v>45922</v>
      </c>
      <c r="H1479" s="6">
        <v>21.88</v>
      </c>
      <c r="I1479" s="6" cm="1">
        <f t="array" ref="I1479">IFERROR(VALUE(TRIM(LEFT(E1479,MIN(FIND({" ";"g";"k";"m";"o"},E1479&amp;" gkmo"))-1))),0)</f>
        <v>0</v>
      </c>
      <c r="J1479" s="6" t="str" cm="1">
        <f t="array" ref="J1479">IFERROR(TRIM(MID(E1479,MIN(FIND({" ";"g";"k";"m";"o"},E1479&amp;" gkmo")),10)),"unknown")</f>
        <v/>
      </c>
      <c r="K1479" s="6" t="str">
        <f t="shared" si="92"/>
        <v>unknown</v>
      </c>
      <c r="L1479" s="6" t="str">
        <f t="shared" si="93"/>
        <v>Crosta &amp; Mollica</v>
      </c>
      <c r="M1479" s="6" t="str">
        <f t="shared" si="94"/>
        <v>Almond Cantucci</v>
      </c>
      <c r="N1479" s="6" t="str">
        <f t="shared" si="95"/>
        <v>United Kingdom</v>
      </c>
    </row>
    <row r="1480" spans="1:14" x14ac:dyDescent="0.25">
      <c r="A1480" s="6" t="s">
        <v>3674</v>
      </c>
      <c r="B1480" s="6">
        <v>9137</v>
      </c>
      <c r="C1480" s="6" t="s">
        <v>3675</v>
      </c>
      <c r="D1480" s="7" t="s">
        <v>3676</v>
      </c>
      <c r="E1480" s="6" t="s">
        <v>1886</v>
      </c>
      <c r="F1480" s="6" t="s">
        <v>177</v>
      </c>
      <c r="G1480" s="8">
        <v>45980</v>
      </c>
      <c r="H1480" s="6">
        <v>9.0399999999999991</v>
      </c>
      <c r="I1480" s="6" cm="1">
        <f t="array" ref="I1480">IFERROR(VALUE(TRIM(LEFT(E1480,MIN(FIND({" ";"g";"k";"m";"o"},E1480&amp;" gkmo"))-1))),0)</f>
        <v>140</v>
      </c>
      <c r="J1480" s="6" t="str" cm="1">
        <f t="array" ref="J1480">IFERROR(TRIM(MID(E1480,MIN(FIND({" ";"g";"k";"m";"o"},E1480&amp;" gkmo")),10)),"unknown")</f>
        <v>g</v>
      </c>
      <c r="K1480" s="6" t="str">
        <f t="shared" si="92"/>
        <v>g</v>
      </c>
      <c r="L1480" s="6" t="str">
        <f t="shared" si="93"/>
        <v>Crosta And Mollica</v>
      </c>
      <c r="M1480" s="6" t="str">
        <f t="shared" si="94"/>
        <v>Amaretti</v>
      </c>
      <c r="N1480" s="6" t="str">
        <f t="shared" si="95"/>
        <v>United Kingdom</v>
      </c>
    </row>
    <row r="1481" spans="1:14" x14ac:dyDescent="0.25">
      <c r="A1481" s="6" t="s">
        <v>3677</v>
      </c>
      <c r="B1481" s="6">
        <v>7858</v>
      </c>
      <c r="C1481" s="6" t="s">
        <v>3678</v>
      </c>
      <c r="D1481" s="7" t="s">
        <v>3679</v>
      </c>
      <c r="E1481" s="6" t="s">
        <v>3680</v>
      </c>
      <c r="F1481" s="6" t="s">
        <v>177</v>
      </c>
      <c r="G1481" s="8">
        <v>45607</v>
      </c>
      <c r="H1481" s="6">
        <v>10.74</v>
      </c>
      <c r="I1481" s="6" cm="1">
        <f t="array" ref="I1481">IFERROR(VALUE(TRIM(LEFT(E1481,MIN(FIND({" ";"g";"k";"m";"o"},E1481&amp;" gkmo"))-1))),0)</f>
        <v>0</v>
      </c>
      <c r="J1481" s="6" t="str" cm="1">
        <f t="array" ref="J1481">IFERROR(TRIM(MID(E1481,MIN(FIND({" ";"g";"k";"m";"o"},E1481&amp;" gkmo")),10)),"unknown")</f>
        <v/>
      </c>
      <c r="K1481" s="6" t="str">
        <f t="shared" si="92"/>
        <v>g</v>
      </c>
      <c r="L1481" s="6" t="str">
        <f t="shared" si="93"/>
        <v>Itsu</v>
      </c>
      <c r="M1481" s="6" t="str">
        <f t="shared" si="94"/>
        <v>Crispy Seaweed Thins Sea Salt</v>
      </c>
      <c r="N1481" s="6" t="str">
        <f t="shared" si="95"/>
        <v>United Kingdom</v>
      </c>
    </row>
    <row r="1482" spans="1:14" x14ac:dyDescent="0.25">
      <c r="A1482" s="6" t="s">
        <v>3681</v>
      </c>
      <c r="B1482" s="6">
        <v>14567</v>
      </c>
      <c r="C1482" s="6" t="s">
        <v>3682</v>
      </c>
      <c r="D1482" s="7" t="s">
        <v>1311</v>
      </c>
      <c r="E1482" s="6" t="s">
        <v>123</v>
      </c>
      <c r="F1482" s="6" t="s">
        <v>8257</v>
      </c>
      <c r="G1482" s="8">
        <v>45468</v>
      </c>
      <c r="H1482" s="6">
        <v>13.16</v>
      </c>
      <c r="I1482" s="6" cm="1">
        <f t="array" ref="I1482">IFERROR(VALUE(TRIM(LEFT(E1482,MIN(FIND({" ";"g";"k";"m";"o"},E1482&amp;" gkmo"))-1))),0)</f>
        <v>50</v>
      </c>
      <c r="J1482" s="6" t="str" cm="1">
        <f t="array" ref="J1482">IFERROR(TRIM(MID(E1482,MIN(FIND({" ";"g";"k";"m";"o"},E1482&amp;" gkmo")),10)),"unknown")</f>
        <v>g</v>
      </c>
      <c r="K1482" s="6" t="str">
        <f t="shared" si="92"/>
        <v>g</v>
      </c>
      <c r="L1482" s="6" t="str">
        <f t="shared" si="93"/>
        <v>Snickers</v>
      </c>
      <c r="M1482" s="6" t="str">
        <f t="shared" si="94"/>
        <v>Snickers X10</v>
      </c>
      <c r="N1482" s="6" t="str">
        <f t="shared" si="95"/>
        <v>France,Germany,Morocco</v>
      </c>
    </row>
    <row r="1483" spans="1:14" x14ac:dyDescent="0.25">
      <c r="A1483" s="6" t="s">
        <v>3683</v>
      </c>
      <c r="B1483" s="6">
        <v>7873</v>
      </c>
      <c r="C1483" s="6" t="s">
        <v>7017</v>
      </c>
      <c r="D1483" s="7" t="s">
        <v>7251</v>
      </c>
      <c r="E1483" s="6" t="s">
        <v>18</v>
      </c>
      <c r="F1483" s="6" t="s">
        <v>3684</v>
      </c>
      <c r="G1483" s="8">
        <v>45822</v>
      </c>
      <c r="H1483" s="6">
        <v>13.16</v>
      </c>
      <c r="I1483" s="6" cm="1">
        <f t="array" ref="I1483">IFERROR(VALUE(TRIM(LEFT(E1483,MIN(FIND({" ";"g";"k";"m";"o"},E1483&amp;" gkmo"))-1))),0)</f>
        <v>100</v>
      </c>
      <c r="J1483" s="6" t="str" cm="1">
        <f t="array" ref="J1483">IFERROR(TRIM(MID(E1483,MIN(FIND({" ";"g";"k";"m";"o"},E1483&amp;" gkmo")),10)),"unknown")</f>
        <v>g</v>
      </c>
      <c r="K1483" s="6" t="str">
        <f t="shared" si="92"/>
        <v>g</v>
      </c>
      <c r="L1483" s="6" t="str">
        <f t="shared" si="93"/>
        <v>Fin Carré, Lidl</v>
      </c>
      <c r="M1483" s="6" t="str">
        <f t="shared" si="94"/>
        <v>Unknown</v>
      </c>
      <c r="N1483" s="6" t="str">
        <f t="shared" si="95"/>
        <v>France,Germany,Spain</v>
      </c>
    </row>
    <row r="1484" spans="1:14" x14ac:dyDescent="0.25">
      <c r="A1484" s="6" t="s">
        <v>3685</v>
      </c>
      <c r="B1484" s="6">
        <v>6419</v>
      </c>
      <c r="C1484" s="6" t="s">
        <v>7017</v>
      </c>
      <c r="D1484" s="7" t="s">
        <v>1345</v>
      </c>
      <c r="E1484" s="6" t="s">
        <v>7252</v>
      </c>
      <c r="F1484" s="6" t="s">
        <v>3686</v>
      </c>
      <c r="G1484" s="8">
        <v>45452</v>
      </c>
      <c r="H1484" s="6">
        <v>13.16</v>
      </c>
      <c r="I1484" s="6" cm="1">
        <f t="array" ref="I1484">IFERROR(VALUE(TRIM(LEFT(E1484,MIN(FIND({" ";"g";"k";"m";"o"},E1484&amp;" gkmo"))-1))),0)</f>
        <v>200</v>
      </c>
      <c r="J1484" s="6" t="str" cm="1">
        <f t="array" ref="J1484">IFERROR(TRIM(MID(E1484,MIN(FIND({" ";"g";"k";"m";"o"},E1484&amp;" gkmo")),10)),"unknown")</f>
        <v>g (48 uni</v>
      </c>
      <c r="K1484" s="6" t="str">
        <f t="shared" si="92"/>
        <v>g</v>
      </c>
      <c r="L1484" s="6" t="str">
        <f t="shared" si="93"/>
        <v>Haribo</v>
      </c>
      <c r="M1484" s="6" t="str">
        <f t="shared" si="94"/>
        <v>Unknown</v>
      </c>
      <c r="N1484" s="6" t="str">
        <f t="shared" si="95"/>
        <v>France,</v>
      </c>
    </row>
    <row r="1485" spans="1:14" x14ac:dyDescent="0.25">
      <c r="A1485" s="6" t="s">
        <v>3687</v>
      </c>
      <c r="B1485" s="6">
        <v>7463</v>
      </c>
      <c r="C1485" s="6" t="s">
        <v>7735</v>
      </c>
      <c r="D1485" s="7" t="s">
        <v>1434</v>
      </c>
      <c r="E1485" s="6" t="s">
        <v>82</v>
      </c>
      <c r="F1485" s="6" t="s">
        <v>442</v>
      </c>
      <c r="G1485" s="8">
        <v>46026</v>
      </c>
      <c r="H1485" s="6">
        <v>14.91</v>
      </c>
      <c r="I1485" s="6" cm="1">
        <f t="array" ref="I1485">IFERROR(VALUE(TRIM(LEFT(E1485,MIN(FIND({" ";"g";"k";"m";"o"},E1485&amp;" gkmo"))-1))),0)</f>
        <v>230</v>
      </c>
      <c r="J1485" s="6" t="str" cm="1">
        <f t="array" ref="J1485">IFERROR(TRIM(MID(E1485,MIN(FIND({" ";"g";"k";"m";"o"},E1485&amp;" gkmo")),10)),"unknown")</f>
        <v>g</v>
      </c>
      <c r="K1485" s="6" t="str">
        <f t="shared" si="92"/>
        <v>g</v>
      </c>
      <c r="L1485" s="6" t="str">
        <f t="shared" si="93"/>
        <v>Doritos</v>
      </c>
      <c r="M1485" s="6" t="str">
        <f t="shared" si="94"/>
        <v>Doritos Goà»T Nature Maxi Format</v>
      </c>
      <c r="N1485" s="6" t="str">
        <f t="shared" si="95"/>
        <v>Frankreich</v>
      </c>
    </row>
    <row r="1486" spans="1:14" x14ac:dyDescent="0.25">
      <c r="A1486" s="6" t="s">
        <v>3688</v>
      </c>
      <c r="B1486" s="6">
        <v>7794</v>
      </c>
      <c r="C1486" s="6" t="s">
        <v>3689</v>
      </c>
      <c r="D1486" s="7" t="s">
        <v>455</v>
      </c>
      <c r="E1486" s="6"/>
      <c r="F1486" s="6" t="s">
        <v>139</v>
      </c>
      <c r="G1486" s="8">
        <v>45483</v>
      </c>
      <c r="H1486" s="6">
        <v>2.4</v>
      </c>
      <c r="I1486" s="6" cm="1">
        <f t="array" ref="I1486">IFERROR(VALUE(TRIM(LEFT(E1486,MIN(FIND({" ";"g";"k";"m";"o"},E1486&amp;" gkmo"))-1))),0)</f>
        <v>0</v>
      </c>
      <c r="J1486" s="6" t="str" cm="1">
        <f t="array" ref="J1486">IFERROR(TRIM(MID(E1486,MIN(FIND({" ";"g";"k";"m";"o"},E1486&amp;" gkmo")),10)),"unknown")</f>
        <v/>
      </c>
      <c r="K1486" s="6" t="str">
        <f t="shared" si="92"/>
        <v>unknown</v>
      </c>
      <c r="L1486" s="6" t="str">
        <f t="shared" si="93"/>
        <v>St Michel</v>
      </c>
      <c r="M1486" s="6" t="str">
        <f t="shared" si="94"/>
        <v>St Michel - Madeleines Moelleuses Nature X32 Sachets Individuels - Le Paquet De 800G</v>
      </c>
      <c r="N1486" s="6" t="str">
        <f t="shared" si="95"/>
        <v>France</v>
      </c>
    </row>
    <row r="1487" spans="1:14" x14ac:dyDescent="0.25">
      <c r="A1487" s="6" t="s">
        <v>3690</v>
      </c>
      <c r="B1487" s="6">
        <v>6868</v>
      </c>
      <c r="C1487" s="6" t="s">
        <v>7253</v>
      </c>
      <c r="D1487" s="7" t="s">
        <v>624</v>
      </c>
      <c r="E1487" s="6" t="s">
        <v>28</v>
      </c>
      <c r="F1487" s="6" t="s">
        <v>7919</v>
      </c>
      <c r="G1487" s="8">
        <v>45703</v>
      </c>
      <c r="H1487" s="6">
        <v>17.399999999999999</v>
      </c>
      <c r="I1487" s="6" cm="1">
        <f t="array" ref="I1487">IFERROR(VALUE(TRIM(LEFT(E1487,MIN(FIND({" ";"g";"k";"m";"o"},E1487&amp;" gkmo"))-1))),0)</f>
        <v>125</v>
      </c>
      <c r="J1487" s="6" t="str" cm="1">
        <f t="array" ref="J1487">IFERROR(TRIM(MID(E1487,MIN(FIND({" ";"g";"k";"m";"o"},E1487&amp;" gkmo")),10)),"unknown")</f>
        <v>g</v>
      </c>
      <c r="K1487" s="6" t="str">
        <f t="shared" si="92"/>
        <v>g</v>
      </c>
      <c r="L1487" s="6" t="str">
        <f t="shared" si="93"/>
        <v>Brets</v>
      </c>
      <c r="M1487" s="6" t="str">
        <f t="shared" si="94"/>
        <v>Chips Paysanne Au Sel De Guérande</v>
      </c>
      <c r="N1487" s="6" t="str">
        <f t="shared" si="95"/>
        <v>France, Morocco</v>
      </c>
    </row>
    <row r="1488" spans="1:14" x14ac:dyDescent="0.25">
      <c r="A1488" s="6" t="s">
        <v>3691</v>
      </c>
      <c r="B1488" s="6">
        <v>7176</v>
      </c>
      <c r="C1488" s="6" t="s">
        <v>378</v>
      </c>
      <c r="D1488" s="7" t="s">
        <v>7075</v>
      </c>
      <c r="E1488" s="6" t="s">
        <v>14</v>
      </c>
      <c r="F1488" s="6" t="s">
        <v>139</v>
      </c>
      <c r="G1488" s="8">
        <v>45509</v>
      </c>
      <c r="H1488" s="6">
        <v>4.54</v>
      </c>
      <c r="I1488" s="6" cm="1">
        <f t="array" ref="I1488">IFERROR(VALUE(TRIM(LEFT(E1488,MIN(FIND({" ";"g";"k";"m";"o"},E1488&amp;" gkmo"))-1))),0)</f>
        <v>300</v>
      </c>
      <c r="J1488" s="6" t="str" cm="1">
        <f t="array" ref="J1488">IFERROR(TRIM(MID(E1488,MIN(FIND({" ";"g";"k";"m";"o"},E1488&amp;" gkmo")),10)),"unknown")</f>
        <v>g</v>
      </c>
      <c r="K1488" s="6" t="str">
        <f t="shared" si="92"/>
        <v>g</v>
      </c>
      <c r="L1488" s="6" t="str">
        <f t="shared" si="93"/>
        <v>Jardin Bio, Léa Nature</v>
      </c>
      <c r="M1488" s="6" t="str">
        <f t="shared" si="94"/>
        <v>Tartines Craquantes Sarrasin</v>
      </c>
      <c r="N1488" s="6" t="str">
        <f t="shared" si="95"/>
        <v>France</v>
      </c>
    </row>
    <row r="1489" spans="1:14" x14ac:dyDescent="0.25">
      <c r="A1489" s="6" t="s">
        <v>3692</v>
      </c>
      <c r="B1489" s="6">
        <v>10245</v>
      </c>
      <c r="C1489" s="6" t="s">
        <v>3693</v>
      </c>
      <c r="D1489" s="7" t="s">
        <v>600</v>
      </c>
      <c r="E1489" s="6" t="s">
        <v>556</v>
      </c>
      <c r="F1489" s="6" t="s">
        <v>139</v>
      </c>
      <c r="G1489" s="8">
        <v>45960</v>
      </c>
      <c r="H1489" s="6">
        <v>20.8</v>
      </c>
      <c r="I1489" s="6" cm="1">
        <f t="array" ref="I1489">IFERROR(VALUE(TRIM(LEFT(E1489,MIN(FIND({" ";"g";"k";"m";"o"},E1489&amp;" gkmo"))-1))),0)</f>
        <v>100</v>
      </c>
      <c r="J1489" s="6" t="str" cm="1">
        <f t="array" ref="J1489">IFERROR(TRIM(MID(E1489,MIN(FIND({" ";"g";"k";"m";"o"},E1489&amp;" gkmo")),10)),"unknown")</f>
        <v>g e</v>
      </c>
      <c r="K1489" s="6" t="str">
        <f t="shared" si="92"/>
        <v>g</v>
      </c>
      <c r="L1489" s="6" t="str">
        <f t="shared" si="93"/>
        <v>Ethiquable</v>
      </c>
      <c r="M1489" s="6" t="str">
        <f t="shared" si="94"/>
        <v>Chocolat Noir Caramel Pointe De Sel</v>
      </c>
      <c r="N1489" s="6" t="str">
        <f t="shared" si="95"/>
        <v>France</v>
      </c>
    </row>
    <row r="1490" spans="1:14" x14ac:dyDescent="0.25">
      <c r="A1490" s="6" t="s">
        <v>3694</v>
      </c>
      <c r="B1490" s="6">
        <v>10166</v>
      </c>
      <c r="C1490" s="6" t="s">
        <v>7254</v>
      </c>
      <c r="D1490" s="7" t="s">
        <v>1551</v>
      </c>
      <c r="E1490" s="6" t="s">
        <v>291</v>
      </c>
      <c r="F1490" s="6" t="s">
        <v>139</v>
      </c>
      <c r="G1490" s="8">
        <v>45845</v>
      </c>
      <c r="H1490" s="6">
        <v>24.53</v>
      </c>
      <c r="I1490" s="6" cm="1">
        <f t="array" ref="I1490">IFERROR(VALUE(TRIM(LEFT(E1490,MIN(FIND({" ";"g";"k";"m";"o"},E1490&amp;" gkmo"))-1))),0)</f>
        <v>140</v>
      </c>
      <c r="J1490" s="6" t="str" cm="1">
        <f t="array" ref="J1490">IFERROR(TRIM(MID(E1490,MIN(FIND({" ";"g";"k";"m";"o"},E1490&amp;" gkmo")),10)),"unknown")</f>
        <v>g</v>
      </c>
      <c r="K1490" s="6" t="str">
        <f t="shared" si="92"/>
        <v>g</v>
      </c>
      <c r="L1490" s="6" t="str">
        <f t="shared" si="93"/>
        <v>Biocoop</v>
      </c>
      <c r="M1490" s="6" t="str">
        <f t="shared" si="94"/>
        <v>Biscuit Petit Beurre Blé Cplt (15) 140G</v>
      </c>
      <c r="N1490" s="6" t="str">
        <f t="shared" si="95"/>
        <v>France</v>
      </c>
    </row>
    <row r="1491" spans="1:14" x14ac:dyDescent="0.25">
      <c r="A1491" s="6" t="s">
        <v>3695</v>
      </c>
      <c r="B1491" s="6">
        <v>11904</v>
      </c>
      <c r="C1491" s="6" t="s">
        <v>7736</v>
      </c>
      <c r="D1491" s="7" t="s">
        <v>3696</v>
      </c>
      <c r="E1491" s="6" t="s">
        <v>14</v>
      </c>
      <c r="F1491" s="6" t="s">
        <v>8068</v>
      </c>
      <c r="G1491" s="8">
        <v>45836</v>
      </c>
      <c r="H1491" s="6">
        <v>22.54</v>
      </c>
      <c r="I1491" s="6" cm="1">
        <f t="array" ref="I1491">IFERROR(VALUE(TRIM(LEFT(E1491,MIN(FIND({" ";"g";"k";"m";"o"},E1491&amp;" gkmo"))-1))),0)</f>
        <v>300</v>
      </c>
      <c r="J1491" s="6" t="str" cm="1">
        <f t="array" ref="J1491">IFERROR(TRIM(MID(E1491,MIN(FIND({" ";"g";"k";"m";"o"},E1491&amp;" gkmo")),10)),"unknown")</f>
        <v>g</v>
      </c>
      <c r="K1491" s="6" t="str">
        <f t="shared" si="92"/>
        <v>g</v>
      </c>
      <c r="L1491" s="6" t="str">
        <f t="shared" si="93"/>
        <v>Amanienord Fresh, Lidl</v>
      </c>
      <c r="M1491" s="6" t="str">
        <f t="shared" si="94"/>
        <v>Bonbons À  L'Eucalyptus</v>
      </c>
      <c r="N1491" s="6" t="str">
        <f t="shared" si="95"/>
        <v>France, Germany, Romania, Spain</v>
      </c>
    </row>
    <row r="1492" spans="1:14" x14ac:dyDescent="0.25">
      <c r="A1492" s="6" t="s">
        <v>3697</v>
      </c>
      <c r="B1492" s="6">
        <v>11892</v>
      </c>
      <c r="C1492" s="6" t="s">
        <v>3698</v>
      </c>
      <c r="D1492" s="7" t="s">
        <v>3699</v>
      </c>
      <c r="E1492" s="6" t="s">
        <v>3700</v>
      </c>
      <c r="F1492" s="6" t="s">
        <v>7958</v>
      </c>
      <c r="G1492" s="8">
        <v>45850</v>
      </c>
      <c r="H1492" s="6">
        <v>20.25</v>
      </c>
      <c r="I1492" s="6" cm="1">
        <f t="array" ref="I1492">IFERROR(VALUE(TRIM(LEFT(E1492,MIN(FIND({" ";"g";"k";"m";"o"},E1492&amp;" gkmo"))-1))),0)</f>
        <v>82</v>
      </c>
      <c r="J1492" s="6" t="str" cm="1">
        <f t="array" ref="J1492">IFERROR(TRIM(MID(E1492,MIN(FIND({" ";"g";"k";"m";"o"},E1492&amp;" gkmo")),10)),"unknown")</f>
        <v>g</v>
      </c>
      <c r="K1492" s="6" t="str">
        <f t="shared" si="92"/>
        <v>g</v>
      </c>
      <c r="L1492" s="6" t="str">
        <f t="shared" si="93"/>
        <v>M&amp;M'S</v>
      </c>
      <c r="M1492" s="6" t="str">
        <f t="shared" si="94"/>
        <v>Peanut Chocolate Treat Bag</v>
      </c>
      <c r="N1492" s="6" t="str">
        <f t="shared" si="95"/>
        <v>France</v>
      </c>
    </row>
    <row r="1493" spans="1:14" x14ac:dyDescent="0.25">
      <c r="A1493" s="6" t="s">
        <v>3701</v>
      </c>
      <c r="B1493" s="6">
        <v>11763</v>
      </c>
      <c r="C1493" s="6" t="s">
        <v>3702</v>
      </c>
      <c r="D1493" s="7" t="s">
        <v>204</v>
      </c>
      <c r="E1493" s="6" t="s">
        <v>1675</v>
      </c>
      <c r="F1493" s="6" t="s">
        <v>7923</v>
      </c>
      <c r="G1493" s="8">
        <v>46007</v>
      </c>
      <c r="H1493" s="6">
        <v>11.86</v>
      </c>
      <c r="I1493" s="6" cm="1">
        <f t="array" ref="I1493">IFERROR(VALUE(TRIM(LEFT(E1493,MIN(FIND({" ";"g";"k";"m";"o"},E1493&amp;" gkmo"))-1))),0)</f>
        <v>600</v>
      </c>
      <c r="J1493" s="6" t="str" cm="1">
        <f t="array" ref="J1493">IFERROR(TRIM(MID(E1493,MIN(FIND({" ";"g";"k";"m";"o"},E1493&amp;" gkmo")),10)),"unknown")</f>
        <v>g</v>
      </c>
      <c r="K1493" s="6" t="str">
        <f t="shared" si="92"/>
        <v>g</v>
      </c>
      <c r="L1493" s="6" t="str">
        <f t="shared" si="93"/>
        <v>Mcvitie'S</v>
      </c>
      <c r="M1493" s="6" t="str">
        <f t="shared" si="94"/>
        <v>Mcvitie'S Rich Tea Classic 2 X</v>
      </c>
      <c r="N1493" s="6" t="str">
        <f t="shared" si="95"/>
        <v>France, United Kingdom, Ireland</v>
      </c>
    </row>
    <row r="1494" spans="1:14" x14ac:dyDescent="0.25">
      <c r="A1494" s="6" t="s">
        <v>3703</v>
      </c>
      <c r="B1494" s="6">
        <v>11836</v>
      </c>
      <c r="C1494" s="6" t="s">
        <v>3704</v>
      </c>
      <c r="D1494" s="7" t="s">
        <v>3705</v>
      </c>
      <c r="E1494" s="6"/>
      <c r="F1494" s="6" t="s">
        <v>7926</v>
      </c>
      <c r="G1494" s="8">
        <v>45574</v>
      </c>
      <c r="H1494" s="6">
        <v>5.83</v>
      </c>
      <c r="I1494" s="6" cm="1">
        <f t="array" ref="I1494">IFERROR(VALUE(TRIM(LEFT(E1494,MIN(FIND({" ";"g";"k";"m";"o"},E1494&amp;" gkmo"))-1))),0)</f>
        <v>0</v>
      </c>
      <c r="J1494" s="6" t="str" cm="1">
        <f t="array" ref="J1494">IFERROR(TRIM(MID(E1494,MIN(FIND({" ";"g";"k";"m";"o"},E1494&amp;" gkmo")),10)),"unknown")</f>
        <v/>
      </c>
      <c r="K1494" s="6" t="str">
        <f t="shared" si="92"/>
        <v>unknown</v>
      </c>
      <c r="L1494" s="6" t="str">
        <f t="shared" si="93"/>
        <v>Tyrrells</v>
      </c>
      <c r="M1494" s="6" t="str">
        <f t="shared" si="94"/>
        <v>Hand-Cooked Crisp Lightly Sea Salted</v>
      </c>
      <c r="N1494" s="6" t="str">
        <f t="shared" si="95"/>
        <v>France, United-Kingdom</v>
      </c>
    </row>
    <row r="1495" spans="1:14" x14ac:dyDescent="0.25">
      <c r="A1495" s="6" t="s">
        <v>3706</v>
      </c>
      <c r="B1495" s="6">
        <v>5520</v>
      </c>
      <c r="C1495" s="6" t="s">
        <v>722</v>
      </c>
      <c r="D1495" s="7" t="s">
        <v>1084</v>
      </c>
      <c r="E1495" s="6" t="s">
        <v>580</v>
      </c>
      <c r="F1495" s="6" t="s">
        <v>7737</v>
      </c>
      <c r="G1495" s="8">
        <v>46046</v>
      </c>
      <c r="H1495" s="6">
        <v>24.3</v>
      </c>
      <c r="I1495" s="6" cm="1">
        <f t="array" ref="I1495">IFERROR(VALUE(TRIM(LEFT(E1495,MIN(FIND({" ";"g";"k";"m";"o"},E1495&amp;" gkmo"))-1))),0)</f>
        <v>250</v>
      </c>
      <c r="J1495" s="6" t="str" cm="1">
        <f t="array" ref="J1495">IFERROR(TRIM(MID(E1495,MIN(FIND({" ";"g";"k";"m";"o"},E1495&amp;" gkmo")),10)),"unknown")</f>
        <v>g</v>
      </c>
      <c r="K1495" s="6" t="str">
        <f t="shared" si="92"/>
        <v>g</v>
      </c>
      <c r="L1495" s="6" t="str">
        <f t="shared" si="93"/>
        <v>Lotus</v>
      </c>
      <c r="M1495" s="6" t="str">
        <f t="shared" si="94"/>
        <v>Biscoff</v>
      </c>
      <c r="N1495" s="6" t="str">
        <f t="shared" si="95"/>
        <v>À–Sterreich,Deutschland,Schweiz</v>
      </c>
    </row>
    <row r="1496" spans="1:14" x14ac:dyDescent="0.25">
      <c r="A1496" s="6" t="s">
        <v>3707</v>
      </c>
      <c r="B1496" s="6">
        <v>13683</v>
      </c>
      <c r="C1496" s="6" t="s">
        <v>3708</v>
      </c>
      <c r="D1496" s="7" t="s">
        <v>2538</v>
      </c>
      <c r="E1496" s="6" t="s">
        <v>10</v>
      </c>
      <c r="F1496" s="6" t="s">
        <v>139</v>
      </c>
      <c r="G1496" s="8">
        <v>45719</v>
      </c>
      <c r="H1496" s="6">
        <v>5.55</v>
      </c>
      <c r="I1496" s="6" cm="1">
        <f t="array" ref="I1496">IFERROR(VALUE(TRIM(LEFT(E1496,MIN(FIND({" ";"g";"k";"m";"o"},E1496&amp;" gkmo"))-1))),0)</f>
        <v>100</v>
      </c>
      <c r="J1496" s="6" t="str" cm="1">
        <f t="array" ref="J1496">IFERROR(TRIM(MID(E1496,MIN(FIND({" ";"g";"k";"m";"o"},E1496&amp;" gkmo")),10)),"unknown")</f>
        <v>g</v>
      </c>
      <c r="K1496" s="6" t="str">
        <f t="shared" si="92"/>
        <v>g</v>
      </c>
      <c r="L1496" s="6" t="str">
        <f t="shared" si="93"/>
        <v>Kambly</v>
      </c>
      <c r="M1496" s="6" t="str">
        <f t="shared" si="94"/>
        <v>Ficelles Olives Vertes Et Noires</v>
      </c>
      <c r="N1496" s="6" t="str">
        <f t="shared" si="95"/>
        <v>France</v>
      </c>
    </row>
    <row r="1497" spans="1:14" x14ac:dyDescent="0.25">
      <c r="A1497" s="6" t="s">
        <v>3709</v>
      </c>
      <c r="B1497" s="6">
        <v>5998</v>
      </c>
      <c r="C1497" s="6" t="s">
        <v>3710</v>
      </c>
      <c r="D1497" s="7" t="s">
        <v>60</v>
      </c>
      <c r="E1497" s="6" t="s">
        <v>10</v>
      </c>
      <c r="F1497" s="6" t="s">
        <v>7919</v>
      </c>
      <c r="G1497" s="8">
        <v>45816</v>
      </c>
      <c r="H1497" s="6">
        <v>15.71</v>
      </c>
      <c r="I1497" s="6" cm="1">
        <f t="array" ref="I1497">IFERROR(VALUE(TRIM(LEFT(E1497,MIN(FIND({" ";"g";"k";"m";"o"},E1497&amp;" gkmo"))-1))),0)</f>
        <v>100</v>
      </c>
      <c r="J1497" s="6" t="str" cm="1">
        <f t="array" ref="J1497">IFERROR(TRIM(MID(E1497,MIN(FIND({" ";"g";"k";"m";"o"},E1497&amp;" gkmo")),10)),"unknown")</f>
        <v>g</v>
      </c>
      <c r="K1497" s="6" t="str">
        <f t="shared" si="92"/>
        <v>g</v>
      </c>
      <c r="L1497" s="6" t="str">
        <f t="shared" si="93"/>
        <v>Lindt</v>
      </c>
      <c r="M1497" s="6" t="str">
        <f t="shared" si="94"/>
        <v>Lindet Choco Swis Dark 2Yrs Prod</v>
      </c>
      <c r="N1497" s="6" t="str">
        <f t="shared" si="95"/>
        <v>France, Morocco</v>
      </c>
    </row>
    <row r="1498" spans="1:14" x14ac:dyDescent="0.25">
      <c r="A1498" s="6" t="s">
        <v>3711</v>
      </c>
      <c r="B1498" s="6">
        <v>12982</v>
      </c>
      <c r="C1498" s="6" t="s">
        <v>7255</v>
      </c>
      <c r="D1498" s="7" t="s">
        <v>3712</v>
      </c>
      <c r="E1498" s="6" t="s">
        <v>335</v>
      </c>
      <c r="F1498" s="6" t="s">
        <v>557</v>
      </c>
      <c r="G1498" s="8">
        <v>45429</v>
      </c>
      <c r="H1498" s="6">
        <v>14.94</v>
      </c>
      <c r="I1498" s="6" cm="1">
        <f t="array" ref="I1498">IFERROR(VALUE(TRIM(LEFT(E1498,MIN(FIND({" ";"g";"k";"m";"o"},E1498&amp;" gkmo"))-1))),0)</f>
        <v>250</v>
      </c>
      <c r="J1498" s="6" t="str" cm="1">
        <f t="array" ref="J1498">IFERROR(TRIM(MID(E1498,MIN(FIND({" ";"g";"k";"m";"o"},E1498&amp;" gkmo")),10)),"unknown")</f>
        <v>g</v>
      </c>
      <c r="K1498" s="6" t="str">
        <f t="shared" si="92"/>
        <v>g</v>
      </c>
      <c r="L1498" s="6" t="str">
        <f t="shared" si="93"/>
        <v>Belvita, Lu</v>
      </c>
      <c r="M1498" s="6" t="str">
        <f t="shared" si="94"/>
        <v>Moelleux Multi Céréales</v>
      </c>
      <c r="N1498" s="6" t="str">
        <f t="shared" si="95"/>
        <v>Belgium,France,Switzerland</v>
      </c>
    </row>
    <row r="1499" spans="1:14" x14ac:dyDescent="0.25">
      <c r="A1499" s="6" t="s">
        <v>3713</v>
      </c>
      <c r="B1499" s="6">
        <v>12109</v>
      </c>
      <c r="C1499" s="6" t="s">
        <v>7738</v>
      </c>
      <c r="D1499" s="7" t="s">
        <v>306</v>
      </c>
      <c r="E1499" s="6" t="s">
        <v>3714</v>
      </c>
      <c r="F1499" s="6" t="s">
        <v>1356</v>
      </c>
      <c r="G1499" s="8">
        <v>45825</v>
      </c>
      <c r="H1499" s="6">
        <v>16.5</v>
      </c>
      <c r="I1499" s="6" cm="1">
        <f t="array" ref="I1499">IFERROR(VALUE(TRIM(LEFT(E1499,MIN(FIND({" ";"g";"k";"m";"o"},E1499&amp;" gkmo"))-1))),0)</f>
        <v>3</v>
      </c>
      <c r="J1499" s="6" t="str" cm="1">
        <f t="array" ref="J1499">IFERROR(TRIM(MID(E1499,MIN(FIND({" ";"g";"k";"m";"o"},E1499&amp;" gkmo")),10)),"unknown")</f>
        <v>x 300 g</v>
      </c>
      <c r="K1499" s="6" t="str">
        <f t="shared" si="92"/>
        <v>g</v>
      </c>
      <c r="L1499" s="6" t="str">
        <f t="shared" si="93"/>
        <v>Lu</v>
      </c>
      <c r="M1499" s="6" t="str">
        <f t="shared" si="94"/>
        <v>Prince - Biscuits Fourrés Goà»T Chocolat</v>
      </c>
      <c r="N1499" s="6" t="str">
        <f t="shared" si="95"/>
        <v>France,Germany</v>
      </c>
    </row>
    <row r="1500" spans="1:14" x14ac:dyDescent="0.25">
      <c r="A1500" s="6" t="s">
        <v>3715</v>
      </c>
      <c r="B1500" s="6">
        <v>13414</v>
      </c>
      <c r="C1500" s="6" t="s">
        <v>3716</v>
      </c>
      <c r="D1500" s="7" t="s">
        <v>135</v>
      </c>
      <c r="E1500" s="6" t="s">
        <v>10</v>
      </c>
      <c r="F1500" s="6" t="s">
        <v>7919</v>
      </c>
      <c r="G1500" s="8">
        <v>45922</v>
      </c>
      <c r="H1500" s="6">
        <v>2.2200000000000002</v>
      </c>
      <c r="I1500" s="6" cm="1">
        <f t="array" ref="I1500">IFERROR(VALUE(TRIM(LEFT(E1500,MIN(FIND({" ";"g";"k";"m";"o"},E1500&amp;" gkmo"))-1))),0)</f>
        <v>100</v>
      </c>
      <c r="J1500" s="6" t="str" cm="1">
        <f t="array" ref="J1500">IFERROR(TRIM(MID(E1500,MIN(FIND({" ";"g";"k";"m";"o"},E1500&amp;" gkmo")),10)),"unknown")</f>
        <v>g</v>
      </c>
      <c r="K1500" s="6" t="str">
        <f t="shared" si="92"/>
        <v>g</v>
      </c>
      <c r="L1500" s="6" t="str">
        <f t="shared" si="93"/>
        <v>Milka</v>
      </c>
      <c r="M1500" s="6" t="str">
        <f t="shared" si="94"/>
        <v>Milka Tendre Au Lait</v>
      </c>
      <c r="N1500" s="6" t="str">
        <f t="shared" si="95"/>
        <v>France, Morocco</v>
      </c>
    </row>
    <row r="1501" spans="1:14" x14ac:dyDescent="0.25">
      <c r="A1501" s="6" t="s">
        <v>3717</v>
      </c>
      <c r="B1501" s="6">
        <v>7180</v>
      </c>
      <c r="C1501" s="6" t="s">
        <v>3718</v>
      </c>
      <c r="D1501" s="7" t="s">
        <v>7017</v>
      </c>
      <c r="E1501" s="6" t="s">
        <v>528</v>
      </c>
      <c r="F1501" s="6" t="s">
        <v>8069</v>
      </c>
      <c r="G1501" s="8">
        <v>45803</v>
      </c>
      <c r="H1501" s="6">
        <v>21.11</v>
      </c>
      <c r="I1501" s="6" cm="1">
        <f t="array" ref="I1501">IFERROR(VALUE(TRIM(LEFT(E1501,MIN(FIND({" ";"g";"k";"m";"o"},E1501&amp;" gkmo"))-1))),0)</f>
        <v>200</v>
      </c>
      <c r="J1501" s="6" t="str" cm="1">
        <f t="array" ref="J1501">IFERROR(TRIM(MID(E1501,MIN(FIND({" ";"g";"k";"m";"o"},E1501&amp;" gkmo")),10)),"unknown")</f>
        <v>g</v>
      </c>
      <c r="K1501" s="6" t="str">
        <f t="shared" si="92"/>
        <v>g</v>
      </c>
      <c r="L1501" s="6" t="str">
        <f t="shared" si="93"/>
        <v>Unknown</v>
      </c>
      <c r="M1501" s="6" t="str">
        <f t="shared" si="94"/>
        <v>Milk Chocolate Truffles</v>
      </c>
      <c r="N1501" s="6" t="str">
        <f t="shared" si="95"/>
        <v>Italy,Switzerland,United-Kingdom</v>
      </c>
    </row>
    <row r="1502" spans="1:14" x14ac:dyDescent="0.25">
      <c r="A1502" s="6" t="s">
        <v>3719</v>
      </c>
      <c r="B1502" s="6">
        <v>10506</v>
      </c>
      <c r="C1502" s="6" t="s">
        <v>3720</v>
      </c>
      <c r="D1502" s="7" t="s">
        <v>7017</v>
      </c>
      <c r="E1502" s="6" t="s">
        <v>3721</v>
      </c>
      <c r="F1502" s="6" t="s">
        <v>8313</v>
      </c>
      <c r="G1502" s="8">
        <v>45793</v>
      </c>
      <c r="H1502" s="6">
        <v>10.46</v>
      </c>
      <c r="I1502" s="6" cm="1">
        <f t="array" ref="I1502">IFERROR(VALUE(TRIM(LEFT(E1502,MIN(FIND({" ";"g";"k";"m";"o"},E1502&amp;" gkmo"))-1))),0)</f>
        <v>18</v>
      </c>
      <c r="J1502" s="6" t="str" cm="1">
        <f t="array" ref="J1502">IFERROR(TRIM(MID(E1502,MIN(FIND({" ";"g";"k";"m";"o"},E1502&amp;" gkmo")),10)),"unknown")</f>
        <v>g</v>
      </c>
      <c r="K1502" s="6" t="str">
        <f t="shared" si="92"/>
        <v>g</v>
      </c>
      <c r="L1502" s="6" t="str">
        <f t="shared" si="93"/>
        <v>Unknown</v>
      </c>
      <c r="M1502" s="6" t="str">
        <f t="shared" si="94"/>
        <v>Tic Tac Fresh Mint</v>
      </c>
      <c r="N1502" s="6" t="str">
        <f t="shared" si="95"/>
        <v>Belgium,Bulgarie,France,Hongrie,Italie</v>
      </c>
    </row>
    <row r="1503" spans="1:14" x14ac:dyDescent="0.25">
      <c r="A1503" s="6" t="s">
        <v>3722</v>
      </c>
      <c r="B1503" s="6">
        <v>12397</v>
      </c>
      <c r="C1503" s="6" t="s">
        <v>3723</v>
      </c>
      <c r="D1503" s="7" t="s">
        <v>3724</v>
      </c>
      <c r="E1503" s="6"/>
      <c r="F1503" s="6" t="s">
        <v>3725</v>
      </c>
      <c r="G1503" s="8">
        <v>45358</v>
      </c>
      <c r="H1503" s="6">
        <v>13.67</v>
      </c>
      <c r="I1503" s="6" cm="1">
        <f t="array" ref="I1503">IFERROR(VALUE(TRIM(LEFT(E1503,MIN(FIND({" ";"g";"k";"m";"o"},E1503&amp;" gkmo"))-1))),0)</f>
        <v>0</v>
      </c>
      <c r="J1503" s="6" t="str" cm="1">
        <f t="array" ref="J1503">IFERROR(TRIM(MID(E1503,MIN(FIND({" ";"g";"k";"m";"o"},E1503&amp;" gkmo")),10)),"unknown")</f>
        <v/>
      </c>
      <c r="K1503" s="6" t="str">
        <f t="shared" si="92"/>
        <v>unknown</v>
      </c>
      <c r="L1503" s="6" t="str">
        <f t="shared" si="93"/>
        <v>Sunbites,Pepsico</v>
      </c>
      <c r="M1503" s="6" t="str">
        <f t="shared" si="94"/>
        <v>Sunbites. Sal Marina.</v>
      </c>
      <c r="N1503" s="6" t="str">
        <f t="shared" si="95"/>
        <v>Portugal,Espanha</v>
      </c>
    </row>
    <row r="1504" spans="1:14" x14ac:dyDescent="0.25">
      <c r="A1504" s="6" t="s">
        <v>3726</v>
      </c>
      <c r="B1504" s="6">
        <v>7100</v>
      </c>
      <c r="C1504" s="6" t="s">
        <v>7256</v>
      </c>
      <c r="D1504" s="7" t="s">
        <v>3727</v>
      </c>
      <c r="E1504" s="6" t="s">
        <v>1487</v>
      </c>
      <c r="F1504" s="6" t="s">
        <v>139</v>
      </c>
      <c r="G1504" s="8">
        <v>45863</v>
      </c>
      <c r="H1504" s="6">
        <v>4.2</v>
      </c>
      <c r="I1504" s="6" cm="1">
        <f t="array" ref="I1504">IFERROR(VALUE(TRIM(LEFT(E1504,MIN(FIND({" ";"g";"k";"m";"o"},E1504&amp;" gkmo"))-1))),0)</f>
        <v>320</v>
      </c>
      <c r="J1504" s="6" t="str" cm="1">
        <f t="array" ref="J1504">IFERROR(TRIM(MID(E1504,MIN(FIND({" ";"g";"k";"m";"o"},E1504&amp;" gkmo")),10)),"unknown")</f>
        <v>g</v>
      </c>
      <c r="K1504" s="6" t="str">
        <f t="shared" si="92"/>
        <v>g</v>
      </c>
      <c r="L1504" s="6" t="str">
        <f t="shared" si="93"/>
        <v>Barilla, Harrys</v>
      </c>
      <c r="M1504" s="6" t="str">
        <f t="shared" si="94"/>
        <v>Doowap Pépites Chocolait Ss Additif</v>
      </c>
      <c r="N1504" s="6" t="str">
        <f t="shared" si="95"/>
        <v>France</v>
      </c>
    </row>
    <row r="1505" spans="1:14" x14ac:dyDescent="0.25">
      <c r="A1505" s="6" t="s">
        <v>3728</v>
      </c>
      <c r="B1505" s="6">
        <v>6789</v>
      </c>
      <c r="C1505" s="6" t="s">
        <v>3729</v>
      </c>
      <c r="D1505" s="7" t="s">
        <v>3730</v>
      </c>
      <c r="E1505" s="6" t="s">
        <v>643</v>
      </c>
      <c r="F1505" s="6" t="s">
        <v>8070</v>
      </c>
      <c r="G1505" s="8">
        <v>45567</v>
      </c>
      <c r="H1505" s="6">
        <v>14</v>
      </c>
      <c r="I1505" s="6" cm="1">
        <f t="array" ref="I1505">IFERROR(VALUE(TRIM(LEFT(E1505,MIN(FIND({" ";"g";"k";"m";"o"},E1505&amp;" gkmo"))-1))),0)</f>
        <v>25</v>
      </c>
      <c r="J1505" s="6" t="str" cm="1">
        <f t="array" ref="J1505">IFERROR(TRIM(MID(E1505,MIN(FIND({" ";"g";"k";"m";"o"},E1505&amp;" gkmo")),10)),"unknown")</f>
        <v>g</v>
      </c>
      <c r="K1505" s="6" t="str">
        <f t="shared" si="92"/>
        <v>g</v>
      </c>
      <c r="L1505" s="6" t="str">
        <f t="shared" si="93"/>
        <v>Croco</v>
      </c>
      <c r="M1505" s="6" t="str">
        <f t="shared" si="94"/>
        <v>Biscuiè›I Cu Cremäƒ De Cacao</v>
      </c>
      <c r="N1505" s="6" t="str">
        <f t="shared" si="95"/>
        <v>France, Romania, Spain</v>
      </c>
    </row>
    <row r="1506" spans="1:14" x14ac:dyDescent="0.25">
      <c r="A1506" s="6" t="s">
        <v>3731</v>
      </c>
      <c r="B1506" s="6">
        <v>10631</v>
      </c>
      <c r="C1506" s="6" t="s">
        <v>3732</v>
      </c>
      <c r="D1506" s="7" t="s">
        <v>3733</v>
      </c>
      <c r="E1506" s="6" t="s">
        <v>39</v>
      </c>
      <c r="F1506" s="6" t="s">
        <v>7926</v>
      </c>
      <c r="G1506" s="8">
        <v>45498</v>
      </c>
      <c r="H1506" s="6">
        <v>10.199999999999999</v>
      </c>
      <c r="I1506" s="6" cm="1">
        <f t="array" ref="I1506">IFERROR(VALUE(TRIM(LEFT(E1506,MIN(FIND({" ";"g";"k";"m";"o"},E1506&amp;" gkmo"))-1))),0)</f>
        <v>150</v>
      </c>
      <c r="J1506" s="6" t="str" cm="1">
        <f t="array" ref="J1506">IFERROR(TRIM(MID(E1506,MIN(FIND({" ";"g";"k";"m";"o"},E1506&amp;" gkmo")),10)),"unknown")</f>
        <v>g</v>
      </c>
      <c r="K1506" s="6" t="str">
        <f t="shared" si="92"/>
        <v>g</v>
      </c>
      <c r="L1506" s="6" t="str">
        <f t="shared" si="93"/>
        <v>Co Op, Coop</v>
      </c>
      <c r="M1506" s="6" t="str">
        <f t="shared" si="94"/>
        <v>Sea Salt &amp; Chardonnay Wine Vinegar Crisps</v>
      </c>
      <c r="N1506" s="6" t="str">
        <f t="shared" si="95"/>
        <v>France, United-Kingdom</v>
      </c>
    </row>
    <row r="1507" spans="1:14" x14ac:dyDescent="0.25">
      <c r="A1507" s="6" t="s">
        <v>3734</v>
      </c>
      <c r="B1507" s="6">
        <v>10562</v>
      </c>
      <c r="C1507" s="6" t="s">
        <v>3735</v>
      </c>
      <c r="D1507" s="7" t="s">
        <v>3736</v>
      </c>
      <c r="E1507" s="6">
        <v>6</v>
      </c>
      <c r="F1507" s="6" t="s">
        <v>2973</v>
      </c>
      <c r="G1507" s="8">
        <v>45597</v>
      </c>
      <c r="H1507" s="6">
        <v>20.399999999999999</v>
      </c>
      <c r="I1507" s="6" cm="1">
        <f t="array" ref="I1507">IFERROR(VALUE(TRIM(LEFT(E1507,MIN(FIND({" ";"g";"k";"m";"o"},E1507&amp;" gkmo"))-1))),0)</f>
        <v>6</v>
      </c>
      <c r="J1507" s="6" t="str" cm="1">
        <f t="array" ref="J1507">IFERROR(TRIM(MID(E1507,MIN(FIND({" ";"g";"k";"m";"o"},E1507&amp;" gkmo")),10)),"unknown")</f>
        <v/>
      </c>
      <c r="K1507" s="6" t="str">
        <f t="shared" si="92"/>
        <v>unknown</v>
      </c>
      <c r="L1507" s="6" t="str">
        <f t="shared" si="93"/>
        <v>Warburtons</v>
      </c>
      <c r="M1507" s="6" t="str">
        <f t="shared" si="94"/>
        <v>Potato Cakes</v>
      </c>
      <c r="N1507" s="6" t="str">
        <f t="shared" si="95"/>
        <v>Gb</v>
      </c>
    </row>
    <row r="1508" spans="1:14" x14ac:dyDescent="0.25">
      <c r="A1508" s="6" t="s">
        <v>3737</v>
      </c>
      <c r="B1508" s="6">
        <v>14622</v>
      </c>
      <c r="C1508" s="6" t="s">
        <v>3738</v>
      </c>
      <c r="D1508" s="7" t="s">
        <v>3739</v>
      </c>
      <c r="E1508" s="6" t="s">
        <v>44</v>
      </c>
      <c r="F1508" s="6" t="s">
        <v>7739</v>
      </c>
      <c r="G1508" s="8">
        <v>45975</v>
      </c>
      <c r="H1508" s="6">
        <v>18.87</v>
      </c>
      <c r="I1508" s="6" cm="1">
        <f t="array" ref="I1508">IFERROR(VALUE(TRIM(LEFT(E1508,MIN(FIND({" ";"g";"k";"m";"o"},E1508&amp;" gkmo"))-1))),0)</f>
        <v>90</v>
      </c>
      <c r="J1508" s="6" t="str" cm="1">
        <f t="array" ref="J1508">IFERROR(TRIM(MID(E1508,MIN(FIND({" ";"g";"k";"m";"o"},E1508&amp;" gkmo")),10)),"unknown")</f>
        <v>g</v>
      </c>
      <c r="K1508" s="6" t="str">
        <f t="shared" si="92"/>
        <v>g</v>
      </c>
      <c r="L1508" s="6" t="str">
        <f t="shared" si="93"/>
        <v>Star</v>
      </c>
      <c r="M1508" s="6" t="str">
        <f t="shared" si="94"/>
        <v>Corn Puffs Star W Cascaval 90G 1 / 20 1.6Kg / Box</v>
      </c>
      <c r="N1508" s="6" t="str">
        <f t="shared" si="95"/>
        <v>Franè›A,Romà¢Nia</v>
      </c>
    </row>
    <row r="1509" spans="1:14" x14ac:dyDescent="0.25">
      <c r="A1509" s="6" t="s">
        <v>3740</v>
      </c>
      <c r="B1509" s="6">
        <v>10153</v>
      </c>
      <c r="C1509" s="6" t="s">
        <v>3741</v>
      </c>
      <c r="D1509" s="7" t="s">
        <v>3448</v>
      </c>
      <c r="E1509" s="6" t="s">
        <v>1721</v>
      </c>
      <c r="F1509" s="6" t="s">
        <v>7960</v>
      </c>
      <c r="G1509" s="8">
        <v>46046</v>
      </c>
      <c r="H1509" s="6">
        <v>1.01</v>
      </c>
      <c r="I1509" s="6" cm="1">
        <f t="array" ref="I1509">IFERROR(VALUE(TRIM(LEFT(E1509,MIN(FIND({" ";"g";"k";"m";"o"},E1509&amp;" gkmo"))-1))),0)</f>
        <v>30</v>
      </c>
      <c r="J1509" s="6" t="str" cm="1">
        <f t="array" ref="J1509">IFERROR(TRIM(MID(E1509,MIN(FIND({" ";"g";"k";"m";"o"},E1509&amp;" gkmo")),10)),"unknown")</f>
        <v>g</v>
      </c>
      <c r="K1509" s="6" t="str">
        <f t="shared" si="92"/>
        <v>g</v>
      </c>
      <c r="L1509" s="6" t="str">
        <f t="shared" si="93"/>
        <v>Mentos</v>
      </c>
      <c r="M1509" s="6" t="str">
        <f t="shared" si="94"/>
        <v>Pure Fresh Mentos</v>
      </c>
      <c r="N1509" s="6" t="str">
        <f t="shared" si="95"/>
        <v>Spain, Morocco</v>
      </c>
    </row>
    <row r="1510" spans="1:14" x14ac:dyDescent="0.25">
      <c r="A1510" s="6" t="s">
        <v>3742</v>
      </c>
      <c r="B1510" s="6">
        <v>10835</v>
      </c>
      <c r="C1510" s="6" t="s">
        <v>67</v>
      </c>
      <c r="D1510" s="7" t="s">
        <v>1088</v>
      </c>
      <c r="E1510" s="6" t="s">
        <v>18</v>
      </c>
      <c r="F1510" s="6" t="s">
        <v>177</v>
      </c>
      <c r="G1510" s="8">
        <v>45730</v>
      </c>
      <c r="H1510" s="6">
        <v>12.99</v>
      </c>
      <c r="I1510" s="6" cm="1">
        <f t="array" ref="I1510">IFERROR(VALUE(TRIM(LEFT(E1510,MIN(FIND({" ";"g";"k";"m";"o"},E1510&amp;" gkmo"))-1))),0)</f>
        <v>100</v>
      </c>
      <c r="J1510" s="6" t="str" cm="1">
        <f t="array" ref="J1510">IFERROR(TRIM(MID(E1510,MIN(FIND({" ";"g";"k";"m";"o"},E1510&amp;" gkmo")),10)),"unknown")</f>
        <v>g</v>
      </c>
      <c r="K1510" s="6" t="str">
        <f t="shared" si="92"/>
        <v>g</v>
      </c>
      <c r="L1510" s="6" t="str">
        <f t="shared" si="93"/>
        <v>Waitrose</v>
      </c>
      <c r="M1510" s="6" t="str">
        <f t="shared" si="94"/>
        <v>Dark Chocolate</v>
      </c>
      <c r="N1510" s="6" t="str">
        <f t="shared" si="95"/>
        <v>United Kingdom</v>
      </c>
    </row>
    <row r="1511" spans="1:14" x14ac:dyDescent="0.25">
      <c r="A1511" s="6" t="s">
        <v>3743</v>
      </c>
      <c r="B1511" s="6">
        <v>13978</v>
      </c>
      <c r="C1511" s="6" t="s">
        <v>3744</v>
      </c>
      <c r="D1511" s="7" t="s">
        <v>3745</v>
      </c>
      <c r="E1511" s="6" t="s">
        <v>966</v>
      </c>
      <c r="F1511" s="6" t="s">
        <v>2973</v>
      </c>
      <c r="G1511" s="8">
        <v>45728</v>
      </c>
      <c r="H1511" s="6">
        <v>1.61</v>
      </c>
      <c r="I1511" s="6" cm="1">
        <f t="array" ref="I1511">IFERROR(VALUE(TRIM(LEFT(E1511,MIN(FIND({" ";"g";"k";"m";"o"},E1511&amp;" gkmo"))-1))),0)</f>
        <v>115</v>
      </c>
      <c r="J1511" s="6" t="str" cm="1">
        <f t="array" ref="J1511">IFERROR(TRIM(MID(E1511,MIN(FIND({" ";"g";"k";"m";"o"},E1511&amp;" gkmo")),10)),"unknown")</f>
        <v>g</v>
      </c>
      <c r="K1511" s="6" t="str">
        <f t="shared" si="92"/>
        <v>g</v>
      </c>
      <c r="L1511" s="6" t="str">
        <f t="shared" si="93"/>
        <v>Peter'S Yard</v>
      </c>
      <c r="M1511" s="6" t="str">
        <f t="shared" si="94"/>
        <v>Sea Salt Sourdough Flatbreads</v>
      </c>
      <c r="N1511" s="6" t="str">
        <f t="shared" si="95"/>
        <v>Gb</v>
      </c>
    </row>
    <row r="1512" spans="1:14" x14ac:dyDescent="0.25">
      <c r="A1512" s="6" t="s">
        <v>3746</v>
      </c>
      <c r="B1512" s="6">
        <v>9811</v>
      </c>
      <c r="C1512" s="6" t="s">
        <v>3747</v>
      </c>
      <c r="D1512" s="7" t="s">
        <v>525</v>
      </c>
      <c r="E1512" s="6"/>
      <c r="F1512" s="6" t="s">
        <v>860</v>
      </c>
      <c r="G1512" s="8">
        <v>45400</v>
      </c>
      <c r="H1512" s="6">
        <v>18.09</v>
      </c>
      <c r="I1512" s="6" cm="1">
        <f t="array" ref="I1512">IFERROR(VALUE(TRIM(LEFT(E1512,MIN(FIND({" ";"g";"k";"m";"o"},E1512&amp;" gkmo"))-1))),0)</f>
        <v>0</v>
      </c>
      <c r="J1512" s="6" t="str" cm="1">
        <f t="array" ref="J1512">IFERROR(TRIM(MID(E1512,MIN(FIND({" ";"g";"k";"m";"o"},E1512&amp;" gkmo")),10)),"unknown")</f>
        <v/>
      </c>
      <c r="K1512" s="6" t="str">
        <f t="shared" si="92"/>
        <v>unknown</v>
      </c>
      <c r="L1512" s="6" t="str">
        <f t="shared" si="93"/>
        <v>Aiguebelle</v>
      </c>
      <c r="M1512" s="6" t="str">
        <f t="shared" si="94"/>
        <v>Pepite Chocolat</v>
      </c>
      <c r="N1512" s="6" t="str">
        <f t="shared" si="95"/>
        <v>Ma</v>
      </c>
    </row>
    <row r="1513" spans="1:14" x14ac:dyDescent="0.25">
      <c r="A1513" s="6" t="s">
        <v>3748</v>
      </c>
      <c r="B1513" s="6">
        <v>6799</v>
      </c>
      <c r="C1513" s="6" t="s">
        <v>7489</v>
      </c>
      <c r="D1513" s="7" t="s">
        <v>3749</v>
      </c>
      <c r="E1513" s="6" t="s">
        <v>335</v>
      </c>
      <c r="F1513" s="6" t="s">
        <v>139</v>
      </c>
      <c r="G1513" s="8">
        <v>45721</v>
      </c>
      <c r="H1513" s="6">
        <v>23.57</v>
      </c>
      <c r="I1513" s="6" cm="1">
        <f t="array" ref="I1513">IFERROR(VALUE(TRIM(LEFT(E1513,MIN(FIND({" ";"g";"k";"m";"o"},E1513&amp;" gkmo"))-1))),0)</f>
        <v>250</v>
      </c>
      <c r="J1513" s="6" t="str" cm="1">
        <f t="array" ref="J1513">IFERROR(TRIM(MID(E1513,MIN(FIND({" ";"g";"k";"m";"o"},E1513&amp;" gkmo")),10)),"unknown")</f>
        <v>g</v>
      </c>
      <c r="K1513" s="6" t="str">
        <f t="shared" si="92"/>
        <v>g</v>
      </c>
      <c r="L1513" s="6" t="str">
        <f t="shared" si="93"/>
        <v>Funkie</v>
      </c>
      <c r="M1513" s="6" t="str">
        <f t="shared" si="94"/>
        <v>Les Fourrées - Beurre De Cacahuète &amp; Cacao</v>
      </c>
      <c r="N1513" s="6" t="str">
        <f t="shared" si="95"/>
        <v>France</v>
      </c>
    </row>
    <row r="1514" spans="1:14" x14ac:dyDescent="0.25">
      <c r="A1514" s="6" t="s">
        <v>3750</v>
      </c>
      <c r="B1514" s="6">
        <v>9849</v>
      </c>
      <c r="C1514" s="6" t="s">
        <v>7257</v>
      </c>
      <c r="D1514" s="7" t="s">
        <v>7490</v>
      </c>
      <c r="E1514" s="6" t="s">
        <v>3751</v>
      </c>
      <c r="F1514" s="6" t="s">
        <v>139</v>
      </c>
      <c r="G1514" s="8">
        <v>46051</v>
      </c>
      <c r="H1514" s="6">
        <v>24.39</v>
      </c>
      <c r="I1514" s="6" cm="1">
        <f t="array" ref="I1514">IFERROR(VALUE(TRIM(LEFT(E1514,MIN(FIND({" ";"g";"k";"m";"o"},E1514&amp;" gkmo"))-1))),0)</f>
        <v>126</v>
      </c>
      <c r="J1514" s="6" t="str" cm="1">
        <f t="array" ref="J1514">IFERROR(TRIM(MID(E1514,MIN(FIND({" ";"g";"k";"m";"o"},E1514&amp;" gkmo")),10)),"unknown")</f>
        <v>gr</v>
      </c>
      <c r="K1514" s="6" t="str">
        <f t="shared" si="92"/>
        <v>g</v>
      </c>
      <c r="L1514" s="6" t="str">
        <f t="shared" si="93"/>
        <v>Marque Repère, Grainéa</v>
      </c>
      <c r="M1514" s="6" t="str">
        <f t="shared" si="94"/>
        <v>Barre Aux 4 Céréales Et Figue</v>
      </c>
      <c r="N1514" s="6" t="str">
        <f t="shared" si="95"/>
        <v>France</v>
      </c>
    </row>
    <row r="1515" spans="1:14" x14ac:dyDescent="0.25">
      <c r="A1515" s="6" t="s">
        <v>3752</v>
      </c>
      <c r="B1515" s="6">
        <v>8530</v>
      </c>
      <c r="C1515" s="6" t="s">
        <v>3753</v>
      </c>
      <c r="D1515" s="7" t="s">
        <v>150</v>
      </c>
      <c r="E1515" s="6"/>
      <c r="F1515" s="6" t="s">
        <v>177</v>
      </c>
      <c r="G1515" s="8">
        <v>45569</v>
      </c>
      <c r="H1515" s="6">
        <v>8.25</v>
      </c>
      <c r="I1515" s="6" cm="1">
        <f t="array" ref="I1515">IFERROR(VALUE(TRIM(LEFT(E1515,MIN(FIND({" ";"g";"k";"m";"o"},E1515&amp;" gkmo"))-1))),0)</f>
        <v>0</v>
      </c>
      <c r="J1515" s="6" t="str" cm="1">
        <f t="array" ref="J1515">IFERROR(TRIM(MID(E1515,MIN(FIND({" ";"g";"k";"m";"o"},E1515&amp;" gkmo")),10)),"unknown")</f>
        <v/>
      </c>
      <c r="K1515" s="6" t="str">
        <f t="shared" si="92"/>
        <v>unknown</v>
      </c>
      <c r="L1515" s="6" t="str">
        <f t="shared" si="93"/>
        <v>Alesto</v>
      </c>
      <c r="M1515" s="6" t="str">
        <f t="shared" si="94"/>
        <v>Pistachios</v>
      </c>
      <c r="N1515" s="6" t="str">
        <f t="shared" si="95"/>
        <v>United Kingdom</v>
      </c>
    </row>
    <row r="1516" spans="1:14" x14ac:dyDescent="0.25">
      <c r="A1516" s="6" t="s">
        <v>3754</v>
      </c>
      <c r="B1516" s="6">
        <v>11187</v>
      </c>
      <c r="C1516" s="6" t="s">
        <v>7740</v>
      </c>
      <c r="D1516" s="7" t="s">
        <v>7660</v>
      </c>
      <c r="E1516" s="6"/>
      <c r="F1516" s="6" t="s">
        <v>48</v>
      </c>
      <c r="G1516" s="8">
        <v>45904</v>
      </c>
      <c r="H1516" s="6">
        <v>22.97</v>
      </c>
      <c r="I1516" s="6" cm="1">
        <f t="array" ref="I1516">IFERROR(VALUE(TRIM(LEFT(E1516,MIN(FIND({" ";"g";"k";"m";"o"},E1516&amp;" gkmo"))-1))),0)</f>
        <v>0</v>
      </c>
      <c r="J1516" s="6" t="str" cm="1">
        <f t="array" ref="J1516">IFERROR(TRIM(MID(E1516,MIN(FIND({" ";"g";"k";"m";"o"},E1516&amp;" gkmo")),10)),"unknown")</f>
        <v/>
      </c>
      <c r="K1516" s="6" t="str">
        <f t="shared" si="92"/>
        <v>unknown</v>
      </c>
      <c r="L1516" s="6" t="str">
        <f t="shared" si="93"/>
        <v>SaàDa</v>
      </c>
      <c r="M1516" s="6" t="str">
        <f t="shared" si="94"/>
        <v>Major (Goà»T Vanille )</v>
      </c>
      <c r="N1516" s="6" t="str">
        <f t="shared" si="95"/>
        <v>Morocco</v>
      </c>
    </row>
    <row r="1517" spans="1:14" x14ac:dyDescent="0.25">
      <c r="A1517" s="6" t="s">
        <v>3755</v>
      </c>
      <c r="B1517" s="6">
        <v>11185</v>
      </c>
      <c r="C1517" s="6" t="s">
        <v>3756</v>
      </c>
      <c r="D1517" s="7" t="s">
        <v>652</v>
      </c>
      <c r="E1517" s="6" t="s">
        <v>120</v>
      </c>
      <c r="F1517" s="6" t="s">
        <v>5759</v>
      </c>
      <c r="G1517" s="8">
        <v>45362</v>
      </c>
      <c r="H1517" s="6">
        <v>1.94</v>
      </c>
      <c r="I1517" s="6" cm="1">
        <f t="array" ref="I1517">IFERROR(VALUE(TRIM(LEFT(E1517,MIN(FIND({" ";"g";"k";"m";"o"},E1517&amp;" gkmo"))-1))),0)</f>
        <v>210</v>
      </c>
      <c r="J1517" s="6" t="str" cm="1">
        <f t="array" ref="J1517">IFERROR(TRIM(MID(E1517,MIN(FIND({" ";"g";"k";"m";"o"},E1517&amp;" gkmo")),10)),"unknown")</f>
        <v>g</v>
      </c>
      <c r="K1517" s="6" t="str">
        <f t="shared" si="92"/>
        <v>g</v>
      </c>
      <c r="L1517" s="6" t="str">
        <f t="shared" si="93"/>
        <v>Brossard</v>
      </c>
      <c r="M1517" s="6" t="str">
        <f t="shared" si="94"/>
        <v>Brossard - Savane Mini Dark Chocolate Marble Cakes, 210G (7.5Oz)</v>
      </c>
      <c r="N1517" s="6" t="str">
        <f t="shared" si="95"/>
        <v>Fr</v>
      </c>
    </row>
    <row r="1518" spans="1:14" x14ac:dyDescent="0.25">
      <c r="A1518" s="6" t="s">
        <v>3757</v>
      </c>
      <c r="B1518" s="6">
        <v>5411</v>
      </c>
      <c r="C1518" s="6" t="s">
        <v>3758</v>
      </c>
      <c r="D1518" s="7" t="s">
        <v>1703</v>
      </c>
      <c r="E1518" s="6" t="s">
        <v>1312</v>
      </c>
      <c r="F1518" s="6" t="s">
        <v>139</v>
      </c>
      <c r="G1518" s="8">
        <v>46044</v>
      </c>
      <c r="H1518" s="6">
        <v>15.24</v>
      </c>
      <c r="I1518" s="6" cm="1">
        <f t="array" ref="I1518">IFERROR(VALUE(TRIM(LEFT(E1518,MIN(FIND({" ";"g";"k";"m";"o"},E1518&amp;" gkmo"))-1))),0)</f>
        <v>50</v>
      </c>
      <c r="J1518" s="6" t="str" cm="1">
        <f t="array" ref="J1518">IFERROR(TRIM(MID(E1518,MIN(FIND({" ";"g";"k";"m";"o"},E1518&amp;" gkmo")),10)),"unknown")</f>
        <v>g</v>
      </c>
      <c r="K1518" s="6" t="str">
        <f t="shared" si="92"/>
        <v>g</v>
      </c>
      <c r="L1518" s="6" t="str">
        <f t="shared" si="93"/>
        <v>Ricola</v>
      </c>
      <c r="M1518" s="6" t="str">
        <f t="shared" si="94"/>
        <v>50G Ricola Menthol</v>
      </c>
      <c r="N1518" s="6" t="str">
        <f t="shared" si="95"/>
        <v>France</v>
      </c>
    </row>
    <row r="1519" spans="1:14" x14ac:dyDescent="0.25">
      <c r="A1519" s="6" t="s">
        <v>3759</v>
      </c>
      <c r="B1519" s="6">
        <v>12395</v>
      </c>
      <c r="C1519" s="6" t="s">
        <v>7741</v>
      </c>
      <c r="D1519" s="7" t="s">
        <v>2199</v>
      </c>
      <c r="E1519" s="6" t="s">
        <v>197</v>
      </c>
      <c r="F1519" s="6" t="s">
        <v>139</v>
      </c>
      <c r="G1519" s="8">
        <v>45625</v>
      </c>
      <c r="H1519" s="6">
        <v>11.4</v>
      </c>
      <c r="I1519" s="6" cm="1">
        <f t="array" ref="I1519">IFERROR(VALUE(TRIM(LEFT(E1519,MIN(FIND({" ";"g";"k";"m";"o"},E1519&amp;" gkmo"))-1))),0)</f>
        <v>130</v>
      </c>
      <c r="J1519" s="6" t="str" cm="1">
        <f t="array" ref="J1519">IFERROR(TRIM(MID(E1519,MIN(FIND({" ";"g";"k";"m";"o"},E1519&amp;" gkmo")),10)),"unknown")</f>
        <v>g</v>
      </c>
      <c r="K1519" s="6" t="str">
        <f t="shared" si="92"/>
        <v>g</v>
      </c>
      <c r="L1519" s="6" t="str">
        <f t="shared" si="93"/>
        <v>U, U Bio</v>
      </c>
      <c r="M1519" s="6" t="str">
        <f t="shared" si="94"/>
        <v>Biscuits À  L'Avoine Complète Nature Bio 130G</v>
      </c>
      <c r="N1519" s="6" t="str">
        <f t="shared" si="95"/>
        <v>France</v>
      </c>
    </row>
    <row r="1520" spans="1:14" x14ac:dyDescent="0.25">
      <c r="A1520" s="6" t="s">
        <v>3760</v>
      </c>
      <c r="B1520" s="6">
        <v>14601</v>
      </c>
      <c r="C1520" s="6" t="s">
        <v>7898</v>
      </c>
      <c r="D1520" s="7" t="s">
        <v>72</v>
      </c>
      <c r="E1520" s="6" t="s">
        <v>284</v>
      </c>
      <c r="F1520" s="6" t="s">
        <v>139</v>
      </c>
      <c r="G1520" s="8">
        <v>45450</v>
      </c>
      <c r="H1520" s="6">
        <v>22.13</v>
      </c>
      <c r="I1520" s="6" cm="1">
        <f t="array" ref="I1520">IFERROR(VALUE(TRIM(LEFT(E1520,MIN(FIND({" ";"g";"k";"m";"o"},E1520&amp;" gkmo"))-1))),0)</f>
        <v>180</v>
      </c>
      <c r="J1520" s="6" t="str" cm="1">
        <f t="array" ref="J1520">IFERROR(TRIM(MID(E1520,MIN(FIND({" ";"g";"k";"m";"o"},E1520&amp;" gkmo")),10)),"unknown")</f>
        <v>g</v>
      </c>
      <c r="K1520" s="6" t="str">
        <f t="shared" si="92"/>
        <v>g</v>
      </c>
      <c r="L1520" s="6" t="str">
        <f t="shared" si="93"/>
        <v>Bjorg</v>
      </c>
      <c r="M1520" s="6" t="str">
        <f t="shared" si="94"/>
        <v>P'Tit Fondant Coeur Chocolat</v>
      </c>
      <c r="N1520" s="6" t="str">
        <f t="shared" si="95"/>
        <v>France</v>
      </c>
    </row>
    <row r="1521" spans="1:14" x14ac:dyDescent="0.25">
      <c r="A1521" s="6" t="s">
        <v>3761</v>
      </c>
      <c r="B1521" s="6">
        <v>6014</v>
      </c>
      <c r="C1521" s="6" t="s">
        <v>3762</v>
      </c>
      <c r="D1521" s="7" t="s">
        <v>3763</v>
      </c>
      <c r="E1521" s="6"/>
      <c r="F1521" s="6" t="s">
        <v>2973</v>
      </c>
      <c r="G1521" s="8">
        <v>45895</v>
      </c>
      <c r="H1521" s="6">
        <v>17.010000000000002</v>
      </c>
      <c r="I1521" s="6" cm="1">
        <f t="array" ref="I1521">IFERROR(VALUE(TRIM(LEFT(E1521,MIN(FIND({" ";"g";"k";"m";"o"},E1521&amp;" gkmo"))-1))),0)</f>
        <v>0</v>
      </c>
      <c r="J1521" s="6" t="str" cm="1">
        <f t="array" ref="J1521">IFERROR(TRIM(MID(E1521,MIN(FIND({" ";"g";"k";"m";"o"},E1521&amp;" gkmo")),10)),"unknown")</f>
        <v/>
      </c>
      <c r="K1521" s="6" t="str">
        <f t="shared" si="92"/>
        <v>unknown</v>
      </c>
      <c r="L1521" s="6" t="str">
        <f t="shared" si="93"/>
        <v>Morrisons</v>
      </c>
      <c r="M1521" s="6" t="str">
        <f t="shared" si="94"/>
        <v>The Best Sea Salted Crisps</v>
      </c>
      <c r="N1521" s="6" t="str">
        <f t="shared" si="95"/>
        <v>Gb</v>
      </c>
    </row>
    <row r="1522" spans="1:14" x14ac:dyDescent="0.25">
      <c r="A1522" s="6" t="s">
        <v>3764</v>
      </c>
      <c r="B1522" s="6">
        <v>7195</v>
      </c>
      <c r="C1522" s="6" t="s">
        <v>7742</v>
      </c>
      <c r="D1522" s="7" t="s">
        <v>3765</v>
      </c>
      <c r="E1522" s="6" t="s">
        <v>28</v>
      </c>
      <c r="F1522" s="6" t="s">
        <v>7663</v>
      </c>
      <c r="G1522" s="8">
        <v>45616</v>
      </c>
      <c r="H1522" s="6">
        <v>12.17</v>
      </c>
      <c r="I1522" s="6" cm="1">
        <f t="array" ref="I1522">IFERROR(VALUE(TRIM(LEFT(E1522,MIN(FIND({" ";"g";"k";"m";"o"},E1522&amp;" gkmo"))-1))),0)</f>
        <v>125</v>
      </c>
      <c r="J1522" s="6" t="str" cm="1">
        <f t="array" ref="J1522">IFERROR(TRIM(MID(E1522,MIN(FIND({" ";"g";"k";"m";"o"},E1522&amp;" gkmo")),10)),"unknown")</f>
        <v>g</v>
      </c>
      <c r="K1522" s="6" t="str">
        <f t="shared" si="92"/>
        <v>g</v>
      </c>
      <c r="L1522" s="6" t="str">
        <f t="shared" si="93"/>
        <v>Storck,Toffifee</v>
      </c>
      <c r="M1522" s="6" t="str">
        <f t="shared" si="94"/>
        <v>Toffifee Weiàÿ</v>
      </c>
      <c r="N1522" s="6" t="str">
        <f t="shared" si="95"/>
        <v>À–Sterreich,Deutschland</v>
      </c>
    </row>
    <row r="1523" spans="1:14" x14ac:dyDescent="0.25">
      <c r="A1523" s="6" t="s">
        <v>3766</v>
      </c>
      <c r="B1523" s="6">
        <v>7220</v>
      </c>
      <c r="C1523" s="6" t="s">
        <v>1283</v>
      </c>
      <c r="D1523" s="7" t="s">
        <v>7017</v>
      </c>
      <c r="E1523" s="6"/>
      <c r="F1523" s="6" t="s">
        <v>860</v>
      </c>
      <c r="G1523" s="8">
        <v>45508</v>
      </c>
      <c r="H1523" s="6">
        <v>17.34</v>
      </c>
      <c r="I1523" s="6" cm="1">
        <f t="array" ref="I1523">IFERROR(VALUE(TRIM(LEFT(E1523,MIN(FIND({" ";"g";"k";"m";"o"},E1523&amp;" gkmo"))-1))),0)</f>
        <v>0</v>
      </c>
      <c r="J1523" s="6" t="str" cm="1">
        <f t="array" ref="J1523">IFERROR(TRIM(MID(E1523,MIN(FIND({" ";"g";"k";"m";"o"},E1523&amp;" gkmo")),10)),"unknown")</f>
        <v/>
      </c>
      <c r="K1523" s="6" t="str">
        <f t="shared" si="92"/>
        <v>unknown</v>
      </c>
      <c r="L1523" s="6" t="str">
        <f t="shared" si="93"/>
        <v>Unknown</v>
      </c>
      <c r="M1523" s="6" t="str">
        <f t="shared" si="94"/>
        <v>Tobigo</v>
      </c>
      <c r="N1523" s="6" t="str">
        <f t="shared" si="95"/>
        <v>Ma</v>
      </c>
    </row>
    <row r="1524" spans="1:14" x14ac:dyDescent="0.25">
      <c r="A1524" s="6" t="s">
        <v>3767</v>
      </c>
      <c r="B1524" s="6">
        <v>9368</v>
      </c>
      <c r="C1524" s="6" t="s">
        <v>3768</v>
      </c>
      <c r="D1524" s="7" t="s">
        <v>1348</v>
      </c>
      <c r="E1524" s="6" t="s">
        <v>3769</v>
      </c>
      <c r="F1524" s="6" t="s">
        <v>8071</v>
      </c>
      <c r="G1524" s="8">
        <v>46043</v>
      </c>
      <c r="H1524" s="6">
        <v>4.1399999999999997</v>
      </c>
      <c r="I1524" s="6" cm="1">
        <f t="array" ref="I1524">IFERROR(VALUE(TRIM(LEFT(E1524,MIN(FIND({" ";"g";"k";"m";"o"},E1524&amp;" gkmo"))-1))),0)</f>
        <v>550</v>
      </c>
      <c r="J1524" s="6" t="str" cm="1">
        <f t="array" ref="J1524">IFERROR(TRIM(MID(E1524,MIN(FIND({" ";"g";"k";"m";"o"},E1524&amp;" gkmo")),10)),"unknown")</f>
        <v>g</v>
      </c>
      <c r="K1524" s="6" t="str">
        <f t="shared" si="92"/>
        <v>g</v>
      </c>
      <c r="L1524" s="6" t="str">
        <f t="shared" si="93"/>
        <v>Cadbury</v>
      </c>
      <c r="M1524" s="6" t="str">
        <f t="shared" si="94"/>
        <v>Heroes</v>
      </c>
      <c r="N1524" s="6" t="str">
        <f t="shared" si="95"/>
        <v>Russia, United-Kingdom</v>
      </c>
    </row>
    <row r="1525" spans="1:14" x14ac:dyDescent="0.25">
      <c r="A1525" s="6" t="s">
        <v>3770</v>
      </c>
      <c r="B1525" s="6">
        <v>11482</v>
      </c>
      <c r="C1525" s="6" t="s">
        <v>3771</v>
      </c>
      <c r="D1525" s="7" t="s">
        <v>7017</v>
      </c>
      <c r="E1525" s="6" t="s">
        <v>621</v>
      </c>
      <c r="F1525" s="6" t="s">
        <v>139</v>
      </c>
      <c r="G1525" s="8">
        <v>45636</v>
      </c>
      <c r="H1525" s="6">
        <v>13.75</v>
      </c>
      <c r="I1525" s="6" cm="1">
        <f t="array" ref="I1525">IFERROR(VALUE(TRIM(LEFT(E1525,MIN(FIND({" ";"g";"k";"m";"o"},E1525&amp;" gkmo"))-1))),0)</f>
        <v>160</v>
      </c>
      <c r="J1525" s="6" t="str" cm="1">
        <f t="array" ref="J1525">IFERROR(TRIM(MID(E1525,MIN(FIND({" ";"g";"k";"m";"o"},E1525&amp;" gkmo")),10)),"unknown")</f>
        <v>g</v>
      </c>
      <c r="K1525" s="6" t="str">
        <f t="shared" si="92"/>
        <v>g</v>
      </c>
      <c r="L1525" s="6" t="str">
        <f t="shared" si="93"/>
        <v>Unknown</v>
      </c>
      <c r="M1525" s="6" t="str">
        <f t="shared" si="94"/>
        <v>Sweet Chilli Pepper</v>
      </c>
      <c r="N1525" s="6" t="str">
        <f t="shared" si="95"/>
        <v>France</v>
      </c>
    </row>
    <row r="1526" spans="1:14" x14ac:dyDescent="0.25">
      <c r="A1526" s="6" t="s">
        <v>3772</v>
      </c>
      <c r="B1526" s="6">
        <v>6921</v>
      </c>
      <c r="C1526" s="6" t="s">
        <v>3773</v>
      </c>
      <c r="D1526" s="7" t="s">
        <v>3452</v>
      </c>
      <c r="E1526" s="6" t="s">
        <v>3774</v>
      </c>
      <c r="F1526" s="6" t="s">
        <v>177</v>
      </c>
      <c r="G1526" s="8">
        <v>45522</v>
      </c>
      <c r="H1526" s="6">
        <v>1.04</v>
      </c>
      <c r="I1526" s="6" cm="1">
        <f t="array" ref="I1526">IFERROR(VALUE(TRIM(LEFT(E1526,MIN(FIND({" ";"g";"k";"m";"o"},E1526&amp;" gkmo"))-1))),0)</f>
        <v>0</v>
      </c>
      <c r="J1526" s="6" t="str" cm="1">
        <f t="array" ref="J1526">IFERROR(TRIM(MID(E1526,MIN(FIND({" ";"g";"k";"m";"o"},E1526&amp;" gkmo")),10)),"unknown")</f>
        <v>g</v>
      </c>
      <c r="K1526" s="6" t="str">
        <f t="shared" si="92"/>
        <v>g</v>
      </c>
      <c r="L1526" s="6" t="str">
        <f t="shared" si="93"/>
        <v>Organix</v>
      </c>
      <c r="M1526" s="6" t="str">
        <f t="shared" si="94"/>
        <v>Organix Carrot Cake Oats Bars</v>
      </c>
      <c r="N1526" s="6" t="str">
        <f t="shared" si="95"/>
        <v>United Kingdom</v>
      </c>
    </row>
    <row r="1527" spans="1:14" x14ac:dyDescent="0.25">
      <c r="A1527" s="6" t="s">
        <v>3775</v>
      </c>
      <c r="B1527" s="6">
        <v>8361</v>
      </c>
      <c r="C1527" s="6" t="s">
        <v>7899</v>
      </c>
      <c r="D1527" s="7" t="s">
        <v>7030</v>
      </c>
      <c r="E1527" s="6"/>
      <c r="F1527" s="6" t="s">
        <v>3776</v>
      </c>
      <c r="G1527" s="8">
        <v>45755</v>
      </c>
      <c r="H1527" s="6">
        <v>8.92</v>
      </c>
      <c r="I1527" s="6" cm="1">
        <f t="array" ref="I1527">IFERROR(VALUE(TRIM(LEFT(E1527,MIN(FIND({" ";"g";"k";"m";"o"},E1527&amp;" gkmo"))-1))),0)</f>
        <v>0</v>
      </c>
      <c r="J1527" s="6" t="str" cm="1">
        <f t="array" ref="J1527">IFERROR(TRIM(MID(E1527,MIN(FIND({" ";"g";"k";"m";"o"},E1527&amp;" gkmo")),10)),"unknown")</f>
        <v/>
      </c>
      <c r="K1527" s="6" t="str">
        <f t="shared" si="92"/>
        <v>unknown</v>
      </c>
      <c r="L1527" s="6" t="str">
        <f t="shared" si="93"/>
        <v>Gerblé</v>
      </c>
      <c r="M1527" s="6" t="str">
        <f t="shared" si="94"/>
        <v>Crousti'Pause Choco Noisette</v>
      </c>
      <c r="N1527" s="6" t="str">
        <f t="shared" si="95"/>
        <v>France,Kenya</v>
      </c>
    </row>
    <row r="1528" spans="1:14" x14ac:dyDescent="0.25">
      <c r="A1528" s="6" t="s">
        <v>3777</v>
      </c>
      <c r="B1528" s="6">
        <v>5736</v>
      </c>
      <c r="C1528" s="6" t="s">
        <v>3778</v>
      </c>
      <c r="D1528" s="7" t="s">
        <v>3779</v>
      </c>
      <c r="E1528" s="6" t="s">
        <v>569</v>
      </c>
      <c r="F1528" s="6" t="s">
        <v>2028</v>
      </c>
      <c r="G1528" s="8">
        <v>45579</v>
      </c>
      <c r="H1528" s="6">
        <v>15.52</v>
      </c>
      <c r="I1528" s="6" cm="1">
        <f t="array" ref="I1528">IFERROR(VALUE(TRIM(LEFT(E1528,MIN(FIND({" ";"g";"k";"m";"o"},E1528&amp;" gkmo"))-1))),0)</f>
        <v>128</v>
      </c>
      <c r="J1528" s="6" t="str" cm="1">
        <f t="array" ref="J1528">IFERROR(TRIM(MID(E1528,MIN(FIND({" ";"g";"k";"m";"o"},E1528&amp;" gkmo")),10)),"unknown")</f>
        <v>g</v>
      </c>
      <c r="K1528" s="6" t="str">
        <f t="shared" si="92"/>
        <v>g</v>
      </c>
      <c r="L1528" s="6" t="str">
        <f t="shared" si="93"/>
        <v>Panda</v>
      </c>
      <c r="M1528" s="6" t="str">
        <f t="shared" si="94"/>
        <v>Natural Original Liquorice 4 Bars</v>
      </c>
      <c r="N1528" s="6" t="str">
        <f t="shared" si="95"/>
        <v>France,Netherlands,United Kingdom</v>
      </c>
    </row>
    <row r="1529" spans="1:14" x14ac:dyDescent="0.25">
      <c r="A1529" s="6" t="s">
        <v>3780</v>
      </c>
      <c r="B1529" s="6">
        <v>7349</v>
      </c>
      <c r="C1529" s="6" t="s">
        <v>3781</v>
      </c>
      <c r="D1529" s="7" t="s">
        <v>3782</v>
      </c>
      <c r="E1529" s="6" t="s">
        <v>14</v>
      </c>
      <c r="F1529" s="6" t="s">
        <v>8260</v>
      </c>
      <c r="G1529" s="8">
        <v>45618</v>
      </c>
      <c r="H1529" s="6">
        <v>8.6300000000000008</v>
      </c>
      <c r="I1529" s="6" cm="1">
        <f t="array" ref="I1529">IFERROR(VALUE(TRIM(LEFT(E1529,MIN(FIND({" ";"g";"k";"m";"o"},E1529&amp;" gkmo"))-1))),0)</f>
        <v>300</v>
      </c>
      <c r="J1529" s="6" t="str" cm="1">
        <f t="array" ref="J1529">IFERROR(TRIM(MID(E1529,MIN(FIND({" ";"g";"k";"m";"o"},E1529&amp;" gkmo")),10)),"unknown")</f>
        <v>g</v>
      </c>
      <c r="K1529" s="6" t="str">
        <f t="shared" si="92"/>
        <v>g</v>
      </c>
      <c r="L1529" s="6" t="str">
        <f t="shared" si="93"/>
        <v>Mcennedy</v>
      </c>
      <c r="M1529" s="6" t="str">
        <f t="shared" si="94"/>
        <v>Mikrowellen Popcorn Salzig</v>
      </c>
      <c r="N1529" s="6" t="str">
        <f t="shared" si="95"/>
        <v>France,Germany,États-Unis</v>
      </c>
    </row>
    <row r="1530" spans="1:14" x14ac:dyDescent="0.25">
      <c r="A1530" s="6" t="s">
        <v>3783</v>
      </c>
      <c r="B1530" s="6">
        <v>6317</v>
      </c>
      <c r="C1530" s="6" t="s">
        <v>128</v>
      </c>
      <c r="D1530" s="7" t="s">
        <v>7743</v>
      </c>
      <c r="E1530" s="6" t="s">
        <v>3784</v>
      </c>
      <c r="F1530" s="6" t="s">
        <v>1356</v>
      </c>
      <c r="G1530" s="8">
        <v>45726</v>
      </c>
      <c r="H1530" s="6">
        <v>13.16</v>
      </c>
      <c r="I1530" s="6" cm="1">
        <f t="array" ref="I1530">IFERROR(VALUE(TRIM(LEFT(E1530,MIN(FIND({" ";"g";"k";"m";"o"},E1530&amp;" gkmo"))-1))),0)</f>
        <v>2</v>
      </c>
      <c r="J1530" s="6" t="str" cm="1">
        <f t="array" ref="J1530">IFERROR(TRIM(MID(E1530,MIN(FIND({" ";"g";"k";"m";"o"},E1530&amp;" gkmo")),10)),"unknown")</f>
        <v>x 200 g</v>
      </c>
      <c r="K1530" s="6" t="str">
        <f t="shared" si="92"/>
        <v>g</v>
      </c>
      <c r="L1530" s="6" t="str">
        <f t="shared" si="93"/>
        <v>Lidl,Sondey,Flà¤Mische Keksfabrik</v>
      </c>
      <c r="M1530" s="6" t="str">
        <f t="shared" si="94"/>
        <v>Petit Beurre</v>
      </c>
      <c r="N1530" s="6" t="str">
        <f t="shared" si="95"/>
        <v>France,Germany</v>
      </c>
    </row>
    <row r="1531" spans="1:14" x14ac:dyDescent="0.25">
      <c r="A1531" s="6" t="s">
        <v>3785</v>
      </c>
      <c r="B1531" s="6">
        <v>14005</v>
      </c>
      <c r="C1531" s="6" t="s">
        <v>7258</v>
      </c>
      <c r="D1531" s="7" t="s">
        <v>3786</v>
      </c>
      <c r="E1531" s="6" t="s">
        <v>3787</v>
      </c>
      <c r="F1531" s="6" t="s">
        <v>1331</v>
      </c>
      <c r="G1531" s="8">
        <v>45669</v>
      </c>
      <c r="H1531" s="6">
        <v>11.49</v>
      </c>
      <c r="I1531" s="6" cm="1">
        <f t="array" ref="I1531">IFERROR(VALUE(TRIM(LEFT(E1531,MIN(FIND({" ";"g";"k";"m";"o"},E1531&amp;" gkmo"))-1))),0)</f>
        <v>200</v>
      </c>
      <c r="J1531" s="6" t="str" cm="1">
        <f t="array" ref="J1531">IFERROR(TRIM(MID(E1531,MIN(FIND({" ";"g";"k";"m";"o"},E1531&amp;" gkmo")),10)),"unknown")</f>
        <v>g (16 x 1</v>
      </c>
      <c r="K1531" s="6" t="str">
        <f t="shared" si="92"/>
        <v>g</v>
      </c>
      <c r="L1531" s="6" t="str">
        <f t="shared" si="93"/>
        <v>Aachener Zucker- Und Backwaren Paul Schaeffer, Lidl, Sondey</v>
      </c>
      <c r="M1531" s="6" t="str">
        <f t="shared" si="94"/>
        <v>Biscuits Complets Avoine Et Blé Bio</v>
      </c>
      <c r="N1531" s="6" t="str">
        <f t="shared" si="95"/>
        <v>Frankreich,Deutschland</v>
      </c>
    </row>
    <row r="1532" spans="1:14" x14ac:dyDescent="0.25">
      <c r="A1532" s="6" t="s">
        <v>3788</v>
      </c>
      <c r="B1532" s="6">
        <v>5163</v>
      </c>
      <c r="C1532" s="6" t="s">
        <v>7744</v>
      </c>
      <c r="D1532" s="7" t="s">
        <v>7259</v>
      </c>
      <c r="E1532" s="6" t="s">
        <v>151</v>
      </c>
      <c r="F1532" s="6" t="s">
        <v>139</v>
      </c>
      <c r="G1532" s="8">
        <v>45859</v>
      </c>
      <c r="H1532" s="6">
        <v>13.16</v>
      </c>
      <c r="I1532" s="6" cm="1">
        <f t="array" ref="I1532">IFERROR(VALUE(TRIM(LEFT(E1532,MIN(FIND({" ";"g";"k";"m";"o"},E1532&amp;" gkmo"))-1))),0)</f>
        <v>200</v>
      </c>
      <c r="J1532" s="6" t="str" cm="1">
        <f t="array" ref="J1532">IFERROR(TRIM(MID(E1532,MIN(FIND({" ";"g";"k";"m";"o"},E1532&amp;" gkmo")),10)),"unknown")</f>
        <v>g</v>
      </c>
      <c r="K1532" s="6" t="str">
        <f t="shared" si="92"/>
        <v>g</v>
      </c>
      <c r="L1532" s="6" t="str">
        <f t="shared" si="93"/>
        <v>Bénenuts, Pepsico</v>
      </c>
      <c r="M1532" s="6" t="str">
        <f t="shared" si="94"/>
        <v>Cacahuètes Grillées À  Sec</v>
      </c>
      <c r="N1532" s="6" t="str">
        <f t="shared" si="95"/>
        <v>France</v>
      </c>
    </row>
    <row r="1533" spans="1:14" x14ac:dyDescent="0.25">
      <c r="A1533" s="6" t="s">
        <v>3789</v>
      </c>
      <c r="B1533" s="6">
        <v>14948</v>
      </c>
      <c r="C1533" s="6" t="s">
        <v>3790</v>
      </c>
      <c r="D1533" s="7" t="s">
        <v>3791</v>
      </c>
      <c r="E1533" s="6" t="s">
        <v>3792</v>
      </c>
      <c r="F1533" s="6" t="s">
        <v>139</v>
      </c>
      <c r="G1533" s="8">
        <v>45535</v>
      </c>
      <c r="H1533" s="6">
        <v>18.239999999999998</v>
      </c>
      <c r="I1533" s="6" cm="1">
        <f t="array" ref="I1533">IFERROR(VALUE(TRIM(LEFT(E1533,MIN(FIND({" ";"g";"k";"m";"o"},E1533&amp;" gkmo"))-1))),0)</f>
        <v>3</v>
      </c>
      <c r="J1533" s="6" t="str" cm="1">
        <f t="array" ref="J1533">IFERROR(TRIM(MID(E1533,MIN(FIND({" ";"g";"k";"m";"o"},E1533&amp;" gkmo")),10)),"unknown")</f>
        <v>x 55g</v>
      </c>
      <c r="K1533" s="6" t="str">
        <f t="shared" si="92"/>
        <v>g</v>
      </c>
      <c r="L1533" s="6" t="str">
        <f t="shared" si="93"/>
        <v>Isostar</v>
      </c>
      <c r="M1533" s="6" t="str">
        <f t="shared" si="94"/>
        <v>Cereal Max Energy Noisette Chocolat</v>
      </c>
      <c r="N1533" s="6" t="str">
        <f t="shared" si="95"/>
        <v>France</v>
      </c>
    </row>
    <row r="1534" spans="1:14" x14ac:dyDescent="0.25">
      <c r="A1534" s="6" t="s">
        <v>3793</v>
      </c>
      <c r="B1534" s="6">
        <v>5445</v>
      </c>
      <c r="C1534" s="6" t="s">
        <v>3794</v>
      </c>
      <c r="D1534" s="7" t="s">
        <v>854</v>
      </c>
      <c r="E1534" s="6" t="s">
        <v>14</v>
      </c>
      <c r="F1534" s="6" t="s">
        <v>8072</v>
      </c>
      <c r="G1534" s="8">
        <v>45397</v>
      </c>
      <c r="H1534" s="6">
        <v>8.59</v>
      </c>
      <c r="I1534" s="6" cm="1">
        <f t="array" ref="I1534">IFERROR(VALUE(TRIM(LEFT(E1534,MIN(FIND({" ";"g";"k";"m";"o"},E1534&amp;" gkmo"))-1))),0)</f>
        <v>300</v>
      </c>
      <c r="J1534" s="6" t="str" cm="1">
        <f t="array" ref="J1534">IFERROR(TRIM(MID(E1534,MIN(FIND({" ";"g";"k";"m";"o"},E1534&amp;" gkmo")),10)),"unknown")</f>
        <v>g</v>
      </c>
      <c r="K1534" s="6" t="str">
        <f t="shared" si="92"/>
        <v>g</v>
      </c>
      <c r="L1534" s="6" t="str">
        <f t="shared" si="93"/>
        <v>Carrefour</v>
      </c>
      <c r="M1534" s="6" t="str">
        <f t="shared" si="94"/>
        <v>Sticks Et Bretzels</v>
      </c>
      <c r="N1534" s="6" t="str">
        <f t="shared" si="95"/>
        <v>Belgium, France, Italy, Spain</v>
      </c>
    </row>
    <row r="1535" spans="1:14" x14ac:dyDescent="0.25">
      <c r="A1535" s="6" t="s">
        <v>3795</v>
      </c>
      <c r="B1535" s="6">
        <v>12183</v>
      </c>
      <c r="C1535" s="6" t="s">
        <v>7745</v>
      </c>
      <c r="D1535" s="7" t="s">
        <v>3796</v>
      </c>
      <c r="E1535" s="6" t="s">
        <v>352</v>
      </c>
      <c r="F1535" s="6" t="s">
        <v>139</v>
      </c>
      <c r="G1535" s="8">
        <v>45821</v>
      </c>
      <c r="H1535" s="6">
        <v>20.94</v>
      </c>
      <c r="I1535" s="6" cm="1">
        <f t="array" ref="I1535">IFERROR(VALUE(TRIM(LEFT(E1535,MIN(FIND({" ";"g";"k";"m";"o"},E1535&amp;" gkmo"))-1))),0)</f>
        <v>170</v>
      </c>
      <c r="J1535" s="6" t="str" cm="1">
        <f t="array" ref="J1535">IFERROR(TRIM(MID(E1535,MIN(FIND({" ";"g";"k";"m";"o"},E1535&amp;" gkmo")),10)),"unknown")</f>
        <v>g</v>
      </c>
      <c r="K1535" s="6" t="str">
        <f t="shared" si="92"/>
        <v>g</v>
      </c>
      <c r="L1535" s="6" t="str">
        <f t="shared" si="93"/>
        <v>Bouton D'Or</v>
      </c>
      <c r="M1535" s="6" t="str">
        <f t="shared" si="94"/>
        <v>Tuiles Goà»T Salé</v>
      </c>
      <c r="N1535" s="6" t="str">
        <f t="shared" si="95"/>
        <v>France</v>
      </c>
    </row>
    <row r="1536" spans="1:14" x14ac:dyDescent="0.25">
      <c r="A1536" s="6" t="s">
        <v>3797</v>
      </c>
      <c r="B1536" s="6">
        <v>14977</v>
      </c>
      <c r="C1536" s="6" t="s">
        <v>7746</v>
      </c>
      <c r="D1536" s="7" t="s">
        <v>624</v>
      </c>
      <c r="E1536" s="6" t="s">
        <v>28</v>
      </c>
      <c r="F1536" s="6" t="s">
        <v>8073</v>
      </c>
      <c r="G1536" s="8">
        <v>45379</v>
      </c>
      <c r="H1536" s="6">
        <v>3.28</v>
      </c>
      <c r="I1536" s="6" cm="1">
        <f t="array" ref="I1536">IFERROR(VALUE(TRIM(LEFT(E1536,MIN(FIND({" ";"g";"k";"m";"o"},E1536&amp;" gkmo"))-1))),0)</f>
        <v>125</v>
      </c>
      <c r="J1536" s="6" t="str" cm="1">
        <f t="array" ref="J1536">IFERROR(TRIM(MID(E1536,MIN(FIND({" ";"g";"k";"m";"o"},E1536&amp;" gkmo")),10)),"unknown")</f>
        <v>g</v>
      </c>
      <c r="K1536" s="6" t="str">
        <f t="shared" si="92"/>
        <v>g</v>
      </c>
      <c r="L1536" s="6" t="str">
        <f t="shared" si="93"/>
        <v>Brets</v>
      </c>
      <c r="M1536" s="6" t="str">
        <f t="shared" si="94"/>
        <v>Chips Saveur Aà¯Oli</v>
      </c>
      <c r="N1536" s="6" t="str">
        <f t="shared" si="95"/>
        <v>France, Morocco, United-Kingdom</v>
      </c>
    </row>
    <row r="1537" spans="1:14" x14ac:dyDescent="0.25">
      <c r="A1537" s="6" t="s">
        <v>3305</v>
      </c>
      <c r="B1537" s="6">
        <v>12702</v>
      </c>
      <c r="C1537" s="6" t="s">
        <v>3798</v>
      </c>
      <c r="D1537" s="7" t="s">
        <v>1944</v>
      </c>
      <c r="E1537" s="6" t="s">
        <v>39</v>
      </c>
      <c r="F1537" s="6" t="s">
        <v>3799</v>
      </c>
      <c r="G1537" s="8">
        <v>45936</v>
      </c>
      <c r="H1537" s="6">
        <v>6.06</v>
      </c>
      <c r="I1537" s="6" cm="1">
        <f t="array" ref="I1537">IFERROR(VALUE(TRIM(LEFT(E1537,MIN(FIND({" ";"g";"k";"m";"o"},E1537&amp;" gkmo"))-1))),0)</f>
        <v>150</v>
      </c>
      <c r="J1537" s="6" t="str" cm="1">
        <f t="array" ref="J1537">IFERROR(TRIM(MID(E1537,MIN(FIND({" ";"g";"k";"m";"o"},E1537&amp;" gkmo")),10)),"unknown")</f>
        <v>g</v>
      </c>
      <c r="K1537" s="6" t="str">
        <f t="shared" si="92"/>
        <v>g</v>
      </c>
      <c r="L1537" s="6" t="str">
        <f t="shared" si="93"/>
        <v>Carrefour Bio</v>
      </c>
      <c r="M1537" s="6" t="str">
        <f t="shared" si="94"/>
        <v>Galleta De Mantequilla Con Tableta De Chocolate Con Leche</v>
      </c>
      <c r="N1537" s="6" t="str">
        <f t="shared" si="95"/>
        <v>France,Italy,Poland,Romania,Spain,Switzerland,Belgium</v>
      </c>
    </row>
    <row r="1538" spans="1:14" x14ac:dyDescent="0.25">
      <c r="A1538" s="6" t="s">
        <v>3800</v>
      </c>
      <c r="B1538" s="6">
        <v>13755</v>
      </c>
      <c r="C1538" s="6" t="s">
        <v>3801</v>
      </c>
      <c r="D1538" s="7" t="s">
        <v>7481</v>
      </c>
      <c r="E1538" s="6" t="s">
        <v>423</v>
      </c>
      <c r="F1538" s="6" t="s">
        <v>139</v>
      </c>
      <c r="G1538" s="8">
        <v>45633</v>
      </c>
      <c r="H1538" s="6">
        <v>13.16</v>
      </c>
      <c r="I1538" s="6" cm="1">
        <f t="array" ref="I1538">IFERROR(VALUE(TRIM(LEFT(E1538,MIN(FIND({" ";"g";"k";"m";"o"},E1538&amp;" gkmo"))-1))),0)</f>
        <v>125</v>
      </c>
      <c r="J1538" s="6" t="str" cm="1">
        <f t="array" ref="J1538">IFERROR(TRIM(MID(E1538,MIN(FIND({" ";"g";"k";"m";"o"},E1538&amp;" gkmo")),10)),"unknown")</f>
        <v>g</v>
      </c>
      <c r="K1538" s="6" t="str">
        <f t="shared" si="92"/>
        <v>g</v>
      </c>
      <c r="L1538" s="6" t="str">
        <f t="shared" si="93"/>
        <v>Marque Repère,P'Tit Déli</v>
      </c>
      <c r="M1538" s="6" t="str">
        <f t="shared" si="94"/>
        <v>Le Palet Breton</v>
      </c>
      <c r="N1538" s="6" t="str">
        <f t="shared" si="95"/>
        <v>France</v>
      </c>
    </row>
    <row r="1539" spans="1:14" x14ac:dyDescent="0.25">
      <c r="A1539" s="6" t="s">
        <v>3802</v>
      </c>
      <c r="B1539" s="6">
        <v>6428</v>
      </c>
      <c r="C1539" s="6" t="s">
        <v>7260</v>
      </c>
      <c r="D1539" s="7" t="s">
        <v>555</v>
      </c>
      <c r="E1539" s="6" t="s">
        <v>10</v>
      </c>
      <c r="F1539" s="6" t="s">
        <v>139</v>
      </c>
      <c r="G1539" s="8">
        <v>45430</v>
      </c>
      <c r="H1539" s="6">
        <v>10.87</v>
      </c>
      <c r="I1539" s="6" cm="1">
        <f t="array" ref="I1539">IFERROR(VALUE(TRIM(LEFT(E1539,MIN(FIND({" ";"g";"k";"m";"o"},E1539&amp;" gkmo"))-1))),0)</f>
        <v>100</v>
      </c>
      <c r="J1539" s="6" t="str" cm="1">
        <f t="array" ref="J1539">IFERROR(TRIM(MID(E1539,MIN(FIND({" ";"g";"k";"m";"o"},E1539&amp;" gkmo")),10)),"unknown")</f>
        <v>g</v>
      </c>
      <c r="K1539" s="6" t="str">
        <f t="shared" ref="K1539:K1602" si="96">IF(E1539="","unknown",IF(OR(J1539="g",LEFT(J1539,1)="g"),"g",IF(OR(LEFT(J1539,2)="kg",LEFT(J1539,2)="ki"),"kg",IF(OR(LEFT(J1539,2)="ml",LEFT(J1539,1)="m"),"ml",IF(LEFT(J1539,1)="l","l",IF(ISNUMBER(SEARCH("g",E1539)),"g",IF(ISNUMBER(SEARCH("kg",E1539)),"kg",IF(ISNUMBER(SEARCH("ml",E1539)),"ml","unknown"))))))))</f>
        <v>g</v>
      </c>
      <c r="L1539" s="6" t="str">
        <f t="shared" ref="L1539:L1602" si="97">IF(D1539="","Unknown",PROPER(TRIM(D1539)))</f>
        <v>Alter Eco</v>
      </c>
      <c r="M1539" s="6" t="str">
        <f t="shared" ref="M1539:M1602" si="98">IF(C1539="Unknown","Unknown",PROPER(TRIM(C1539)))</f>
        <v>République Dominicaine 80%</v>
      </c>
      <c r="N1539" s="6" t="str">
        <f t="shared" ref="N1539:N1602" si="99">IF(F1539="","Unknown",PROPER(TRIM(F1539)))</f>
        <v>France</v>
      </c>
    </row>
    <row r="1540" spans="1:14" x14ac:dyDescent="0.25">
      <c r="A1540" s="6" t="s">
        <v>3803</v>
      </c>
      <c r="B1540" s="6">
        <v>5497</v>
      </c>
      <c r="C1540" s="6" t="s">
        <v>3804</v>
      </c>
      <c r="D1540" s="7" t="s">
        <v>600</v>
      </c>
      <c r="E1540" s="6" t="s">
        <v>10</v>
      </c>
      <c r="F1540" s="6" t="s">
        <v>139</v>
      </c>
      <c r="G1540" s="8">
        <v>45749</v>
      </c>
      <c r="H1540" s="6">
        <v>13.16</v>
      </c>
      <c r="I1540" s="6" cm="1">
        <f t="array" ref="I1540">IFERROR(VALUE(TRIM(LEFT(E1540,MIN(FIND({" ";"g";"k";"m";"o"},E1540&amp;" gkmo"))-1))),0)</f>
        <v>100</v>
      </c>
      <c r="J1540" s="6" t="str" cm="1">
        <f t="array" ref="J1540">IFERROR(TRIM(MID(E1540,MIN(FIND({" ";"g";"k";"m";"o"},E1540&amp;" gkmo")),10)),"unknown")</f>
        <v>g</v>
      </c>
      <c r="K1540" s="6" t="str">
        <f t="shared" si="96"/>
        <v>g</v>
      </c>
      <c r="L1540" s="6" t="str">
        <f t="shared" si="97"/>
        <v>Ethiquable</v>
      </c>
      <c r="M1540" s="6" t="str">
        <f t="shared" si="98"/>
        <v>Chocolat Noir Quinoa</v>
      </c>
      <c r="N1540" s="6" t="str">
        <f t="shared" si="99"/>
        <v>France</v>
      </c>
    </row>
    <row r="1541" spans="1:14" x14ac:dyDescent="0.25">
      <c r="A1541" s="6" t="s">
        <v>3805</v>
      </c>
      <c r="B1541" s="6">
        <v>14742</v>
      </c>
      <c r="C1541" s="6" t="s">
        <v>3806</v>
      </c>
      <c r="D1541" s="7" t="s">
        <v>3807</v>
      </c>
      <c r="E1541" s="6" t="s">
        <v>36</v>
      </c>
      <c r="F1541" s="6" t="s">
        <v>7747</v>
      </c>
      <c r="G1541" s="8">
        <v>46010</v>
      </c>
      <c r="H1541" s="6">
        <v>23.71</v>
      </c>
      <c r="I1541" s="6" cm="1">
        <f t="array" ref="I1541">IFERROR(VALUE(TRIM(LEFT(E1541,MIN(FIND({" ";"g";"k";"m";"o"},E1541&amp;" gkmo"))-1))),0)</f>
        <v>42</v>
      </c>
      <c r="J1541" s="6" t="str" cm="1">
        <f t="array" ref="J1541">IFERROR(TRIM(MID(E1541,MIN(FIND({" ";"g";"k";"m";"o"},E1541&amp;" gkmo")),10)),"unknown")</f>
        <v>g</v>
      </c>
      <c r="K1541" s="6" t="str">
        <f t="shared" si="96"/>
        <v>g</v>
      </c>
      <c r="L1541" s="6" t="str">
        <f t="shared" si="97"/>
        <v>Conaxess Trade Norway, Storck</v>
      </c>
      <c r="M1541" s="6" t="str">
        <f t="shared" si="98"/>
        <v>Werthers Original Drops Sukkerfri 42G</v>
      </c>
      <c r="N1541" s="6" t="str">
        <f t="shared" si="99"/>
        <v>À–Sterreich, Belgien, Finnland, Frankreich, Marokko, Schweiz, Vereinigtes Kà¶Nigreich, Germany</v>
      </c>
    </row>
    <row r="1542" spans="1:14" x14ac:dyDescent="0.25">
      <c r="A1542" s="6" t="s">
        <v>3808</v>
      </c>
      <c r="B1542" s="6">
        <v>12591</v>
      </c>
      <c r="C1542" s="6" t="s">
        <v>3809</v>
      </c>
      <c r="D1542" s="7" t="s">
        <v>7017</v>
      </c>
      <c r="E1542" s="6" t="s">
        <v>291</v>
      </c>
      <c r="F1542" s="6" t="s">
        <v>7748</v>
      </c>
      <c r="G1542" s="8">
        <v>45797</v>
      </c>
      <c r="H1542" s="6">
        <v>3.98</v>
      </c>
      <c r="I1542" s="6" cm="1">
        <f t="array" ref="I1542">IFERROR(VALUE(TRIM(LEFT(E1542,MIN(FIND({" ";"g";"k";"m";"o"},E1542&amp;" gkmo"))-1))),0)</f>
        <v>140</v>
      </c>
      <c r="J1542" s="6" t="str" cm="1">
        <f t="array" ref="J1542">IFERROR(TRIM(MID(E1542,MIN(FIND({" ";"g";"k";"m";"o"},E1542&amp;" gkmo")),10)),"unknown")</f>
        <v>g</v>
      </c>
      <c r="K1542" s="6" t="str">
        <f t="shared" si="96"/>
        <v>g</v>
      </c>
      <c r="L1542" s="6" t="str">
        <f t="shared" si="97"/>
        <v>Unknown</v>
      </c>
      <c r="M1542" s="6" t="str">
        <f t="shared" si="98"/>
        <v>Storck Caramel Popcorn Classic 140G</v>
      </c>
      <c r="N1542" s="6" t="str">
        <f t="shared" si="99"/>
        <v>À–Sterreich,Frankreich,Deutschland,Neuseeland,Schweiz</v>
      </c>
    </row>
    <row r="1543" spans="1:14" x14ac:dyDescent="0.25">
      <c r="A1543" s="6" t="s">
        <v>3810</v>
      </c>
      <c r="B1543" s="6">
        <v>12474</v>
      </c>
      <c r="C1543" s="6" t="s">
        <v>3811</v>
      </c>
      <c r="D1543" s="7" t="s">
        <v>3812</v>
      </c>
      <c r="E1543" s="6" t="s">
        <v>2152</v>
      </c>
      <c r="F1543" s="6" t="s">
        <v>8074</v>
      </c>
      <c r="G1543" s="8">
        <v>45893</v>
      </c>
      <c r="H1543" s="6">
        <v>11.56</v>
      </c>
      <c r="I1543" s="6" cm="1">
        <f t="array" ref="I1543">IFERROR(VALUE(TRIM(LEFT(E1543,MIN(FIND({" ";"g";"k";"m";"o"},E1543&amp;" gkmo"))-1))),0)</f>
        <v>167</v>
      </c>
      <c r="J1543" s="6" t="str" cm="1">
        <f t="array" ref="J1543">IFERROR(TRIM(MID(E1543,MIN(FIND({" ";"g";"k";"m";"o"},E1543&amp;" gkmo")),10)),"unknown")</f>
        <v>g</v>
      </c>
      <c r="K1543" s="6" t="str">
        <f t="shared" si="96"/>
        <v>g</v>
      </c>
      <c r="L1543" s="6" t="str">
        <f t="shared" si="97"/>
        <v>Balisto</v>
      </c>
      <c r="M1543" s="6" t="str">
        <f t="shared" si="98"/>
        <v>Balisto Miel Amandes X9</v>
      </c>
      <c r="N1543" s="6" t="str">
        <f t="shared" si="99"/>
        <v>Frankreich, Deutschland, At</v>
      </c>
    </row>
    <row r="1544" spans="1:14" x14ac:dyDescent="0.25">
      <c r="A1544" s="6" t="s">
        <v>3813</v>
      </c>
      <c r="B1544" s="6">
        <v>14538</v>
      </c>
      <c r="C1544" s="6" t="s">
        <v>3814</v>
      </c>
      <c r="D1544" s="7" t="s">
        <v>3815</v>
      </c>
      <c r="E1544" s="6"/>
      <c r="F1544" s="6" t="s">
        <v>8400</v>
      </c>
      <c r="G1544" s="8">
        <v>45351</v>
      </c>
      <c r="H1544" s="6">
        <v>19.260000000000002</v>
      </c>
      <c r="I1544" s="6" cm="1">
        <f t="array" ref="I1544">IFERROR(VALUE(TRIM(LEFT(E1544,MIN(FIND({" ";"g";"k";"m";"o"},E1544&amp;" gkmo"))-1))),0)</f>
        <v>0</v>
      </c>
      <c r="J1544" s="6" t="str" cm="1">
        <f t="array" ref="J1544">IFERROR(TRIM(MID(E1544,MIN(FIND({" ";"g";"k";"m";"o"},E1544&amp;" gkmo")),10)),"unknown")</f>
        <v/>
      </c>
      <c r="K1544" s="6" t="str">
        <f t="shared" si="96"/>
        <v>unknown</v>
      </c>
      <c r="L1544" s="6" t="str">
        <f t="shared" si="97"/>
        <v>Cofresh</v>
      </c>
      <c r="M1544" s="6" t="str">
        <f t="shared" si="98"/>
        <v>Bombay Mix</v>
      </c>
      <c r="N1544" s="6" t="str">
        <f t="shared" si="99"/>
        <v>France,Espaà±A,United Kingdom</v>
      </c>
    </row>
    <row r="1545" spans="1:14" x14ac:dyDescent="0.25">
      <c r="A1545" s="6" t="s">
        <v>3816</v>
      </c>
      <c r="B1545" s="6">
        <v>6353</v>
      </c>
      <c r="C1545" s="6" t="s">
        <v>7261</v>
      </c>
      <c r="D1545" s="7" t="s">
        <v>3817</v>
      </c>
      <c r="E1545" s="6" t="s">
        <v>569</v>
      </c>
      <c r="F1545" s="6" t="s">
        <v>213</v>
      </c>
      <c r="G1545" s="8">
        <v>45877</v>
      </c>
      <c r="H1545" s="6">
        <v>3.24</v>
      </c>
      <c r="I1545" s="6" cm="1">
        <f t="array" ref="I1545">IFERROR(VALUE(TRIM(LEFT(E1545,MIN(FIND({" ";"g";"k";"m";"o"},E1545&amp;" gkmo"))-1))),0)</f>
        <v>128</v>
      </c>
      <c r="J1545" s="6" t="str" cm="1">
        <f t="array" ref="J1545">IFERROR(TRIM(MID(E1545,MIN(FIND({" ";"g";"k";"m";"o"},E1545&amp;" gkmo")),10)),"unknown")</f>
        <v>g</v>
      </c>
      <c r="K1545" s="6" t="str">
        <f t="shared" si="96"/>
        <v>g</v>
      </c>
      <c r="L1545" s="6" t="str">
        <f t="shared" si="97"/>
        <v>Kellogg'S, Extra</v>
      </c>
      <c r="M1545" s="6" t="str">
        <f t="shared" si="98"/>
        <v>Barres De Céréales Extra Kellogg'S Miel - 4X32G</v>
      </c>
      <c r="N1545" s="6" t="str">
        <f t="shared" si="99"/>
        <v>Belgium,France</v>
      </c>
    </row>
    <row r="1546" spans="1:14" x14ac:dyDescent="0.25">
      <c r="A1546" s="6" t="s">
        <v>3818</v>
      </c>
      <c r="B1546" s="6">
        <v>12306</v>
      </c>
      <c r="C1546" s="6" t="s">
        <v>3819</v>
      </c>
      <c r="D1546" s="7" t="s">
        <v>613</v>
      </c>
      <c r="E1546" s="6" t="s">
        <v>1413</v>
      </c>
      <c r="F1546" s="6" t="s">
        <v>7940</v>
      </c>
      <c r="G1546" s="8">
        <v>45812</v>
      </c>
      <c r="H1546" s="6">
        <v>1.47</v>
      </c>
      <c r="I1546" s="6" cm="1">
        <f t="array" ref="I1546">IFERROR(VALUE(TRIM(LEFT(E1546,MIN(FIND({" ";"g";"k";"m";"o"},E1546&amp;" gkmo"))-1))),0)</f>
        <v>4</v>
      </c>
      <c r="J1546" s="6" t="str" cm="1">
        <f t="array" ref="J1546">IFERROR(TRIM(MID(E1546,MIN(FIND({" ";"g";"k";"m";"o"},E1546&amp;" gkmo")),10)),"unknown")</f>
        <v>x 35 g</v>
      </c>
      <c r="K1546" s="6" t="str">
        <f t="shared" si="96"/>
        <v>g</v>
      </c>
      <c r="L1546" s="6" t="str">
        <f t="shared" si="97"/>
        <v>Nakd</v>
      </c>
      <c r="M1546" s="6" t="str">
        <f t="shared" si="98"/>
        <v>Cashew Cookie Raw Fruit &amp; Nut Wholefoodbars</v>
      </c>
      <c r="N1546" s="6" t="str">
        <f t="shared" si="99"/>
        <v>Ireland, United-Kingdom</v>
      </c>
    </row>
    <row r="1547" spans="1:14" x14ac:dyDescent="0.25">
      <c r="A1547" s="6" t="s">
        <v>3820</v>
      </c>
      <c r="B1547" s="6">
        <v>8260</v>
      </c>
      <c r="C1547" s="6" t="s">
        <v>7017</v>
      </c>
      <c r="D1547" s="7" t="s">
        <v>3821</v>
      </c>
      <c r="E1547" s="6" t="s">
        <v>495</v>
      </c>
      <c r="F1547" s="6" t="s">
        <v>3822</v>
      </c>
      <c r="G1547" s="8">
        <v>45681</v>
      </c>
      <c r="H1547" s="6">
        <v>13.16</v>
      </c>
      <c r="I1547" s="6" cm="1">
        <f t="array" ref="I1547">IFERROR(VALUE(TRIM(LEFT(E1547,MIN(FIND({" ";"g";"k";"m";"o"},E1547&amp;" gkmo"))-1))),0)</f>
        <v>35</v>
      </c>
      <c r="J1547" s="6" t="str" cm="1">
        <f t="array" ref="J1547">IFERROR(TRIM(MID(E1547,MIN(FIND({" ";"g";"k";"m";"o"},E1547&amp;" gkmo")),10)),"unknown")</f>
        <v>g</v>
      </c>
      <c r="K1547" s="6" t="str">
        <f t="shared" si="96"/>
        <v>g</v>
      </c>
      <c r="L1547" s="6" t="str">
        <f t="shared" si="97"/>
        <v>Nakd, NäKd</v>
      </c>
      <c r="M1547" s="6" t="str">
        <f t="shared" si="98"/>
        <v>Unknown</v>
      </c>
      <c r="N1547" s="6" t="str">
        <f t="shared" si="99"/>
        <v>Belgie,Äœesko,Francie</v>
      </c>
    </row>
    <row r="1548" spans="1:14" x14ac:dyDescent="0.25">
      <c r="A1548" s="6" t="s">
        <v>3823</v>
      </c>
      <c r="B1548" s="6">
        <v>11820</v>
      </c>
      <c r="C1548" s="6" t="s">
        <v>7017</v>
      </c>
      <c r="D1548" s="7" t="s">
        <v>2840</v>
      </c>
      <c r="E1548" s="6" t="s">
        <v>156</v>
      </c>
      <c r="F1548" s="6" t="s">
        <v>8342</v>
      </c>
      <c r="G1548" s="8">
        <v>45969</v>
      </c>
      <c r="H1548" s="6">
        <v>13.16</v>
      </c>
      <c r="I1548" s="6" cm="1">
        <f t="array" ref="I1548">IFERROR(VALUE(TRIM(LEFT(E1548,MIN(FIND({" ";"g";"k";"m";"o"},E1548&amp;" gkmo"))-1))),0)</f>
        <v>500</v>
      </c>
      <c r="J1548" s="6" t="str" cm="1">
        <f t="array" ref="J1548">IFERROR(TRIM(MID(E1548,MIN(FIND({" ";"g";"k";"m";"o"},E1548&amp;" gkmo")),10)),"unknown")</f>
        <v>g</v>
      </c>
      <c r="K1548" s="6" t="str">
        <f t="shared" si="96"/>
        <v>g</v>
      </c>
      <c r="L1548" s="6" t="str">
        <f t="shared" si="97"/>
        <v>Ferrero, Kinder</v>
      </c>
      <c r="M1548" s="6" t="str">
        <f t="shared" si="98"/>
        <v>Unknown</v>
      </c>
      <c r="N1548" s="6" t="str">
        <f t="shared" si="99"/>
        <v>France, Switzerland, Japan</v>
      </c>
    </row>
    <row r="1549" spans="1:14" x14ac:dyDescent="0.25">
      <c r="A1549" s="6" t="s">
        <v>3824</v>
      </c>
      <c r="B1549" s="6">
        <v>9651</v>
      </c>
      <c r="C1549" s="6" t="s">
        <v>7749</v>
      </c>
      <c r="D1549" s="7" t="s">
        <v>1703</v>
      </c>
      <c r="E1549" s="6"/>
      <c r="F1549" s="6" t="s">
        <v>8075</v>
      </c>
      <c r="G1549" s="8">
        <v>45640</v>
      </c>
      <c r="H1549" s="6">
        <v>1.75</v>
      </c>
      <c r="I1549" s="6" cm="1">
        <f t="array" ref="I1549">IFERROR(VALUE(TRIM(LEFT(E1549,MIN(FIND({" ";"g";"k";"m";"o"},E1549&amp;" gkmo"))-1))),0)</f>
        <v>0</v>
      </c>
      <c r="J1549" s="6" t="str" cm="1">
        <f t="array" ref="J1549">IFERROR(TRIM(MID(E1549,MIN(FIND({" ";"g";"k";"m";"o"},E1549&amp;" gkmo")),10)),"unknown")</f>
        <v/>
      </c>
      <c r="K1549" s="6" t="str">
        <f t="shared" si="96"/>
        <v>unknown</v>
      </c>
      <c r="L1549" s="6" t="str">
        <f t="shared" si="97"/>
        <v>Ricola</v>
      </c>
      <c r="M1549" s="6" t="str">
        <f t="shared" si="98"/>
        <v>Schweizer Krà¤Uterbonbon</v>
      </c>
      <c r="N1549" s="6" t="str">
        <f t="shared" si="99"/>
        <v>Belgium, France, Germany, Switzerland, Italy</v>
      </c>
    </row>
    <row r="1550" spans="1:14" x14ac:dyDescent="0.25">
      <c r="A1550" s="6" t="s">
        <v>3825</v>
      </c>
      <c r="B1550" s="6">
        <v>6921</v>
      </c>
      <c r="C1550" s="6" t="s">
        <v>3826</v>
      </c>
      <c r="D1550" s="7" t="s">
        <v>1703</v>
      </c>
      <c r="E1550" s="6" t="s">
        <v>1312</v>
      </c>
      <c r="F1550" s="6" t="s">
        <v>213</v>
      </c>
      <c r="G1550" s="8">
        <v>46025</v>
      </c>
      <c r="H1550" s="6">
        <v>11.3</v>
      </c>
      <c r="I1550" s="6" cm="1">
        <f t="array" ref="I1550">IFERROR(VALUE(TRIM(LEFT(E1550,MIN(FIND({" ";"g";"k";"m";"o"},E1550&amp;" gkmo"))-1))),0)</f>
        <v>50</v>
      </c>
      <c r="J1550" s="6" t="str" cm="1">
        <f t="array" ref="J1550">IFERROR(TRIM(MID(E1550,MIN(FIND({" ";"g";"k";"m";"o"},E1550&amp;" gkmo")),10)),"unknown")</f>
        <v>g</v>
      </c>
      <c r="K1550" s="6" t="str">
        <f t="shared" si="96"/>
        <v>g</v>
      </c>
      <c r="L1550" s="6" t="str">
        <f t="shared" si="97"/>
        <v>Ricola</v>
      </c>
      <c r="M1550" s="6" t="str">
        <f t="shared" si="98"/>
        <v>Orange Menthe</v>
      </c>
      <c r="N1550" s="6" t="str">
        <f t="shared" si="99"/>
        <v>Belgium,France</v>
      </c>
    </row>
    <row r="1551" spans="1:14" x14ac:dyDescent="0.25">
      <c r="A1551" s="6" t="s">
        <v>3827</v>
      </c>
      <c r="B1551" s="6">
        <v>7180</v>
      </c>
      <c r="C1551" s="6" t="s">
        <v>642</v>
      </c>
      <c r="D1551" s="7" t="s">
        <v>135</v>
      </c>
      <c r="E1551" s="6"/>
      <c r="F1551" s="6" t="s">
        <v>8076</v>
      </c>
      <c r="G1551" s="8">
        <v>45648</v>
      </c>
      <c r="H1551" s="6">
        <v>13.16</v>
      </c>
      <c r="I1551" s="6" cm="1">
        <f t="array" ref="I1551">IFERROR(VALUE(TRIM(LEFT(E1551,MIN(FIND({" ";"g";"k";"m";"o"},E1551&amp;" gkmo"))-1))),0)</f>
        <v>0</v>
      </c>
      <c r="J1551" s="6" t="str" cm="1">
        <f t="array" ref="J1551">IFERROR(TRIM(MID(E1551,MIN(FIND({" ";"g";"k";"m";"o"},E1551&amp;" gkmo")),10)),"unknown")</f>
        <v/>
      </c>
      <c r="K1551" s="6" t="str">
        <f t="shared" si="96"/>
        <v>unknown</v>
      </c>
      <c r="L1551" s="6" t="str">
        <f t="shared" si="97"/>
        <v>Milka</v>
      </c>
      <c r="M1551" s="6" t="str">
        <f t="shared" si="98"/>
        <v>Milka Oreo</v>
      </c>
      <c r="N1551" s="6" t="str">
        <f t="shared" si="99"/>
        <v>Algeria, France, Morocco</v>
      </c>
    </row>
    <row r="1552" spans="1:14" x14ac:dyDescent="0.25">
      <c r="A1552" s="6" t="s">
        <v>3828</v>
      </c>
      <c r="B1552" s="6">
        <v>14703</v>
      </c>
      <c r="C1552" s="6" t="s">
        <v>3829</v>
      </c>
      <c r="D1552" s="7" t="s">
        <v>2050</v>
      </c>
      <c r="E1552" s="6" t="s">
        <v>3830</v>
      </c>
      <c r="F1552" s="6" t="s">
        <v>3831</v>
      </c>
      <c r="G1552" s="8">
        <v>45563</v>
      </c>
      <c r="H1552" s="6">
        <v>16.66</v>
      </c>
      <c r="I1552" s="6" cm="1">
        <f t="array" ref="I1552">IFERROR(VALUE(TRIM(LEFT(E1552,MIN(FIND({" ";"g";"k";"m";"o"},E1552&amp;" gkmo"))-1))),0)</f>
        <v>112</v>
      </c>
      <c r="J1552" s="6" t="str" cm="1">
        <f t="array" ref="J1552">IFERROR(TRIM(MID(E1552,MIN(FIND({" ";"g";"k";"m";"o"},E1552&amp;" gkmo")),10)),"unknown")</f>
        <v>g</v>
      </c>
      <c r="K1552" s="6" t="str">
        <f t="shared" si="96"/>
        <v>g</v>
      </c>
      <c r="L1552" s="6" t="str">
        <f t="shared" si="97"/>
        <v>Milka,Mondelez</v>
      </c>
      <c r="M1552" s="6" t="str">
        <f t="shared" si="98"/>
        <v>Choco Sticks</v>
      </c>
      <c r="N1552" s="6" t="str">
        <f t="shared" si="99"/>
        <v>Bulgaria,Canada,Croatia,France,Italy,Morocco,Poland,Spain</v>
      </c>
    </row>
    <row r="1553" spans="1:14" x14ac:dyDescent="0.25">
      <c r="A1553" s="6" t="s">
        <v>3832</v>
      </c>
      <c r="B1553" s="6">
        <v>5538</v>
      </c>
      <c r="C1553" s="6" t="s">
        <v>7262</v>
      </c>
      <c r="D1553" s="7" t="s">
        <v>3833</v>
      </c>
      <c r="E1553" s="6" t="s">
        <v>3834</v>
      </c>
      <c r="F1553" s="6" t="s">
        <v>139</v>
      </c>
      <c r="G1553" s="8">
        <v>45814</v>
      </c>
      <c r="H1553" s="6">
        <v>18.47</v>
      </c>
      <c r="I1553" s="6" cm="1">
        <f t="array" ref="I1553">IFERROR(VALUE(TRIM(LEFT(E1553,MIN(FIND({" ";"g";"k";"m";"o"},E1553&amp;" gkmo"))-1))),0)</f>
        <v>258</v>
      </c>
      <c r="J1553" s="6" t="str" cm="1">
        <f t="array" ref="J1553">IFERROR(TRIM(MID(E1553,MIN(FIND({" ";"g";"k";"m";"o"},E1553&amp;" gkmo")),10)),"unknown")</f>
        <v>g</v>
      </c>
      <c r="K1553" s="6" t="str">
        <f t="shared" si="96"/>
        <v>g</v>
      </c>
      <c r="L1553" s="6" t="str">
        <f t="shared" si="97"/>
        <v>Kinder, Ferrero, Mixte</v>
      </c>
      <c r="M1553" s="6" t="str">
        <f t="shared" si="98"/>
        <v>Barre Chocolatée Kinder Bueno Chocolat Au Lait</v>
      </c>
      <c r="N1553" s="6" t="str">
        <f t="shared" si="99"/>
        <v>France</v>
      </c>
    </row>
    <row r="1554" spans="1:14" x14ac:dyDescent="0.25">
      <c r="A1554" s="6" t="s">
        <v>3835</v>
      </c>
      <c r="B1554" s="6">
        <v>8250</v>
      </c>
      <c r="C1554" s="6" t="s">
        <v>3836</v>
      </c>
      <c r="D1554" s="7" t="s">
        <v>2398</v>
      </c>
      <c r="E1554" s="6" t="s">
        <v>14</v>
      </c>
      <c r="F1554" s="6" t="s">
        <v>2545</v>
      </c>
      <c r="G1554" s="8">
        <v>45717</v>
      </c>
      <c r="H1554" s="6">
        <v>16.170000000000002</v>
      </c>
      <c r="I1554" s="6" cm="1">
        <f t="array" ref="I1554">IFERROR(VALUE(TRIM(LEFT(E1554,MIN(FIND({" ";"g";"k";"m";"o"},E1554&amp;" gkmo"))-1))),0)</f>
        <v>300</v>
      </c>
      <c r="J1554" s="6" t="str" cm="1">
        <f t="array" ref="J1554">IFERROR(TRIM(MID(E1554,MIN(FIND({" ";"g";"k";"m";"o"},E1554&amp;" gkmo")),10)),"unknown")</f>
        <v>g</v>
      </c>
      <c r="K1554" s="6" t="str">
        <f t="shared" si="96"/>
        <v>g</v>
      </c>
      <c r="L1554" s="6" t="str">
        <f t="shared" si="97"/>
        <v>Galbusera</v>
      </c>
      <c r="M1554" s="6" t="str">
        <f t="shared" si="98"/>
        <v>Buoni Cosi</v>
      </c>
      <c r="N1554" s="6" t="str">
        <f t="shared" si="99"/>
        <v>France,Italy</v>
      </c>
    </row>
    <row r="1555" spans="1:14" x14ac:dyDescent="0.25">
      <c r="A1555" s="6" t="s">
        <v>3837</v>
      </c>
      <c r="B1555" s="6">
        <v>5141</v>
      </c>
      <c r="C1555" s="6" t="s">
        <v>3838</v>
      </c>
      <c r="D1555" s="7" t="s">
        <v>1542</v>
      </c>
      <c r="E1555" s="6" t="s">
        <v>495</v>
      </c>
      <c r="F1555" s="6" t="s">
        <v>8077</v>
      </c>
      <c r="G1555" s="8">
        <v>45725</v>
      </c>
      <c r="H1555" s="6">
        <v>12.18</v>
      </c>
      <c r="I1555" s="6" cm="1">
        <f t="array" ref="I1555">IFERROR(VALUE(TRIM(LEFT(E1555,MIN(FIND({" ";"g";"k";"m";"o"},E1555&amp;" gkmo"))-1))),0)</f>
        <v>35</v>
      </c>
      <c r="J1555" s="6" t="str" cm="1">
        <f t="array" ref="J1555">IFERROR(TRIM(MID(E1555,MIN(FIND({" ";"g";"k";"m";"o"},E1555&amp;" gkmo")),10)),"unknown")</f>
        <v>g</v>
      </c>
      <c r="K1555" s="6" t="str">
        <f t="shared" si="96"/>
        <v>g</v>
      </c>
      <c r="L1555" s="6" t="str">
        <f t="shared" si="97"/>
        <v>Balconi</v>
      </c>
      <c r="M1555" s="6" t="str">
        <f t="shared" si="98"/>
        <v>Mixmax</v>
      </c>
      <c r="N1555" s="6" t="str">
        <f t="shared" si="99"/>
        <v>Belgium, Canada, France, Italy, Spain, United Kingdom, Morocco</v>
      </c>
    </row>
    <row r="1556" spans="1:14" x14ac:dyDescent="0.25">
      <c r="A1556" s="6" t="s">
        <v>3839</v>
      </c>
      <c r="B1556" s="6">
        <v>8185</v>
      </c>
      <c r="C1556" s="6" t="s">
        <v>3840</v>
      </c>
      <c r="D1556" s="7" t="s">
        <v>2669</v>
      </c>
      <c r="E1556" s="6"/>
      <c r="F1556" s="6" t="s">
        <v>7986</v>
      </c>
      <c r="G1556" s="8">
        <v>45751</v>
      </c>
      <c r="H1556" s="6">
        <v>14.58</v>
      </c>
      <c r="I1556" s="6" cm="1">
        <f t="array" ref="I1556">IFERROR(VALUE(TRIM(LEFT(E1556,MIN(FIND({" ";"g";"k";"m";"o"},E1556&amp;" gkmo"))-1))),0)</f>
        <v>0</v>
      </c>
      <c r="J1556" s="6" t="str" cm="1">
        <f t="array" ref="J1556">IFERROR(TRIM(MID(E1556,MIN(FIND({" ";"g";"k";"m";"o"},E1556&amp;" gkmo")),10)),"unknown")</f>
        <v/>
      </c>
      <c r="K1556" s="6" t="str">
        <f t="shared" si="96"/>
        <v>unknown</v>
      </c>
      <c r="L1556" s="6" t="str">
        <f t="shared" si="97"/>
        <v>General Mills, Old El Paso</v>
      </c>
      <c r="M1556" s="6" t="str">
        <f t="shared" si="98"/>
        <v>Tortilla Chips Chili</v>
      </c>
      <c r="N1556" s="6" t="str">
        <f t="shared" si="99"/>
        <v>France, Switzerland</v>
      </c>
    </row>
    <row r="1557" spans="1:14" x14ac:dyDescent="0.25">
      <c r="A1557" s="6" t="s">
        <v>3841</v>
      </c>
      <c r="B1557" s="6">
        <v>13173</v>
      </c>
      <c r="C1557" s="6" t="s">
        <v>3842</v>
      </c>
      <c r="D1557" s="7" t="s">
        <v>3843</v>
      </c>
      <c r="E1557" s="6" t="s">
        <v>3844</v>
      </c>
      <c r="F1557" s="6" t="s">
        <v>8223</v>
      </c>
      <c r="G1557" s="8">
        <v>45556</v>
      </c>
      <c r="H1557" s="6">
        <v>3.07</v>
      </c>
      <c r="I1557" s="6" cm="1">
        <f t="array" ref="I1557">IFERROR(VALUE(TRIM(LEFT(E1557,MIN(FIND({" ";"g";"k";"m";"o"},E1557&amp;" gkmo"))-1))),0)</f>
        <v>96</v>
      </c>
      <c r="J1557" s="6" t="str" cm="1">
        <f t="array" ref="J1557">IFERROR(TRIM(MID(E1557,MIN(FIND({" ";"g";"k";"m";"o"},E1557&amp;" gkmo")),10)),"unknown")</f>
        <v>g</v>
      </c>
      <c r="K1557" s="6" t="str">
        <f t="shared" si="96"/>
        <v>g</v>
      </c>
      <c r="L1557" s="6" t="str">
        <f t="shared" si="97"/>
        <v>Cheetos</v>
      </c>
      <c r="M1557" s="6" t="str">
        <f t="shared" si="98"/>
        <v>Cheetos Sticks</v>
      </c>
      <c r="N1557" s="6" t="str">
        <f t="shared" si="99"/>
        <v>France,Espaà±A, Morocco</v>
      </c>
    </row>
    <row r="1558" spans="1:14" x14ac:dyDescent="0.25">
      <c r="A1558" s="6" t="s">
        <v>3845</v>
      </c>
      <c r="B1558" s="6">
        <v>11305</v>
      </c>
      <c r="C1558" s="6" t="s">
        <v>3846</v>
      </c>
      <c r="D1558" s="7" t="s">
        <v>600</v>
      </c>
      <c r="E1558" s="6" t="s">
        <v>10</v>
      </c>
      <c r="F1558" s="6" t="s">
        <v>139</v>
      </c>
      <c r="G1558" s="8">
        <v>45489</v>
      </c>
      <c r="H1558" s="6">
        <v>13.16</v>
      </c>
      <c r="I1558" s="6" cm="1">
        <f t="array" ref="I1558">IFERROR(VALUE(TRIM(LEFT(E1558,MIN(FIND({" ";"g";"k";"m";"o"},E1558&amp;" gkmo"))-1))),0)</f>
        <v>100</v>
      </c>
      <c r="J1558" s="6" t="str" cm="1">
        <f t="array" ref="J1558">IFERROR(TRIM(MID(E1558,MIN(FIND({" ";"g";"k";"m";"o"},E1558&amp;" gkmo")),10)),"unknown")</f>
        <v>g</v>
      </c>
      <c r="K1558" s="6" t="str">
        <f t="shared" si="96"/>
        <v>g</v>
      </c>
      <c r="L1558" s="6" t="str">
        <f t="shared" si="97"/>
        <v>Ethiquable</v>
      </c>
      <c r="M1558" s="6" t="str">
        <f t="shared" si="98"/>
        <v>Chocolat Gianduja</v>
      </c>
      <c r="N1558" s="6" t="str">
        <f t="shared" si="99"/>
        <v>France</v>
      </c>
    </row>
    <row r="1559" spans="1:14" x14ac:dyDescent="0.25">
      <c r="A1559" s="6" t="s">
        <v>3847</v>
      </c>
      <c r="B1559" s="6">
        <v>13103</v>
      </c>
      <c r="C1559" s="6" t="s">
        <v>3848</v>
      </c>
      <c r="D1559" s="7" t="s">
        <v>3849</v>
      </c>
      <c r="E1559" s="6" t="s">
        <v>676</v>
      </c>
      <c r="F1559" s="6" t="s">
        <v>177</v>
      </c>
      <c r="G1559" s="8">
        <v>45926</v>
      </c>
      <c r="H1559" s="6">
        <v>22.25</v>
      </c>
      <c r="I1559" s="6" cm="1">
        <f t="array" ref="I1559">IFERROR(VALUE(TRIM(LEFT(E1559,MIN(FIND({" ";"g";"k";"m";"o"},E1559&amp;" gkmo"))-1))),0)</f>
        <v>180</v>
      </c>
      <c r="J1559" s="6" t="str" cm="1">
        <f t="array" ref="J1559">IFERROR(TRIM(MID(E1559,MIN(FIND({" ";"g";"k";"m";"o"},E1559&amp;" gkmo")),10)),"unknown")</f>
        <v>g</v>
      </c>
      <c r="K1559" s="6" t="str">
        <f t="shared" si="96"/>
        <v>g</v>
      </c>
      <c r="L1559" s="6" t="str">
        <f t="shared" si="97"/>
        <v>Butterkist</v>
      </c>
      <c r="M1559" s="6" t="str">
        <f t="shared" si="98"/>
        <v>Sweet &amp; Salty Microwave Popcorn</v>
      </c>
      <c r="N1559" s="6" t="str">
        <f t="shared" si="99"/>
        <v>United Kingdom</v>
      </c>
    </row>
    <row r="1560" spans="1:14" x14ac:dyDescent="0.25">
      <c r="A1560" s="6" t="s">
        <v>3850</v>
      </c>
      <c r="B1560" s="6">
        <v>12690</v>
      </c>
      <c r="C1560" s="6" t="s">
        <v>3851</v>
      </c>
      <c r="D1560" s="7" t="s">
        <v>43</v>
      </c>
      <c r="E1560" s="6" t="s">
        <v>44</v>
      </c>
      <c r="F1560" s="6" t="s">
        <v>7940</v>
      </c>
      <c r="G1560" s="8">
        <v>45954</v>
      </c>
      <c r="H1560" s="6">
        <v>6.79</v>
      </c>
      <c r="I1560" s="6" cm="1">
        <f t="array" ref="I1560">IFERROR(VALUE(TRIM(LEFT(E1560,MIN(FIND({" ";"g";"k";"m";"o"},E1560&amp;" gkmo"))-1))),0)</f>
        <v>90</v>
      </c>
      <c r="J1560" s="6" t="str" cm="1">
        <f t="array" ref="J1560">IFERROR(TRIM(MID(E1560,MIN(FIND({" ";"g";"k";"m";"o"},E1560&amp;" gkmo")),10)),"unknown")</f>
        <v>g</v>
      </c>
      <c r="K1560" s="6" t="str">
        <f t="shared" si="96"/>
        <v>g</v>
      </c>
      <c r="L1560" s="6" t="str">
        <f t="shared" si="97"/>
        <v>Green &amp; Black'S</v>
      </c>
      <c r="M1560" s="6" t="str">
        <f t="shared" si="98"/>
        <v>Black'S Organic White Chocolate Bar</v>
      </c>
      <c r="N1560" s="6" t="str">
        <f t="shared" si="99"/>
        <v>Ireland, United-Kingdom</v>
      </c>
    </row>
    <row r="1561" spans="1:14" x14ac:dyDescent="0.25">
      <c r="A1561" s="6" t="s">
        <v>3852</v>
      </c>
      <c r="B1561" s="6">
        <v>14636</v>
      </c>
      <c r="C1561" s="6" t="s">
        <v>3853</v>
      </c>
      <c r="D1561" s="7" t="s">
        <v>1572</v>
      </c>
      <c r="E1561" s="6" t="s">
        <v>14</v>
      </c>
      <c r="F1561" s="6" t="s">
        <v>177</v>
      </c>
      <c r="G1561" s="8">
        <v>46008</v>
      </c>
      <c r="H1561" s="6">
        <v>14.99</v>
      </c>
      <c r="I1561" s="6" cm="1">
        <f t="array" ref="I1561">IFERROR(VALUE(TRIM(LEFT(E1561,MIN(FIND({" ";"g";"k";"m";"o"},E1561&amp;" gkmo"))-1))),0)</f>
        <v>300</v>
      </c>
      <c r="J1561" s="6" t="str" cm="1">
        <f t="array" ref="J1561">IFERROR(TRIM(MID(E1561,MIN(FIND({" ";"g";"k";"m";"o"},E1561&amp;" gkmo")),10)),"unknown")</f>
        <v>g</v>
      </c>
      <c r="K1561" s="6" t="str">
        <f t="shared" si="96"/>
        <v>g</v>
      </c>
      <c r="L1561" s="6" t="str">
        <f t="shared" si="97"/>
        <v>Asda</v>
      </c>
      <c r="M1561" s="6" t="str">
        <f t="shared" si="98"/>
        <v>Classic Cream Crackers</v>
      </c>
      <c r="N1561" s="6" t="str">
        <f t="shared" si="99"/>
        <v>United Kingdom</v>
      </c>
    </row>
    <row r="1562" spans="1:14" x14ac:dyDescent="0.25">
      <c r="A1562" s="6" t="s">
        <v>3854</v>
      </c>
      <c r="B1562" s="6">
        <v>7235</v>
      </c>
      <c r="C1562" s="6" t="s">
        <v>3855</v>
      </c>
      <c r="D1562" s="7" t="s">
        <v>1872</v>
      </c>
      <c r="E1562" s="6" t="s">
        <v>14</v>
      </c>
      <c r="F1562" s="6" t="s">
        <v>139</v>
      </c>
      <c r="G1562" s="8">
        <v>46032</v>
      </c>
      <c r="H1562" s="6">
        <v>12.02</v>
      </c>
      <c r="I1562" s="6" cm="1">
        <f t="array" ref="I1562">IFERROR(VALUE(TRIM(LEFT(E1562,MIN(FIND({" ";"g";"k";"m";"o"},E1562&amp;" gkmo"))-1))),0)</f>
        <v>300</v>
      </c>
      <c r="J1562" s="6" t="str" cm="1">
        <f t="array" ref="J1562">IFERROR(TRIM(MID(E1562,MIN(FIND({" ";"g";"k";"m";"o"},E1562&amp;" gkmo")),10)),"unknown")</f>
        <v>g</v>
      </c>
      <c r="K1562" s="6" t="str">
        <f t="shared" si="96"/>
        <v>g</v>
      </c>
      <c r="L1562" s="6" t="str">
        <f t="shared" si="97"/>
        <v>Le Pain Des Fleurs</v>
      </c>
      <c r="M1562" s="6" t="str">
        <f t="shared" si="98"/>
        <v>Tartines Craquantes Sarrasin</v>
      </c>
      <c r="N1562" s="6" t="str">
        <f t="shared" si="99"/>
        <v>France</v>
      </c>
    </row>
    <row r="1563" spans="1:14" x14ac:dyDescent="0.25">
      <c r="A1563" s="6" t="s">
        <v>3856</v>
      </c>
      <c r="B1563" s="6">
        <v>7662</v>
      </c>
      <c r="C1563" s="6" t="s">
        <v>3857</v>
      </c>
      <c r="D1563" s="7" t="s">
        <v>3858</v>
      </c>
      <c r="E1563" s="6" t="s">
        <v>3859</v>
      </c>
      <c r="F1563" s="6" t="s">
        <v>3860</v>
      </c>
      <c r="G1563" s="8">
        <v>45992</v>
      </c>
      <c r="H1563" s="6">
        <v>15.38</v>
      </c>
      <c r="I1563" s="6" cm="1">
        <f t="array" ref="I1563">IFERROR(VALUE(TRIM(LEFT(E1563,MIN(FIND({" ";"g";"k";"m";"o"},E1563&amp;" gkmo"))-1))),0)</f>
        <v>32</v>
      </c>
      <c r="J1563" s="6" t="str" cm="1">
        <f t="array" ref="J1563">IFERROR(TRIM(MID(E1563,MIN(FIND({" ";"g";"k";"m";"o"},E1563&amp;" gkmo")),10)),"unknown")</f>
        <v>grams</v>
      </c>
      <c r="K1563" s="6" t="str">
        <f t="shared" si="96"/>
        <v>g</v>
      </c>
      <c r="L1563" s="6" t="str">
        <f t="shared" si="97"/>
        <v>Chomps</v>
      </c>
      <c r="M1563" s="6" t="str">
        <f t="shared" si="98"/>
        <v>Original Beef Stick</v>
      </c>
      <c r="N1563" s="6" t="str">
        <f t="shared" si="99"/>
        <v>United States, World</v>
      </c>
    </row>
    <row r="1564" spans="1:14" x14ac:dyDescent="0.25">
      <c r="A1564" s="6" t="s">
        <v>3861</v>
      </c>
      <c r="B1564" s="6">
        <v>14269</v>
      </c>
      <c r="C1564" s="6" t="s">
        <v>3862</v>
      </c>
      <c r="D1564" s="7" t="s">
        <v>660</v>
      </c>
      <c r="E1564" s="6"/>
      <c r="F1564" s="6" t="s">
        <v>177</v>
      </c>
      <c r="G1564" s="8">
        <v>45826</v>
      </c>
      <c r="H1564" s="6">
        <v>12.36</v>
      </c>
      <c r="I1564" s="6" cm="1">
        <f t="array" ref="I1564">IFERROR(VALUE(TRIM(LEFT(E1564,MIN(FIND({" ";"g";"k";"m";"o"},E1564&amp;" gkmo"))-1))),0)</f>
        <v>0</v>
      </c>
      <c r="J1564" s="6" t="str" cm="1">
        <f t="array" ref="J1564">IFERROR(TRIM(MID(E1564,MIN(FIND({" ";"g";"k";"m";"o"},E1564&amp;" gkmo")),10)),"unknown")</f>
        <v/>
      </c>
      <c r="K1564" s="6" t="str">
        <f t="shared" si="96"/>
        <v>unknown</v>
      </c>
      <c r="L1564" s="6" t="str">
        <f t="shared" si="97"/>
        <v>Montezuma'S</v>
      </c>
      <c r="M1564" s="6" t="str">
        <f t="shared" si="98"/>
        <v>Smooth Operator Milk Chocolate</v>
      </c>
      <c r="N1564" s="6" t="str">
        <f t="shared" si="99"/>
        <v>United Kingdom</v>
      </c>
    </row>
    <row r="1565" spans="1:14" x14ac:dyDescent="0.25">
      <c r="A1565" s="6" t="s">
        <v>3863</v>
      </c>
      <c r="B1565" s="6">
        <v>12416</v>
      </c>
      <c r="C1565" s="6" t="s">
        <v>3864</v>
      </c>
      <c r="D1565" s="7" t="s">
        <v>7578</v>
      </c>
      <c r="E1565" s="6" t="s">
        <v>528</v>
      </c>
      <c r="F1565" s="6" t="s">
        <v>8078</v>
      </c>
      <c r="G1565" s="8">
        <v>45687</v>
      </c>
      <c r="H1565" s="6">
        <v>13.16</v>
      </c>
      <c r="I1565" s="6" cm="1">
        <f t="array" ref="I1565">IFERROR(VALUE(TRIM(LEFT(E1565,MIN(FIND({" ";"g";"k";"m";"o"},E1565&amp;" gkmo"))-1))),0)</f>
        <v>200</v>
      </c>
      <c r="J1565" s="6" t="str" cm="1">
        <f t="array" ref="J1565">IFERROR(TRIM(MID(E1565,MIN(FIND({" ";"g";"k";"m";"o"},E1565&amp;" gkmo")),10)),"unknown")</f>
        <v>g</v>
      </c>
      <c r="K1565" s="6" t="str">
        <f t="shared" si="96"/>
        <v>g</v>
      </c>
      <c r="L1565" s="6" t="str">
        <f t="shared" si="97"/>
        <v>Gullà³N</v>
      </c>
      <c r="M1565" s="6" t="str">
        <f t="shared" si="98"/>
        <v>Biscotti Al Cioccolato</v>
      </c>
      <c r="N1565" s="6" t="str">
        <f t="shared" si="99"/>
        <v>Italy, Morocco</v>
      </c>
    </row>
    <row r="1566" spans="1:14" x14ac:dyDescent="0.25">
      <c r="A1566" s="6" t="s">
        <v>3865</v>
      </c>
      <c r="B1566" s="6">
        <v>11247</v>
      </c>
      <c r="C1566" s="6" t="s">
        <v>3866</v>
      </c>
      <c r="D1566" s="7" t="s">
        <v>726</v>
      </c>
      <c r="E1566" s="6" t="s">
        <v>3867</v>
      </c>
      <c r="F1566" s="6" t="s">
        <v>177</v>
      </c>
      <c r="G1566" s="8">
        <v>45337</v>
      </c>
      <c r="H1566" s="6">
        <v>13.16</v>
      </c>
      <c r="I1566" s="6" cm="1">
        <f t="array" ref="I1566">IFERROR(VALUE(TRIM(LEFT(E1566,MIN(FIND({" ";"g";"k";"m";"o"},E1566&amp;" gkmo"))-1))),0)</f>
        <v>6</v>
      </c>
      <c r="J1566" s="6" t="str" cm="1">
        <f t="array" ref="J1566">IFERROR(TRIM(MID(E1566,MIN(FIND({" ";"g";"k";"m";"o"},E1566&amp;" gkmo")),10)),"unknown")</f>
        <v>x 24g</v>
      </c>
      <c r="K1566" s="6" t="str">
        <f t="shared" si="96"/>
        <v>g</v>
      </c>
      <c r="L1566" s="6" t="str">
        <f t="shared" si="97"/>
        <v>Walkers</v>
      </c>
      <c r="M1566" s="6" t="str">
        <f t="shared" si="98"/>
        <v>Salt &amp; Shake Potato Crisps</v>
      </c>
      <c r="N1566" s="6" t="str">
        <f t="shared" si="99"/>
        <v>United Kingdom</v>
      </c>
    </row>
    <row r="1567" spans="1:14" x14ac:dyDescent="0.25">
      <c r="A1567" s="6" t="s">
        <v>3868</v>
      </c>
      <c r="B1567" s="6">
        <v>8866</v>
      </c>
      <c r="C1567" s="6" t="s">
        <v>134</v>
      </c>
      <c r="D1567" s="7" t="s">
        <v>958</v>
      </c>
      <c r="E1567" s="6" t="s">
        <v>18</v>
      </c>
      <c r="F1567" s="6" t="s">
        <v>48</v>
      </c>
      <c r="G1567" s="8">
        <v>45937</v>
      </c>
      <c r="H1567" s="6">
        <v>3.83</v>
      </c>
      <c r="I1567" s="6" cm="1">
        <f t="array" ref="I1567">IFERROR(VALUE(TRIM(LEFT(E1567,MIN(FIND({" ";"g";"k";"m";"o"},E1567&amp;" gkmo"))-1))),0)</f>
        <v>100</v>
      </c>
      <c r="J1567" s="6" t="str" cm="1">
        <f t="array" ref="J1567">IFERROR(TRIM(MID(E1567,MIN(FIND({" ";"g";"k";"m";"o"},E1567&amp;" gkmo")),10)),"unknown")</f>
        <v>g</v>
      </c>
      <c r="K1567" s="6" t="str">
        <f t="shared" si="96"/>
        <v>g</v>
      </c>
      <c r="L1567" s="6" t="str">
        <f t="shared" si="97"/>
        <v>Aiguebelle</v>
      </c>
      <c r="M1567" s="6" t="str">
        <f t="shared" si="98"/>
        <v>Chocolat Au Lait</v>
      </c>
      <c r="N1567" s="6" t="str">
        <f t="shared" si="99"/>
        <v>Morocco</v>
      </c>
    </row>
    <row r="1568" spans="1:14" x14ac:dyDescent="0.25">
      <c r="A1568" s="6" t="s">
        <v>3869</v>
      </c>
      <c r="B1568" s="6">
        <v>5319</v>
      </c>
      <c r="C1568" s="6" t="s">
        <v>3870</v>
      </c>
      <c r="D1568" s="7" t="s">
        <v>2744</v>
      </c>
      <c r="E1568" s="6"/>
      <c r="F1568" s="6" t="s">
        <v>2973</v>
      </c>
      <c r="G1568" s="8">
        <v>45795</v>
      </c>
      <c r="H1568" s="6">
        <v>20.5</v>
      </c>
      <c r="I1568" s="6" cm="1">
        <f t="array" ref="I1568">IFERROR(VALUE(TRIM(LEFT(E1568,MIN(FIND({" ";"g";"k";"m";"o"},E1568&amp;" gkmo"))-1))),0)</f>
        <v>0</v>
      </c>
      <c r="J1568" s="6" t="str" cm="1">
        <f t="array" ref="J1568">IFERROR(TRIM(MID(E1568,MIN(FIND({" ";"g";"k";"m";"o"},E1568&amp;" gkmo")),10)),"unknown")</f>
        <v/>
      </c>
      <c r="K1568" s="6" t="str">
        <f t="shared" si="96"/>
        <v>unknown</v>
      </c>
      <c r="L1568" s="6" t="str">
        <f t="shared" si="97"/>
        <v>Walkers</v>
      </c>
      <c r="M1568" s="6" t="str">
        <f t="shared" si="98"/>
        <v>Oat Shortbread</v>
      </c>
      <c r="N1568" s="6" t="str">
        <f t="shared" si="99"/>
        <v>Gb</v>
      </c>
    </row>
    <row r="1569" spans="1:14" x14ac:dyDescent="0.25">
      <c r="A1569" s="6" t="s">
        <v>3871</v>
      </c>
      <c r="B1569" s="6">
        <v>11585</v>
      </c>
      <c r="C1569" s="6" t="s">
        <v>7539</v>
      </c>
      <c r="D1569" s="7" t="s">
        <v>2760</v>
      </c>
      <c r="E1569" s="6" t="s">
        <v>39</v>
      </c>
      <c r="F1569" s="6" t="s">
        <v>139</v>
      </c>
      <c r="G1569" s="8">
        <v>45354</v>
      </c>
      <c r="H1569" s="6">
        <v>21.06</v>
      </c>
      <c r="I1569" s="6" cm="1">
        <f t="array" ref="I1569">IFERROR(VALUE(TRIM(LEFT(E1569,MIN(FIND({" ";"g";"k";"m";"o"},E1569&amp;" gkmo"))-1))),0)</f>
        <v>150</v>
      </c>
      <c r="J1569" s="6" t="str" cm="1">
        <f t="array" ref="J1569">IFERROR(TRIM(MID(E1569,MIN(FIND({" ";"g";"k";"m";"o"},E1569&amp;" gkmo")),10)),"unknown")</f>
        <v>g</v>
      </c>
      <c r="K1569" s="6" t="str">
        <f t="shared" si="96"/>
        <v>g</v>
      </c>
      <c r="L1569" s="6" t="str">
        <f t="shared" si="97"/>
        <v>Le Moulin Du Pivert</v>
      </c>
      <c r="M1569" s="6" t="str">
        <f t="shared" si="98"/>
        <v>Sablés Équilibre Noisette</v>
      </c>
      <c r="N1569" s="6" t="str">
        <f t="shared" si="99"/>
        <v>France</v>
      </c>
    </row>
    <row r="1570" spans="1:14" x14ac:dyDescent="0.25">
      <c r="A1570" s="6" t="s">
        <v>3872</v>
      </c>
      <c r="B1570" s="6">
        <v>11450</v>
      </c>
      <c r="C1570" s="6" t="s">
        <v>3873</v>
      </c>
      <c r="D1570" s="7" t="s">
        <v>624</v>
      </c>
      <c r="E1570" s="6" t="s">
        <v>423</v>
      </c>
      <c r="F1570" s="6" t="s">
        <v>139</v>
      </c>
      <c r="G1570" s="8">
        <v>45602</v>
      </c>
      <c r="H1570" s="6">
        <v>14.42</v>
      </c>
      <c r="I1570" s="6" cm="1">
        <f t="array" ref="I1570">IFERROR(VALUE(TRIM(LEFT(E1570,MIN(FIND({" ";"g";"k";"m";"o"},E1570&amp;" gkmo"))-1))),0)</f>
        <v>125</v>
      </c>
      <c r="J1570" s="6" t="str" cm="1">
        <f t="array" ref="J1570">IFERROR(TRIM(MID(E1570,MIN(FIND({" ";"g";"k";"m";"o"},E1570&amp;" gkmo")),10)),"unknown")</f>
        <v>g</v>
      </c>
      <c r="K1570" s="6" t="str">
        <f t="shared" si="96"/>
        <v>g</v>
      </c>
      <c r="L1570" s="6" t="str">
        <f t="shared" si="97"/>
        <v>Brets</v>
      </c>
      <c r="M1570" s="6" t="str">
        <f t="shared" si="98"/>
        <v>Chips Saveur Miel Moutarde</v>
      </c>
      <c r="N1570" s="6" t="str">
        <f t="shared" si="99"/>
        <v>France</v>
      </c>
    </row>
    <row r="1571" spans="1:14" x14ac:dyDescent="0.25">
      <c r="A1571" s="6" t="s">
        <v>3874</v>
      </c>
      <c r="B1571" s="6">
        <v>14007</v>
      </c>
      <c r="C1571" s="6" t="s">
        <v>3875</v>
      </c>
      <c r="D1571" s="7" t="s">
        <v>3876</v>
      </c>
      <c r="E1571" s="6" t="s">
        <v>415</v>
      </c>
      <c r="F1571" s="6" t="s">
        <v>8037</v>
      </c>
      <c r="G1571" s="8">
        <v>45827</v>
      </c>
      <c r="H1571" s="6">
        <v>18.850000000000001</v>
      </c>
      <c r="I1571" s="6" cm="1">
        <f t="array" ref="I1571">IFERROR(VALUE(TRIM(LEFT(E1571,MIN(FIND({" ";"g";"k";"m";"o"},E1571&amp;" gkmo"))-1))),0)</f>
        <v>185</v>
      </c>
      <c r="J1571" s="6" t="str" cm="1">
        <f t="array" ref="J1571">IFERROR(TRIM(MID(E1571,MIN(FIND({" ";"g";"k";"m";"o"},E1571&amp;" gkmo")),10)),"unknown")</f>
        <v>g</v>
      </c>
      <c r="K1571" s="6" t="str">
        <f t="shared" si="96"/>
        <v>g</v>
      </c>
      <c r="L1571" s="6" t="str">
        <f t="shared" si="97"/>
        <v>Pringles, Pringles - Kellogg</v>
      </c>
      <c r="M1571" s="6" t="str">
        <f t="shared" si="98"/>
        <v>Hot &amp; Spicy</v>
      </c>
      <c r="N1571" s="6" t="str">
        <f t="shared" si="99"/>
        <v>Germany, France</v>
      </c>
    </row>
    <row r="1572" spans="1:14" x14ac:dyDescent="0.25">
      <c r="A1572" s="6" t="s">
        <v>3877</v>
      </c>
      <c r="B1572" s="6">
        <v>12144</v>
      </c>
      <c r="C1572" s="6" t="s">
        <v>3878</v>
      </c>
      <c r="D1572" s="7" t="s">
        <v>2523</v>
      </c>
      <c r="E1572" s="6" t="s">
        <v>14</v>
      </c>
      <c r="F1572" s="6" t="s">
        <v>139</v>
      </c>
      <c r="G1572" s="8">
        <v>45647</v>
      </c>
      <c r="H1572" s="6">
        <v>5.84</v>
      </c>
      <c r="I1572" s="6" cm="1">
        <f t="array" ref="I1572">IFERROR(VALUE(TRIM(LEFT(E1572,MIN(FIND({" ";"g";"k";"m";"o"},E1572&amp;" gkmo"))-1))),0)</f>
        <v>300</v>
      </c>
      <c r="J1572" s="6" t="str" cm="1">
        <f t="array" ref="J1572">IFERROR(TRIM(MID(E1572,MIN(FIND({" ";"g";"k";"m";"o"},E1572&amp;" gkmo")),10)),"unknown")</f>
        <v>g</v>
      </c>
      <c r="K1572" s="6" t="str">
        <f t="shared" si="96"/>
        <v>g</v>
      </c>
      <c r="L1572" s="6" t="str">
        <f t="shared" si="97"/>
        <v>Pitch</v>
      </c>
      <c r="M1572" s="6" t="str">
        <f t="shared" si="98"/>
        <v>Brioches Barre Chocolat Au Lait</v>
      </c>
      <c r="N1572" s="6" t="str">
        <f t="shared" si="99"/>
        <v>France</v>
      </c>
    </row>
    <row r="1573" spans="1:14" x14ac:dyDescent="0.25">
      <c r="A1573" s="6" t="s">
        <v>3879</v>
      </c>
      <c r="B1573" s="6">
        <v>8518</v>
      </c>
      <c r="C1573" s="6" t="s">
        <v>7017</v>
      </c>
      <c r="D1573" s="7" t="s">
        <v>2853</v>
      </c>
      <c r="E1573" s="6" t="s">
        <v>786</v>
      </c>
      <c r="F1573" s="6" t="s">
        <v>8268</v>
      </c>
      <c r="G1573" s="8">
        <v>46007</v>
      </c>
      <c r="H1573" s="6">
        <v>13.16</v>
      </c>
      <c r="I1573" s="6" cm="1">
        <f t="array" ref="I1573">IFERROR(VALUE(TRIM(LEFT(E1573,MIN(FIND({" ";"g";"k";"m";"o"},E1573&amp;" gkmo"))-1))),0)</f>
        <v>130</v>
      </c>
      <c r="J1573" s="6" t="str" cm="1">
        <f t="array" ref="J1573">IFERROR(TRIM(MID(E1573,MIN(FIND({" ";"g";"k";"m";"o"},E1573&amp;" gkmo")),10)),"unknown")</f>
        <v>g</v>
      </c>
      <c r="K1573" s="6" t="str">
        <f t="shared" si="96"/>
        <v>g</v>
      </c>
      <c r="L1573" s="6" t="str">
        <f t="shared" si="97"/>
        <v>Sondey,Lidl</v>
      </c>
      <c r="M1573" s="6" t="str">
        <f t="shared" si="98"/>
        <v>Unknown</v>
      </c>
      <c r="N1573" s="6" t="str">
        <f t="shared" si="99"/>
        <v>Germany,Italia,Espaà±A</v>
      </c>
    </row>
    <row r="1574" spans="1:14" x14ac:dyDescent="0.25">
      <c r="A1574" s="6" t="s">
        <v>3880</v>
      </c>
      <c r="B1574" s="6">
        <v>8137</v>
      </c>
      <c r="C1574" s="6" t="s">
        <v>3881</v>
      </c>
      <c r="D1574" s="7" t="s">
        <v>1013</v>
      </c>
      <c r="E1574" s="6"/>
      <c r="F1574" s="6" t="s">
        <v>2973</v>
      </c>
      <c r="G1574" s="8">
        <v>45763</v>
      </c>
      <c r="H1574" s="6">
        <v>14.77</v>
      </c>
      <c r="I1574" s="6" cm="1">
        <f t="array" ref="I1574">IFERROR(VALUE(TRIM(LEFT(E1574,MIN(FIND({" ";"g";"k";"m";"o"},E1574&amp;" gkmo"))-1))),0)</f>
        <v>0</v>
      </c>
      <c r="J1574" s="6" t="str" cm="1">
        <f t="array" ref="J1574">IFERROR(TRIM(MID(E1574,MIN(FIND({" ";"g";"k";"m";"o"},E1574&amp;" gkmo")),10)),"unknown")</f>
        <v/>
      </c>
      <c r="K1574" s="6" t="str">
        <f t="shared" si="96"/>
        <v>unknown</v>
      </c>
      <c r="L1574" s="6" t="str">
        <f t="shared" si="97"/>
        <v>Jacob'S, Jacobs</v>
      </c>
      <c r="M1574" s="6" t="str">
        <f t="shared" si="98"/>
        <v>Mini Cheddars</v>
      </c>
      <c r="N1574" s="6" t="str">
        <f t="shared" si="99"/>
        <v>Gb</v>
      </c>
    </row>
    <row r="1575" spans="1:14" x14ac:dyDescent="0.25">
      <c r="A1575" s="6" t="s">
        <v>3882</v>
      </c>
      <c r="B1575" s="6">
        <v>7668</v>
      </c>
      <c r="C1575" s="6" t="s">
        <v>3883</v>
      </c>
      <c r="D1575" s="7" t="s">
        <v>2142</v>
      </c>
      <c r="E1575" s="6" t="s">
        <v>3884</v>
      </c>
      <c r="F1575" s="6" t="s">
        <v>177</v>
      </c>
      <c r="G1575" s="8">
        <v>45980</v>
      </c>
      <c r="H1575" s="6">
        <v>8.74</v>
      </c>
      <c r="I1575" s="6" cm="1">
        <f t="array" ref="I1575">IFERROR(VALUE(TRIM(LEFT(E1575,MIN(FIND({" ";"g";"k";"m";"o"},E1575&amp;" gkmo"))-1))),0)</f>
        <v>17</v>
      </c>
      <c r="J1575" s="6" t="str" cm="1">
        <f t="array" ref="J1575">IFERROR(TRIM(MID(E1575,MIN(FIND({" ";"g";"k";"m";"o"},E1575&amp;" gkmo")),10)),"unknown")</f>
        <v>g</v>
      </c>
      <c r="K1575" s="6" t="str">
        <f t="shared" si="96"/>
        <v>g</v>
      </c>
      <c r="L1575" s="6" t="str">
        <f t="shared" si="97"/>
        <v>Popchips</v>
      </c>
      <c r="M1575" s="6" t="str">
        <f t="shared" si="98"/>
        <v>Sour Cream &amp; Onion Flavour Popped Potato Snacks</v>
      </c>
      <c r="N1575" s="6" t="str">
        <f t="shared" si="99"/>
        <v>United Kingdom</v>
      </c>
    </row>
    <row r="1576" spans="1:14" x14ac:dyDescent="0.25">
      <c r="A1576" s="6" t="s">
        <v>3885</v>
      </c>
      <c r="B1576" s="6">
        <v>9960</v>
      </c>
      <c r="C1576" s="6" t="s">
        <v>3886</v>
      </c>
      <c r="D1576" s="7" t="s">
        <v>3887</v>
      </c>
      <c r="E1576" s="6" t="s">
        <v>3888</v>
      </c>
      <c r="F1576" s="6" t="s">
        <v>997</v>
      </c>
      <c r="G1576" s="8">
        <v>45974</v>
      </c>
      <c r="H1576" s="6">
        <v>17.05</v>
      </c>
      <c r="I1576" s="6" cm="1">
        <f t="array" ref="I1576">IFERROR(VALUE(TRIM(LEFT(E1576,MIN(FIND({" ";"g";"k";"m";"o"},E1576&amp;" gkmo"))-1))),0)</f>
        <v>270</v>
      </c>
      <c r="J1576" s="6" t="str" cm="1">
        <f t="array" ref="J1576">IFERROR(TRIM(MID(E1576,MIN(FIND({" ";"g";"k";"m";"o"},E1576&amp;" gkmo")),10)),"unknown")</f>
        <v>g</v>
      </c>
      <c r="K1576" s="6" t="str">
        <f t="shared" si="96"/>
        <v>g</v>
      </c>
      <c r="L1576" s="6" t="str">
        <f t="shared" si="97"/>
        <v>Mulino Bianco</v>
      </c>
      <c r="M1576" s="6" t="str">
        <f t="shared" si="98"/>
        <v>Cioccoavena</v>
      </c>
      <c r="N1576" s="6" t="str">
        <f t="shared" si="99"/>
        <v>Italy</v>
      </c>
    </row>
    <row r="1577" spans="1:14" x14ac:dyDescent="0.25">
      <c r="A1577" s="6" t="s">
        <v>3889</v>
      </c>
      <c r="B1577" s="6">
        <v>12914</v>
      </c>
      <c r="C1577" s="6" t="s">
        <v>7263</v>
      </c>
      <c r="D1577" s="7" t="s">
        <v>72</v>
      </c>
      <c r="E1577" s="6" t="s">
        <v>39</v>
      </c>
      <c r="F1577" s="6" t="s">
        <v>139</v>
      </c>
      <c r="G1577" s="8">
        <v>45342</v>
      </c>
      <c r="H1577" s="6">
        <v>8.51</v>
      </c>
      <c r="I1577" s="6" cm="1">
        <f t="array" ref="I1577">IFERROR(VALUE(TRIM(LEFT(E1577,MIN(FIND({" ";"g";"k";"m";"o"},E1577&amp;" gkmo"))-1))),0)</f>
        <v>150</v>
      </c>
      <c r="J1577" s="6" t="str" cm="1">
        <f t="array" ref="J1577">IFERROR(TRIM(MID(E1577,MIN(FIND({" ";"g";"k";"m";"o"},E1577&amp;" gkmo")),10)),"unknown")</f>
        <v>g</v>
      </c>
      <c r="K1577" s="6" t="str">
        <f t="shared" si="96"/>
        <v>g</v>
      </c>
      <c r="L1577" s="6" t="str">
        <f t="shared" si="97"/>
        <v>Bjorg</v>
      </c>
      <c r="M1577" s="6" t="str">
        <f t="shared" si="98"/>
        <v>Nappés Lait</v>
      </c>
      <c r="N1577" s="6" t="str">
        <f t="shared" si="99"/>
        <v>France</v>
      </c>
    </row>
    <row r="1578" spans="1:14" x14ac:dyDescent="0.25">
      <c r="A1578" s="6" t="s">
        <v>3890</v>
      </c>
      <c r="B1578" s="6">
        <v>13323</v>
      </c>
      <c r="C1578" s="6" t="s">
        <v>3891</v>
      </c>
      <c r="D1578" s="7" t="s">
        <v>1355</v>
      </c>
      <c r="E1578" s="6"/>
      <c r="F1578" s="6" t="s">
        <v>139</v>
      </c>
      <c r="G1578" s="8">
        <v>45539</v>
      </c>
      <c r="H1578" s="6">
        <v>4.71</v>
      </c>
      <c r="I1578" s="6" cm="1">
        <f t="array" ref="I1578">IFERROR(VALUE(TRIM(LEFT(E1578,MIN(FIND({" ";"g";"k";"m";"o"},E1578&amp;" gkmo"))-1))),0)</f>
        <v>0</v>
      </c>
      <c r="J1578" s="6" t="str" cm="1">
        <f t="array" ref="J1578">IFERROR(TRIM(MID(E1578,MIN(FIND({" ";"g";"k";"m";"o"},E1578&amp;" gkmo")),10)),"unknown")</f>
        <v/>
      </c>
      <c r="K1578" s="6" t="str">
        <f t="shared" si="96"/>
        <v>unknown</v>
      </c>
      <c r="L1578" s="6" t="str">
        <f t="shared" si="97"/>
        <v>Lay'S</v>
      </c>
      <c r="M1578" s="6" t="str">
        <f t="shared" si="98"/>
        <v>Chips Saveur Barbecue</v>
      </c>
      <c r="N1578" s="6" t="str">
        <f t="shared" si="99"/>
        <v>France</v>
      </c>
    </row>
    <row r="1579" spans="1:14" x14ac:dyDescent="0.25">
      <c r="A1579" s="6" t="s">
        <v>3892</v>
      </c>
      <c r="B1579" s="6">
        <v>12566</v>
      </c>
      <c r="C1579" s="6" t="s">
        <v>3893</v>
      </c>
      <c r="D1579" s="7" t="s">
        <v>2506</v>
      </c>
      <c r="E1579" s="6"/>
      <c r="F1579" s="6" t="s">
        <v>8079</v>
      </c>
      <c r="G1579" s="8">
        <v>45531</v>
      </c>
      <c r="H1579" s="6">
        <v>4.49</v>
      </c>
      <c r="I1579" s="6" cm="1">
        <f t="array" ref="I1579">IFERROR(VALUE(TRIM(LEFT(E1579,MIN(FIND({" ";"g";"k";"m";"o"},E1579&amp;" gkmo"))-1))),0)</f>
        <v>0</v>
      </c>
      <c r="J1579" s="6" t="str" cm="1">
        <f t="array" ref="J1579">IFERROR(TRIM(MID(E1579,MIN(FIND({" ";"g";"k";"m";"o"},E1579&amp;" gkmo")),10)),"unknown")</f>
        <v/>
      </c>
      <c r="K1579" s="6" t="str">
        <f t="shared" si="96"/>
        <v>unknown</v>
      </c>
      <c r="L1579" s="6" t="str">
        <f t="shared" si="97"/>
        <v>Roshen</v>
      </c>
      <c r="M1579" s="6" t="str">
        <f t="shared" si="98"/>
        <v>Napolitane</v>
      </c>
      <c r="N1579" s="6" t="str">
        <f t="shared" si="99"/>
        <v>Argentina, Georgia, Romania, Ukraine</v>
      </c>
    </row>
    <row r="1580" spans="1:14" x14ac:dyDescent="0.25">
      <c r="A1580" s="6" t="s">
        <v>3894</v>
      </c>
      <c r="B1580" s="6">
        <v>13055</v>
      </c>
      <c r="C1580" s="6" t="s">
        <v>7900</v>
      </c>
      <c r="D1580" s="7" t="s">
        <v>112</v>
      </c>
      <c r="E1580" s="6" t="s">
        <v>621</v>
      </c>
      <c r="F1580" s="6" t="s">
        <v>7750</v>
      </c>
      <c r="G1580" s="8">
        <v>45536</v>
      </c>
      <c r="H1580" s="6">
        <v>17.850000000000001</v>
      </c>
      <c r="I1580" s="6" cm="1">
        <f t="array" ref="I1580">IFERROR(VALUE(TRIM(LEFT(E1580,MIN(FIND({" ";"g";"k";"m";"o"},E1580&amp;" gkmo"))-1))),0)</f>
        <v>160</v>
      </c>
      <c r="J1580" s="6" t="str" cm="1">
        <f t="array" ref="J1580">IFERROR(TRIM(MID(E1580,MIN(FIND({" ";"g";"k";"m";"o"},E1580&amp;" gkmo")),10)),"unknown")</f>
        <v>g</v>
      </c>
      <c r="K1580" s="6" t="str">
        <f t="shared" si="96"/>
        <v>g</v>
      </c>
      <c r="L1580" s="6" t="str">
        <f t="shared" si="97"/>
        <v>Pringles</v>
      </c>
      <c r="M1580" s="6" t="str">
        <f t="shared" si="98"/>
        <v>Pringles Hot Smokin' Bbq Ribs Flavour</v>
      </c>
      <c r="N1580" s="6" t="str">
        <f t="shared" si="99"/>
        <v>Frankreich, Marokko, Spanien, Vereinigtes Kà¶Nigreich, Germany</v>
      </c>
    </row>
    <row r="1581" spans="1:14" x14ac:dyDescent="0.25">
      <c r="A1581" s="6" t="s">
        <v>3895</v>
      </c>
      <c r="B1581" s="6">
        <v>11686</v>
      </c>
      <c r="C1581" s="6" t="s">
        <v>3896</v>
      </c>
      <c r="D1581" s="7" t="s">
        <v>3897</v>
      </c>
      <c r="E1581" s="6"/>
      <c r="F1581" s="6" t="s">
        <v>3860</v>
      </c>
      <c r="G1581" s="8">
        <v>45849</v>
      </c>
      <c r="H1581" s="6">
        <v>20.059999999999999</v>
      </c>
      <c r="I1581" s="6" cm="1">
        <f t="array" ref="I1581">IFERROR(VALUE(TRIM(LEFT(E1581,MIN(FIND({" ";"g";"k";"m";"o"},E1581&amp;" gkmo"))-1))),0)</f>
        <v>0</v>
      </c>
      <c r="J1581" s="6" t="str" cm="1">
        <f t="array" ref="J1581">IFERROR(TRIM(MID(E1581,MIN(FIND({" ";"g";"k";"m";"o"},E1581&amp;" gkmo")),10)),"unknown")</f>
        <v/>
      </c>
      <c r="K1581" s="6" t="str">
        <f t="shared" si="96"/>
        <v>unknown</v>
      </c>
      <c r="L1581" s="6" t="str">
        <f t="shared" si="97"/>
        <v>Crunchmaster</v>
      </c>
      <c r="M1581" s="6" t="str">
        <f t="shared" si="98"/>
        <v>Multi-Grain Crackers 6-Seed</v>
      </c>
      <c r="N1581" s="6" t="str">
        <f t="shared" si="99"/>
        <v>United States, World</v>
      </c>
    </row>
    <row r="1582" spans="1:14" x14ac:dyDescent="0.25">
      <c r="A1582" s="6" t="s">
        <v>3898</v>
      </c>
      <c r="B1582" s="6">
        <v>5374</v>
      </c>
      <c r="C1582" s="6" t="s">
        <v>3899</v>
      </c>
      <c r="D1582" s="7" t="s">
        <v>7017</v>
      </c>
      <c r="E1582" s="6" t="s">
        <v>3900</v>
      </c>
      <c r="F1582" s="6" t="s">
        <v>8080</v>
      </c>
      <c r="G1582" s="8">
        <v>46018</v>
      </c>
      <c r="H1582" s="6">
        <v>21.9</v>
      </c>
      <c r="I1582" s="6" cm="1">
        <f t="array" ref="I1582">IFERROR(VALUE(TRIM(LEFT(E1582,MIN(FIND({" ";"g";"k";"m";"o"},E1582&amp;" gkmo"))-1))),0)</f>
        <v>21</v>
      </c>
      <c r="J1582" s="6" t="str" cm="1">
        <f t="array" ref="J1582">IFERROR(TRIM(MID(E1582,MIN(FIND({" ";"g";"k";"m";"o"},E1582&amp;" gkmo")),10)),"unknown")</f>
        <v>g</v>
      </c>
      <c r="K1582" s="6" t="str">
        <f t="shared" si="96"/>
        <v>g</v>
      </c>
      <c r="L1582" s="6" t="str">
        <f t="shared" si="97"/>
        <v>Unknown</v>
      </c>
      <c r="M1582" s="6" t="str">
        <f t="shared" si="98"/>
        <v>Dark Chocolate Covered Pretzels With Peppermint Pieces, Peppermint</v>
      </c>
      <c r="N1582" s="6" t="str">
        <f t="shared" si="99"/>
        <v>Brazil, France, United States, United-Kingdom</v>
      </c>
    </row>
    <row r="1583" spans="1:14" x14ac:dyDescent="0.25">
      <c r="A1583" s="6" t="s">
        <v>3901</v>
      </c>
      <c r="B1583" s="6">
        <v>9334</v>
      </c>
      <c r="C1583" s="6" t="s">
        <v>7491</v>
      </c>
      <c r="D1583" s="7" t="s">
        <v>3902</v>
      </c>
      <c r="E1583" s="6" t="s">
        <v>151</v>
      </c>
      <c r="F1583" s="6" t="s">
        <v>139</v>
      </c>
      <c r="G1583" s="8">
        <v>45433</v>
      </c>
      <c r="H1583" s="6">
        <v>17.03</v>
      </c>
      <c r="I1583" s="6" cm="1">
        <f t="array" ref="I1583">IFERROR(VALUE(TRIM(LEFT(E1583,MIN(FIND({" ";"g";"k";"m";"o"},E1583&amp;" gkmo"))-1))),0)</f>
        <v>200</v>
      </c>
      <c r="J1583" s="6" t="str" cm="1">
        <f t="array" ref="J1583">IFERROR(TRIM(MID(E1583,MIN(FIND({" ";"g";"k";"m";"o"},E1583&amp;" gkmo")),10)),"unknown")</f>
        <v>g</v>
      </c>
      <c r="K1583" s="6" t="str">
        <f t="shared" si="96"/>
        <v>g</v>
      </c>
      <c r="L1583" s="6" t="str">
        <f t="shared" si="97"/>
        <v>Bellarom, Fin Carre</v>
      </c>
      <c r="M1583" s="6" t="str">
        <f t="shared" si="98"/>
        <v>Chocolat Lait Noisettes Entières</v>
      </c>
      <c r="N1583" s="6" t="str">
        <f t="shared" si="99"/>
        <v>France</v>
      </c>
    </row>
    <row r="1584" spans="1:14" x14ac:dyDescent="0.25">
      <c r="A1584" s="6" t="s">
        <v>3903</v>
      </c>
      <c r="B1584" s="6">
        <v>7312</v>
      </c>
      <c r="C1584" s="6" t="s">
        <v>3904</v>
      </c>
      <c r="D1584" s="7" t="s">
        <v>7017</v>
      </c>
      <c r="E1584" s="6" t="s">
        <v>851</v>
      </c>
      <c r="F1584" s="6" t="s">
        <v>8269</v>
      </c>
      <c r="G1584" s="8">
        <v>45462</v>
      </c>
      <c r="H1584" s="6">
        <v>23.96</v>
      </c>
      <c r="I1584" s="6" cm="1">
        <f t="array" ref="I1584">IFERROR(VALUE(TRIM(LEFT(E1584,MIN(FIND({" ";"g";"k";"m";"o"},E1584&amp;" gkmo"))-1))),0)</f>
        <v>250</v>
      </c>
      <c r="J1584" s="6" t="str" cm="1">
        <f t="array" ref="J1584">IFERROR(TRIM(MID(E1584,MIN(FIND({" ";"g";"k";"m";"o"},E1584&amp;" gkmo")),10)),"unknown")</f>
        <v>gram</v>
      </c>
      <c r="K1584" s="6" t="str">
        <f t="shared" si="96"/>
        <v>g</v>
      </c>
      <c r="L1584" s="6" t="str">
        <f t="shared" si="97"/>
        <v>Unknown</v>
      </c>
      <c r="M1584" s="6" t="str">
        <f t="shared" si="98"/>
        <v>Fette Croccanti Con Sesamo</v>
      </c>
      <c r="N1584" s="6" t="str">
        <f t="shared" si="99"/>
        <v>France,Germany,Hungrà­A,Italia,Espaà±A</v>
      </c>
    </row>
    <row r="1585" spans="1:14" x14ac:dyDescent="0.25">
      <c r="A1585" s="6" t="s">
        <v>3905</v>
      </c>
      <c r="B1585" s="6">
        <v>8623</v>
      </c>
      <c r="C1585" s="6" t="s">
        <v>3906</v>
      </c>
      <c r="D1585" s="7" t="s">
        <v>7053</v>
      </c>
      <c r="E1585" s="6" t="s">
        <v>18</v>
      </c>
      <c r="F1585" s="6" t="s">
        <v>3907</v>
      </c>
      <c r="G1585" s="8">
        <v>45741</v>
      </c>
      <c r="H1585" s="6">
        <v>24.35</v>
      </c>
      <c r="I1585" s="6" cm="1">
        <f t="array" ref="I1585">IFERROR(VALUE(TRIM(LEFT(E1585,MIN(FIND({" ";"g";"k";"m";"o"},E1585&amp;" gkmo"))-1))),0)</f>
        <v>100</v>
      </c>
      <c r="J1585" s="6" t="str" cm="1">
        <f t="array" ref="J1585">IFERROR(TRIM(MID(E1585,MIN(FIND({" ";"g";"k";"m";"o"},E1585&amp;" gkmo")),10)),"unknown")</f>
        <v>g</v>
      </c>
      <c r="K1585" s="6" t="str">
        <f t="shared" si="96"/>
        <v>g</v>
      </c>
      <c r="L1585" s="6" t="str">
        <f t="shared" si="97"/>
        <v>Fin Carré</v>
      </c>
      <c r="M1585" s="6" t="str">
        <f t="shared" si="98"/>
        <v>Crusti Choc</v>
      </c>
      <c r="N1585" s="6" t="str">
        <f t="shared" si="99"/>
        <v>Ð¤Ñ€Ð°Ð½Ñ†Ð¸Ñ,Ð“Ðµñ€Ð¼Ð°Ð½Ð¸Ñ,Ð£Ð½Ð³Ð°Ñ€Ð¸Ñ,Ð˜ÑÐ¿Ð°Ð½Ð¸Ñ,Ð‘Ñšð»Ð³Ð°Ñ€Ð¸Ñ</v>
      </c>
    </row>
    <row r="1586" spans="1:14" x14ac:dyDescent="0.25">
      <c r="A1586" s="6" t="s">
        <v>3908</v>
      </c>
      <c r="B1586" s="6">
        <v>14590</v>
      </c>
      <c r="C1586" s="6" t="s">
        <v>7264</v>
      </c>
      <c r="D1586" s="7" t="s">
        <v>7017</v>
      </c>
      <c r="E1586" s="6"/>
      <c r="F1586" s="6" t="s">
        <v>8001</v>
      </c>
      <c r="G1586" s="8">
        <v>46005</v>
      </c>
      <c r="H1586" s="6">
        <v>6.54</v>
      </c>
      <c r="I1586" s="6" cm="1">
        <f t="array" ref="I1586">IFERROR(VALUE(TRIM(LEFT(E1586,MIN(FIND({" ";"g";"k";"m";"o"},E1586&amp;" gkmo"))-1))),0)</f>
        <v>0</v>
      </c>
      <c r="J1586" s="6" t="str" cm="1">
        <f t="array" ref="J1586">IFERROR(TRIM(MID(E1586,MIN(FIND({" ";"g";"k";"m";"o"},E1586&amp;" gkmo")),10)),"unknown")</f>
        <v/>
      </c>
      <c r="K1586" s="6" t="str">
        <f t="shared" si="96"/>
        <v>unknown</v>
      </c>
      <c r="L1586" s="6" t="str">
        <f t="shared" si="97"/>
        <v>Unknown</v>
      </c>
      <c r="M1586" s="6" t="str">
        <f t="shared" si="98"/>
        <v>Chocolat Dégustation 70% Cacao</v>
      </c>
      <c r="N1586" s="6" t="str">
        <f t="shared" si="99"/>
        <v>France,France</v>
      </c>
    </row>
    <row r="1587" spans="1:14" x14ac:dyDescent="0.25">
      <c r="A1587" s="6" t="s">
        <v>3909</v>
      </c>
      <c r="B1587" s="6">
        <v>5018</v>
      </c>
      <c r="C1587" s="6" t="s">
        <v>7901</v>
      </c>
      <c r="D1587" s="7" t="s">
        <v>3910</v>
      </c>
      <c r="E1587" s="6"/>
      <c r="F1587" s="6" t="s">
        <v>139</v>
      </c>
      <c r="G1587" s="8">
        <v>45714</v>
      </c>
      <c r="H1587" s="6">
        <v>24.21</v>
      </c>
      <c r="I1587" s="6" cm="1">
        <f t="array" ref="I1587">IFERROR(VALUE(TRIM(LEFT(E1587,MIN(FIND({" ";"g";"k";"m";"o"},E1587&amp;" gkmo"))-1))),0)</f>
        <v>0</v>
      </c>
      <c r="J1587" s="6" t="str" cm="1">
        <f t="array" ref="J1587">IFERROR(TRIM(MID(E1587,MIN(FIND({" ";"g";"k";"m";"o"},E1587&amp;" gkmo")),10)),"unknown")</f>
        <v/>
      </c>
      <c r="K1587" s="6" t="str">
        <f t="shared" si="96"/>
        <v>unknown</v>
      </c>
      <c r="L1587" s="6" t="str">
        <f t="shared" si="97"/>
        <v>Ancel</v>
      </c>
      <c r="M1587" s="6" t="str">
        <f t="shared" si="98"/>
        <v>Bretzels D'Alsace</v>
      </c>
      <c r="N1587" s="6" t="str">
        <f t="shared" si="99"/>
        <v>France</v>
      </c>
    </row>
    <row r="1588" spans="1:14" x14ac:dyDescent="0.25">
      <c r="A1588" s="6" t="s">
        <v>3911</v>
      </c>
      <c r="B1588" s="6">
        <v>12487</v>
      </c>
      <c r="C1588" s="6" t="s">
        <v>7751</v>
      </c>
      <c r="D1588" s="7" t="s">
        <v>7492</v>
      </c>
      <c r="E1588" s="6" t="s">
        <v>1044</v>
      </c>
      <c r="F1588" s="6" t="s">
        <v>139</v>
      </c>
      <c r="G1588" s="8">
        <v>46048</v>
      </c>
      <c r="H1588" s="6">
        <v>13.16</v>
      </c>
      <c r="I1588" s="6" cm="1">
        <f t="array" ref="I1588">IFERROR(VALUE(TRIM(LEFT(E1588,MIN(FIND({" ";"g";"k";"m";"o"},E1588&amp;" gkmo"))-1))),0)</f>
        <v>500</v>
      </c>
      <c r="J1588" s="6" t="str" cm="1">
        <f t="array" ref="J1588">IFERROR(TRIM(MID(E1588,MIN(FIND({" ";"g";"k";"m";"o"},E1588&amp;" gkmo")),10)),"unknown")</f>
        <v>g e</v>
      </c>
      <c r="K1588" s="6" t="str">
        <f t="shared" si="96"/>
        <v>g</v>
      </c>
      <c r="L1588" s="6" t="str">
        <f t="shared" si="97"/>
        <v>Nestlé,La Laitière</v>
      </c>
      <c r="M1588" s="6" t="str">
        <f t="shared" si="98"/>
        <v>Gà¢Teau De Riz Au Caramel</v>
      </c>
      <c r="N1588" s="6" t="str">
        <f t="shared" si="99"/>
        <v>France</v>
      </c>
    </row>
    <row r="1589" spans="1:14" x14ac:dyDescent="0.25">
      <c r="A1589" s="6" t="s">
        <v>3912</v>
      </c>
      <c r="B1589" s="6">
        <v>14933</v>
      </c>
      <c r="C1589" s="6" t="s">
        <v>3913</v>
      </c>
      <c r="D1589" s="7" t="s">
        <v>652</v>
      </c>
      <c r="E1589" s="6" t="s">
        <v>840</v>
      </c>
      <c r="F1589" s="6" t="s">
        <v>3914</v>
      </c>
      <c r="G1589" s="8">
        <v>45782</v>
      </c>
      <c r="H1589" s="6">
        <v>19.66</v>
      </c>
      <c r="I1589" s="6" cm="1">
        <f t="array" ref="I1589">IFERROR(VALUE(TRIM(LEFT(E1589,MIN(FIND({" ";"g";"k";"m";"o"},E1589&amp;" gkmo"))-1))),0)</f>
        <v>175</v>
      </c>
      <c r="J1589" s="6" t="str" cm="1">
        <f t="array" ref="J1589">IFERROR(TRIM(MID(E1589,MIN(FIND({" ";"g";"k";"m";"o"},E1589&amp;" gkmo")),10)),"unknown")</f>
        <v>g</v>
      </c>
      <c r="K1589" s="6" t="str">
        <f t="shared" si="96"/>
        <v>g</v>
      </c>
      <c r="L1589" s="6" t="str">
        <f t="shared" si="97"/>
        <v>Brossard</v>
      </c>
      <c r="M1589" s="6" t="str">
        <f t="shared" si="98"/>
        <v>30 Boudoirs 175G</v>
      </c>
      <c r="N1589" s="6" t="str">
        <f t="shared" si="99"/>
        <v>Frankreich, Germany</v>
      </c>
    </row>
    <row r="1590" spans="1:14" x14ac:dyDescent="0.25">
      <c r="A1590" s="6" t="s">
        <v>3915</v>
      </c>
      <c r="B1590" s="6">
        <v>7233</v>
      </c>
      <c r="C1590" s="6" t="s">
        <v>3916</v>
      </c>
      <c r="D1590" s="7" t="s">
        <v>7017</v>
      </c>
      <c r="E1590" s="6" t="s">
        <v>57</v>
      </c>
      <c r="F1590" s="6" t="s">
        <v>139</v>
      </c>
      <c r="G1590" s="8">
        <v>45715</v>
      </c>
      <c r="H1590" s="6">
        <v>9.74</v>
      </c>
      <c r="I1590" s="6" cm="1">
        <f t="array" ref="I1590">IFERROR(VALUE(TRIM(LEFT(E1590,MIN(FIND({" ";"g";"k";"m";"o"},E1590&amp;" gkmo"))-1))),0)</f>
        <v>275</v>
      </c>
      <c r="J1590" s="6" t="str" cm="1">
        <f t="array" ref="J1590">IFERROR(TRIM(MID(E1590,MIN(FIND({" ";"g";"k";"m";"o"},E1590&amp;" gkmo")),10)),"unknown")</f>
        <v>g</v>
      </c>
      <c r="K1590" s="6" t="str">
        <f t="shared" si="96"/>
        <v>g</v>
      </c>
      <c r="L1590" s="6" t="str">
        <f t="shared" si="97"/>
        <v>Unknown</v>
      </c>
      <c r="M1590" s="6" t="str">
        <f t="shared" si="98"/>
        <v>Haribo Pik</v>
      </c>
      <c r="N1590" s="6" t="str">
        <f t="shared" si="99"/>
        <v>France</v>
      </c>
    </row>
    <row r="1591" spans="1:14" x14ac:dyDescent="0.25">
      <c r="A1591" s="6" t="s">
        <v>3917</v>
      </c>
      <c r="B1591" s="6">
        <v>11739</v>
      </c>
      <c r="C1591" s="6" t="s">
        <v>7540</v>
      </c>
      <c r="D1591" s="7" t="s">
        <v>7265</v>
      </c>
      <c r="E1591" s="6" t="s">
        <v>297</v>
      </c>
      <c r="F1591" s="6" t="s">
        <v>139</v>
      </c>
      <c r="G1591" s="8">
        <v>45345</v>
      </c>
      <c r="H1591" s="6">
        <v>23.33</v>
      </c>
      <c r="I1591" s="6" cm="1">
        <f t="array" ref="I1591">IFERROR(VALUE(TRIM(LEFT(E1591,MIN(FIND({" ";"g";"k";"m";"o"},E1591&amp;" gkmo"))-1))),0)</f>
        <v>360</v>
      </c>
      <c r="J1591" s="6" t="str" cm="1">
        <f t="array" ref="J1591">IFERROR(TRIM(MID(E1591,MIN(FIND({" ";"g";"k";"m";"o"},E1591&amp;" gkmo")),10)),"unknown")</f>
        <v>g</v>
      </c>
      <c r="K1591" s="6" t="str">
        <f t="shared" si="96"/>
        <v>g</v>
      </c>
      <c r="L1591" s="6" t="str">
        <f t="shared" si="97"/>
        <v>Gerlinéa</v>
      </c>
      <c r="M1591" s="6" t="str">
        <f t="shared" si="98"/>
        <v>Repas Équilibré Barre Saveur Pomme Framboise</v>
      </c>
      <c r="N1591" s="6" t="str">
        <f t="shared" si="99"/>
        <v>France</v>
      </c>
    </row>
    <row r="1592" spans="1:14" x14ac:dyDescent="0.25">
      <c r="A1592" s="6" t="s">
        <v>3918</v>
      </c>
      <c r="B1592" s="6">
        <v>9785</v>
      </c>
      <c r="C1592" s="6" t="s">
        <v>7266</v>
      </c>
      <c r="D1592" s="7" t="s">
        <v>7017</v>
      </c>
      <c r="E1592" s="6" t="s">
        <v>39</v>
      </c>
      <c r="F1592" s="6" t="s">
        <v>139</v>
      </c>
      <c r="G1592" s="8">
        <v>45720</v>
      </c>
      <c r="H1592" s="6">
        <v>16.62</v>
      </c>
      <c r="I1592" s="6" cm="1">
        <f t="array" ref="I1592">IFERROR(VALUE(TRIM(LEFT(E1592,MIN(FIND({" ";"g";"k";"m";"o"},E1592&amp;" gkmo"))-1))),0)</f>
        <v>150</v>
      </c>
      <c r="J1592" s="6" t="str" cm="1">
        <f t="array" ref="J1592">IFERROR(TRIM(MID(E1592,MIN(FIND({" ";"g";"k";"m";"o"},E1592&amp;" gkmo")),10)),"unknown")</f>
        <v>g</v>
      </c>
      <c r="K1592" s="6" t="str">
        <f t="shared" si="96"/>
        <v>g</v>
      </c>
      <c r="L1592" s="6" t="str">
        <f t="shared" si="97"/>
        <v>Unknown</v>
      </c>
      <c r="M1592" s="6" t="str">
        <f t="shared" si="98"/>
        <v>Sablés Framboise Sésame</v>
      </c>
      <c r="N1592" s="6" t="str">
        <f t="shared" si="99"/>
        <v>France</v>
      </c>
    </row>
    <row r="1593" spans="1:14" x14ac:dyDescent="0.25">
      <c r="A1593" s="6" t="s">
        <v>3919</v>
      </c>
      <c r="B1593" s="6">
        <v>8474</v>
      </c>
      <c r="C1593" s="6" t="s">
        <v>128</v>
      </c>
      <c r="D1593" s="7" t="s">
        <v>310</v>
      </c>
      <c r="E1593" s="6" t="s">
        <v>676</v>
      </c>
      <c r="F1593" s="6" t="s">
        <v>139</v>
      </c>
      <c r="G1593" s="8">
        <v>45972</v>
      </c>
      <c r="H1593" s="6">
        <v>23.98</v>
      </c>
      <c r="I1593" s="6" cm="1">
        <f t="array" ref="I1593">IFERROR(VALUE(TRIM(LEFT(E1593,MIN(FIND({" ";"g";"k";"m";"o"},E1593&amp;" gkmo"))-1))),0)</f>
        <v>180</v>
      </c>
      <c r="J1593" s="6" t="str" cm="1">
        <f t="array" ref="J1593">IFERROR(TRIM(MID(E1593,MIN(FIND({" ";"g";"k";"m";"o"},E1593&amp;" gkmo")),10)),"unknown")</f>
        <v>g</v>
      </c>
      <c r="K1593" s="6" t="str">
        <f t="shared" si="96"/>
        <v>g</v>
      </c>
      <c r="L1593" s="6" t="str">
        <f t="shared" si="97"/>
        <v>St Michel</v>
      </c>
      <c r="M1593" s="6" t="str">
        <f t="shared" si="98"/>
        <v>Petit Beurre</v>
      </c>
      <c r="N1593" s="6" t="str">
        <f t="shared" si="99"/>
        <v>France</v>
      </c>
    </row>
    <row r="1594" spans="1:14" x14ac:dyDescent="0.25">
      <c r="A1594" s="6" t="s">
        <v>3920</v>
      </c>
      <c r="B1594" s="6">
        <v>6711</v>
      </c>
      <c r="C1594" s="6" t="s">
        <v>7541</v>
      </c>
      <c r="D1594" s="7" t="s">
        <v>7017</v>
      </c>
      <c r="E1594" s="6" t="s">
        <v>10</v>
      </c>
      <c r="F1594" s="6" t="s">
        <v>3921</v>
      </c>
      <c r="G1594" s="8">
        <v>45663</v>
      </c>
      <c r="H1594" s="6">
        <v>5.6</v>
      </c>
      <c r="I1594" s="6" cm="1">
        <f t="array" ref="I1594">IFERROR(VALUE(TRIM(LEFT(E1594,MIN(FIND({" ";"g";"k";"m";"o"},E1594&amp;" gkmo"))-1))),0)</f>
        <v>100</v>
      </c>
      <c r="J1594" s="6" t="str" cm="1">
        <f t="array" ref="J1594">IFERROR(TRIM(MID(E1594,MIN(FIND({" ";"g";"k";"m";"o"},E1594&amp;" gkmo")),10)),"unknown")</f>
        <v>g</v>
      </c>
      <c r="K1594" s="6" t="str">
        <f t="shared" si="96"/>
        <v>g</v>
      </c>
      <c r="L1594" s="6" t="str">
        <f t="shared" si="97"/>
        <v>Unknown</v>
      </c>
      <c r="M1594" s="6" t="str">
        <f t="shared" si="98"/>
        <v>Éclats De Fèves De Cacao Noir</v>
      </c>
      <c r="N1594" s="6" t="str">
        <f t="shared" si="99"/>
        <v>France,Italy,Kenya,Morocco,Spain</v>
      </c>
    </row>
    <row r="1595" spans="1:14" x14ac:dyDescent="0.25">
      <c r="A1595" s="6" t="s">
        <v>3922</v>
      </c>
      <c r="B1595" s="6">
        <v>5208</v>
      </c>
      <c r="C1595" s="6" t="s">
        <v>7542</v>
      </c>
      <c r="D1595" s="7" t="s">
        <v>3923</v>
      </c>
      <c r="E1595" s="6" t="s">
        <v>10</v>
      </c>
      <c r="F1595" s="6" t="s">
        <v>3924</v>
      </c>
      <c r="G1595" s="8">
        <v>45753</v>
      </c>
      <c r="H1595" s="6">
        <v>16.03</v>
      </c>
      <c r="I1595" s="6" cm="1">
        <f t="array" ref="I1595">IFERROR(VALUE(TRIM(LEFT(E1595,MIN(FIND({" ";"g";"k";"m";"o"},E1595&amp;" gkmo"))-1))),0)</f>
        <v>100</v>
      </c>
      <c r="J1595" s="6" t="str" cm="1">
        <f t="array" ref="J1595">IFERROR(TRIM(MID(E1595,MIN(FIND({" ";"g";"k";"m";"o"},E1595&amp;" gkmo")),10)),"unknown")</f>
        <v>g</v>
      </c>
      <c r="K1595" s="6" t="str">
        <f t="shared" si="96"/>
        <v>g</v>
      </c>
      <c r="L1595" s="6" t="str">
        <f t="shared" si="97"/>
        <v>Kaoka</v>
      </c>
      <c r="M1595" s="6" t="str">
        <f t="shared" si="98"/>
        <v>Chocolat Noir 80% - Équateur</v>
      </c>
      <c r="N1595" s="6" t="str">
        <f t="shared" si="99"/>
        <v>France,Netherlands</v>
      </c>
    </row>
    <row r="1596" spans="1:14" x14ac:dyDescent="0.25">
      <c r="A1596" s="6" t="s">
        <v>3925</v>
      </c>
      <c r="B1596" s="6">
        <v>12296</v>
      </c>
      <c r="C1596" s="6" t="s">
        <v>3926</v>
      </c>
      <c r="D1596" s="7" t="s">
        <v>1147</v>
      </c>
      <c r="E1596" s="6" t="s">
        <v>1721</v>
      </c>
      <c r="F1596" s="6" t="s">
        <v>139</v>
      </c>
      <c r="G1596" s="8">
        <v>45681</v>
      </c>
      <c r="H1596" s="6">
        <v>16.190000000000001</v>
      </c>
      <c r="I1596" s="6" cm="1">
        <f t="array" ref="I1596">IFERROR(VALUE(TRIM(LEFT(E1596,MIN(FIND({" ";"g";"k";"m";"o"},E1596&amp;" gkmo"))-1))),0)</f>
        <v>30</v>
      </c>
      <c r="J1596" s="6" t="str" cm="1">
        <f t="array" ref="J1596">IFERROR(TRIM(MID(E1596,MIN(FIND({" ";"g";"k";"m";"o"},E1596&amp;" gkmo")),10)),"unknown")</f>
        <v>g</v>
      </c>
      <c r="K1596" s="6" t="str">
        <f t="shared" si="96"/>
        <v>g</v>
      </c>
      <c r="L1596" s="6" t="str">
        <f t="shared" si="97"/>
        <v>Bret'S</v>
      </c>
      <c r="M1596" s="6" t="str">
        <f t="shared" si="98"/>
        <v>L'Originale</v>
      </c>
      <c r="N1596" s="6" t="str">
        <f t="shared" si="99"/>
        <v>France</v>
      </c>
    </row>
    <row r="1597" spans="1:14" x14ac:dyDescent="0.25">
      <c r="A1597" s="6" t="s">
        <v>3927</v>
      </c>
      <c r="B1597" s="6">
        <v>10677</v>
      </c>
      <c r="C1597" s="6" t="s">
        <v>7267</v>
      </c>
      <c r="D1597" s="7" t="s">
        <v>854</v>
      </c>
      <c r="E1597" s="6" t="s">
        <v>840</v>
      </c>
      <c r="F1597" s="6" t="s">
        <v>139</v>
      </c>
      <c r="G1597" s="8">
        <v>45545</v>
      </c>
      <c r="H1597" s="6">
        <v>11.4</v>
      </c>
      <c r="I1597" s="6" cm="1">
        <f t="array" ref="I1597">IFERROR(VALUE(TRIM(LEFT(E1597,MIN(FIND({" ";"g";"k";"m";"o"},E1597&amp;" gkmo"))-1))),0)</f>
        <v>175</v>
      </c>
      <c r="J1597" s="6" t="str" cm="1">
        <f t="array" ref="J1597">IFERROR(TRIM(MID(E1597,MIN(FIND({" ";"g";"k";"m";"o"},E1597&amp;" gkmo")),10)),"unknown")</f>
        <v>g</v>
      </c>
      <c r="K1597" s="6" t="str">
        <f t="shared" si="96"/>
        <v>g</v>
      </c>
      <c r="L1597" s="6" t="str">
        <f t="shared" si="97"/>
        <v>Carrefour</v>
      </c>
      <c r="M1597" s="6" t="str">
        <f t="shared" si="98"/>
        <v>Crackers Aux Graines De Courge, Lin Et Sésame</v>
      </c>
      <c r="N1597" s="6" t="str">
        <f t="shared" si="99"/>
        <v>France</v>
      </c>
    </row>
    <row r="1598" spans="1:14" x14ac:dyDescent="0.25">
      <c r="A1598" s="6" t="s">
        <v>3928</v>
      </c>
      <c r="B1598" s="6">
        <v>5649</v>
      </c>
      <c r="C1598" s="6" t="s">
        <v>3929</v>
      </c>
      <c r="D1598" s="7" t="s">
        <v>7493</v>
      </c>
      <c r="E1598" s="6" t="s">
        <v>151</v>
      </c>
      <c r="F1598" s="6" t="s">
        <v>139</v>
      </c>
      <c r="G1598" s="8">
        <v>45812</v>
      </c>
      <c r="H1598" s="6">
        <v>16.510000000000002</v>
      </c>
      <c r="I1598" s="6" cm="1">
        <f t="array" ref="I1598">IFERROR(VALUE(TRIM(LEFT(E1598,MIN(FIND({" ";"g";"k";"m";"o"},E1598&amp;" gkmo"))-1))),0)</f>
        <v>200</v>
      </c>
      <c r="J1598" s="6" t="str" cm="1">
        <f t="array" ref="J1598">IFERROR(TRIM(MID(E1598,MIN(FIND({" ";"g";"k";"m";"o"},E1598&amp;" gkmo")),10)),"unknown")</f>
        <v>g</v>
      </c>
      <c r="K1598" s="6" t="str">
        <f t="shared" si="96"/>
        <v>g</v>
      </c>
      <c r="L1598" s="6" t="str">
        <f t="shared" si="97"/>
        <v>Marque Repère, Pom'Lisse</v>
      </c>
      <c r="M1598" s="6" t="str">
        <f t="shared" si="98"/>
        <v>Chips Pom'Lisse</v>
      </c>
      <c r="N1598" s="6" t="str">
        <f t="shared" si="99"/>
        <v>France</v>
      </c>
    </row>
    <row r="1599" spans="1:14" x14ac:dyDescent="0.25">
      <c r="A1599" s="6" t="s">
        <v>3930</v>
      </c>
      <c r="B1599" s="6">
        <v>14332</v>
      </c>
      <c r="C1599" s="6" t="s">
        <v>3931</v>
      </c>
      <c r="D1599" s="7" t="s">
        <v>3932</v>
      </c>
      <c r="E1599" s="6" t="s">
        <v>1706</v>
      </c>
      <c r="F1599" s="6" t="s">
        <v>139</v>
      </c>
      <c r="G1599" s="8">
        <v>45501</v>
      </c>
      <c r="H1599" s="6">
        <v>8.23</v>
      </c>
      <c r="I1599" s="6" cm="1">
        <f t="array" ref="I1599">IFERROR(VALUE(TRIM(LEFT(E1599,MIN(FIND({" ";"g";"k";"m";"o"},E1599&amp;" gkmo"))-1))),0)</f>
        <v>245</v>
      </c>
      <c r="J1599" s="6" t="str" cm="1">
        <f t="array" ref="J1599">IFERROR(TRIM(MID(E1599,MIN(FIND({" ";"g";"k";"m";"o"},E1599&amp;" gkmo")),10)),"unknown")</f>
        <v>g</v>
      </c>
      <c r="K1599" s="6" t="str">
        <f t="shared" si="96"/>
        <v>g</v>
      </c>
      <c r="L1599" s="6" t="str">
        <f t="shared" si="97"/>
        <v>Suchard,Suchard Rocher</v>
      </c>
      <c r="M1599" s="6" t="str">
        <f t="shared" si="98"/>
        <v>Rocher Suchard Noir (7 X 35G) 245 G E</v>
      </c>
      <c r="N1599" s="6" t="str">
        <f t="shared" si="99"/>
        <v>France</v>
      </c>
    </row>
    <row r="1600" spans="1:14" x14ac:dyDescent="0.25">
      <c r="A1600" s="6" t="s">
        <v>3933</v>
      </c>
      <c r="B1600" s="6">
        <v>13485</v>
      </c>
      <c r="C1600" s="6" t="s">
        <v>3934</v>
      </c>
      <c r="D1600" s="7" t="s">
        <v>568</v>
      </c>
      <c r="E1600" s="6" t="s">
        <v>3935</v>
      </c>
      <c r="F1600" s="6" t="s">
        <v>8343</v>
      </c>
      <c r="G1600" s="8">
        <v>45570</v>
      </c>
      <c r="H1600" s="6">
        <v>4.9800000000000004</v>
      </c>
      <c r="I1600" s="6" cm="1">
        <f t="array" ref="I1600">IFERROR(VALUE(TRIM(LEFT(E1600,MIN(FIND({" ";"g";"k";"m";"o"},E1600&amp;" gkmo"))-1))),0)</f>
        <v>378</v>
      </c>
      <c r="J1600" s="6" t="str" cm="1">
        <f t="array" ref="J1600">IFERROR(TRIM(MID(E1600,MIN(FIND({" ";"g";"k";"m";"o"},E1600&amp;" gkmo")),10)),"unknown")</f>
        <v>g</v>
      </c>
      <c r="K1600" s="6" t="str">
        <f t="shared" si="96"/>
        <v>g</v>
      </c>
      <c r="L1600" s="6" t="str">
        <f t="shared" si="97"/>
        <v>Ferrero,Kinder</v>
      </c>
      <c r="M1600" s="6" t="str">
        <f t="shared" si="98"/>
        <v>Kinderriegel</v>
      </c>
      <c r="N1600" s="6" t="str">
        <f t="shared" si="99"/>
        <v>Autriche,France,Germany,Switzerland</v>
      </c>
    </row>
    <row r="1601" spans="1:14" x14ac:dyDescent="0.25">
      <c r="A1601" s="6" t="s">
        <v>3936</v>
      </c>
      <c r="B1601" s="6">
        <v>10772</v>
      </c>
      <c r="C1601" s="6" t="s">
        <v>3937</v>
      </c>
      <c r="D1601" s="7" t="s">
        <v>3938</v>
      </c>
      <c r="E1601" s="6" t="s">
        <v>151</v>
      </c>
      <c r="F1601" s="6" t="s">
        <v>7926</v>
      </c>
      <c r="G1601" s="8">
        <v>45681</v>
      </c>
      <c r="H1601" s="6">
        <v>9.07</v>
      </c>
      <c r="I1601" s="6" cm="1">
        <f t="array" ref="I1601">IFERROR(VALUE(TRIM(LEFT(E1601,MIN(FIND({" ";"g";"k";"m";"o"},E1601&amp;" gkmo"))-1))),0)</f>
        <v>200</v>
      </c>
      <c r="J1601" s="6" t="str" cm="1">
        <f t="array" ref="J1601">IFERROR(TRIM(MID(E1601,MIN(FIND({" ";"g";"k";"m";"o"},E1601&amp;" gkmo")),10)),"unknown")</f>
        <v>g</v>
      </c>
      <c r="K1601" s="6" t="str">
        <f t="shared" si="96"/>
        <v>g</v>
      </c>
      <c r="L1601" s="6" t="str">
        <f t="shared" si="97"/>
        <v>Co Op</v>
      </c>
      <c r="M1601" s="6" t="str">
        <f t="shared" si="98"/>
        <v>Lightly Salted Tortilla Chips</v>
      </c>
      <c r="N1601" s="6" t="str">
        <f t="shared" si="99"/>
        <v>France, United-Kingdom</v>
      </c>
    </row>
    <row r="1602" spans="1:14" x14ac:dyDescent="0.25">
      <c r="A1602" s="6" t="s">
        <v>3939</v>
      </c>
      <c r="B1602" s="6">
        <v>5645</v>
      </c>
      <c r="C1602" s="6" t="s">
        <v>3940</v>
      </c>
      <c r="D1602" s="7" t="s">
        <v>3941</v>
      </c>
      <c r="E1602" s="6" t="s">
        <v>156</v>
      </c>
      <c r="F1602" s="6" t="s">
        <v>1181</v>
      </c>
      <c r="G1602" s="8">
        <v>45593</v>
      </c>
      <c r="H1602" s="6">
        <v>5.71</v>
      </c>
      <c r="I1602" s="6" cm="1">
        <f t="array" ref="I1602">IFERROR(VALUE(TRIM(LEFT(E1602,MIN(FIND({" ";"g";"k";"m";"o"},E1602&amp;" gkmo"))-1))),0)</f>
        <v>500</v>
      </c>
      <c r="J1602" s="6" t="str" cm="1">
        <f t="array" ref="J1602">IFERROR(TRIM(MID(E1602,MIN(FIND({" ";"g";"k";"m";"o"},E1602&amp;" gkmo")),10)),"unknown")</f>
        <v>g</v>
      </c>
      <c r="K1602" s="6" t="str">
        <f t="shared" si="96"/>
        <v>g</v>
      </c>
      <c r="L1602" s="6" t="str">
        <f t="shared" si="97"/>
        <v>M&amp;M'S, Mars, Mars Chocolat, Mars Chocolat France</v>
      </c>
      <c r="M1602" s="6" t="str">
        <f t="shared" si="98"/>
        <v>M&amp;M'S - Peanut</v>
      </c>
      <c r="N1602" s="6" t="str">
        <f t="shared" si="99"/>
        <v>France,Switzerland</v>
      </c>
    </row>
    <row r="1603" spans="1:14" x14ac:dyDescent="0.25">
      <c r="A1603" s="6" t="s">
        <v>3942</v>
      </c>
      <c r="B1603" s="6">
        <v>12564</v>
      </c>
      <c r="C1603" s="6" t="s">
        <v>3943</v>
      </c>
      <c r="D1603" s="7" t="s">
        <v>7017</v>
      </c>
      <c r="E1603" s="6" t="s">
        <v>3944</v>
      </c>
      <c r="F1603" s="6" t="s">
        <v>177</v>
      </c>
      <c r="G1603" s="8">
        <v>45640</v>
      </c>
      <c r="H1603" s="6">
        <v>17.899999999999999</v>
      </c>
      <c r="I1603" s="6" cm="1">
        <f t="array" ref="I1603">IFERROR(VALUE(TRIM(LEFT(E1603,MIN(FIND({" ";"g";"k";"m";"o"},E1603&amp;" gkmo"))-1))),0)</f>
        <v>256</v>
      </c>
      <c r="J1603" s="6" t="str" cm="1">
        <f t="array" ref="J1603">IFERROR(TRIM(MID(E1603,MIN(FIND({" ";"g";"k";"m";"o"},E1603&amp;" gkmo")),10)),"unknown")</f>
        <v>g (4)</v>
      </c>
      <c r="K1603" s="6" t="str">
        <f t="shared" ref="K1603:K1666" si="100">IF(E1603="","unknown",IF(OR(J1603="g",LEFT(J1603,1)="g"),"g",IF(OR(LEFT(J1603,2)="kg",LEFT(J1603,2)="ki"),"kg",IF(OR(LEFT(J1603,2)="ml",LEFT(J1603,1)="m"),"ml",IF(LEFT(J1603,1)="l","l",IF(ISNUMBER(SEARCH("g",E1603)),"g",IF(ISNUMBER(SEARCH("kg",E1603)),"kg",IF(ISNUMBER(SEARCH("ml",E1603)),"ml","unknown"))))))))</f>
        <v>g</v>
      </c>
      <c r="L1603" s="6" t="str">
        <f t="shared" ref="L1603:L1666" si="101">IF(D1603="","Unknown",PROPER(TRIM(D1603)))</f>
        <v>Unknown</v>
      </c>
      <c r="M1603" s="6" t="str">
        <f t="shared" ref="M1603:M1666" si="102">IF(C1603="Unknown","Unknown",PROPER(TRIM(C1603)))</f>
        <v>Toasting Muffins</v>
      </c>
      <c r="N1603" s="6" t="str">
        <f t="shared" ref="N1603:N1666" si="103">IF(F1603="","Unknown",PROPER(TRIM(F1603)))</f>
        <v>United Kingdom</v>
      </c>
    </row>
    <row r="1604" spans="1:14" x14ac:dyDescent="0.25">
      <c r="A1604" s="6" t="s">
        <v>3945</v>
      </c>
      <c r="B1604" s="6">
        <v>8727</v>
      </c>
      <c r="C1604" s="6" t="s">
        <v>7017</v>
      </c>
      <c r="D1604" s="7" t="s">
        <v>2299</v>
      </c>
      <c r="E1604" s="6" t="s">
        <v>2862</v>
      </c>
      <c r="F1604" s="6" t="s">
        <v>7595</v>
      </c>
      <c r="G1604" s="8">
        <v>45514</v>
      </c>
      <c r="H1604" s="6">
        <v>13.16</v>
      </c>
      <c r="I1604" s="6" cm="1">
        <f t="array" ref="I1604">IFERROR(VALUE(TRIM(LEFT(E1604,MIN(FIND({" ";"g";"k";"m";"o"},E1604&amp;" gkmo"))-1))),0)</f>
        <v>700</v>
      </c>
      <c r="J1604" s="6" t="str" cm="1">
        <f t="array" ref="J1604">IFERROR(TRIM(MID(E1604,MIN(FIND({" ";"g";"k";"m";"o"},E1604&amp;" gkmo")),10)),"unknown")</f>
        <v>g</v>
      </c>
      <c r="K1604" s="6" t="str">
        <f t="shared" si="100"/>
        <v>g</v>
      </c>
      <c r="L1604" s="6" t="str">
        <f t="shared" si="101"/>
        <v>Fontaneda,Mondelez</v>
      </c>
      <c r="M1604" s="6" t="str">
        <f t="shared" si="102"/>
        <v>Unknown</v>
      </c>
      <c r="N1604" s="6" t="str">
        <f t="shared" si="103"/>
        <v>Espaà±A</v>
      </c>
    </row>
    <row r="1605" spans="1:14" x14ac:dyDescent="0.25">
      <c r="A1605" s="6" t="s">
        <v>3946</v>
      </c>
      <c r="B1605" s="6">
        <v>13493</v>
      </c>
      <c r="C1605" s="6" t="s">
        <v>3947</v>
      </c>
      <c r="D1605" s="7" t="s">
        <v>135</v>
      </c>
      <c r="E1605" s="6" t="s">
        <v>327</v>
      </c>
      <c r="F1605" s="6" t="s">
        <v>213</v>
      </c>
      <c r="G1605" s="8">
        <v>45527</v>
      </c>
      <c r="H1605" s="6">
        <v>14.82</v>
      </c>
      <c r="I1605" s="6" cm="1">
        <f t="array" ref="I1605">IFERROR(VALUE(TRIM(LEFT(E1605,MIN(FIND({" ";"g";"k";"m";"o"},E1605&amp;" gkmo"))-1))),0)</f>
        <v>180</v>
      </c>
      <c r="J1605" s="6" t="str" cm="1">
        <f t="array" ref="J1605">IFERROR(TRIM(MID(E1605,MIN(FIND({" ";"g";"k";"m";"o"},E1605&amp;" gkmo")),10)),"unknown")</f>
        <v>g (6 x 30</v>
      </c>
      <c r="K1605" s="6" t="str">
        <f t="shared" si="100"/>
        <v>g</v>
      </c>
      <c r="L1605" s="6" t="str">
        <f t="shared" si="101"/>
        <v>Milka</v>
      </c>
      <c r="M1605" s="6" t="str">
        <f t="shared" si="102"/>
        <v>Chocolat Brownie</v>
      </c>
      <c r="N1605" s="6" t="str">
        <f t="shared" si="103"/>
        <v>Belgium,France</v>
      </c>
    </row>
    <row r="1606" spans="1:14" x14ac:dyDescent="0.25">
      <c r="A1606" s="6" t="s">
        <v>3948</v>
      </c>
      <c r="B1606" s="6">
        <v>13874</v>
      </c>
      <c r="C1606" s="6" t="s">
        <v>7017</v>
      </c>
      <c r="D1606" s="7" t="s">
        <v>3949</v>
      </c>
      <c r="E1606" s="6"/>
      <c r="F1606" s="6" t="s">
        <v>7919</v>
      </c>
      <c r="G1606" s="8">
        <v>45566</v>
      </c>
      <c r="H1606" s="6">
        <v>13.16</v>
      </c>
      <c r="I1606" s="6" cm="1">
        <f t="array" ref="I1606">IFERROR(VALUE(TRIM(LEFT(E1606,MIN(FIND({" ";"g";"k";"m";"o"},E1606&amp;" gkmo"))-1))),0)</f>
        <v>0</v>
      </c>
      <c r="J1606" s="6" t="str" cm="1">
        <f t="array" ref="J1606">IFERROR(TRIM(MID(E1606,MIN(FIND({" ";"g";"k";"m";"o"},E1606&amp;" gkmo")),10)),"unknown")</f>
        <v/>
      </c>
      <c r="K1606" s="6" t="str">
        <f t="shared" si="100"/>
        <v>unknown</v>
      </c>
      <c r="L1606" s="6" t="str">
        <f t="shared" si="101"/>
        <v>Hollywood</v>
      </c>
      <c r="M1606" s="6" t="str">
        <f t="shared" si="102"/>
        <v>Unknown</v>
      </c>
      <c r="N1606" s="6" t="str">
        <f t="shared" si="103"/>
        <v>France, Morocco</v>
      </c>
    </row>
    <row r="1607" spans="1:14" x14ac:dyDescent="0.25">
      <c r="A1607" s="6" t="s">
        <v>3950</v>
      </c>
      <c r="B1607" s="6">
        <v>10381</v>
      </c>
      <c r="C1607" s="6" t="s">
        <v>3951</v>
      </c>
      <c r="D1607" s="7" t="s">
        <v>173</v>
      </c>
      <c r="E1607" s="6" t="s">
        <v>2130</v>
      </c>
      <c r="F1607" s="6" t="s">
        <v>3952</v>
      </c>
      <c r="G1607" s="8">
        <v>45605</v>
      </c>
      <c r="H1607" s="6">
        <v>3.97</v>
      </c>
      <c r="I1607" s="6" cm="1">
        <f t="array" ref="I1607">IFERROR(VALUE(TRIM(LEFT(E1607,MIN(FIND({" ";"g";"k";"m";"o"},E1607&amp;" gkmo"))-1))),0)</f>
        <v>108</v>
      </c>
      <c r="J1607" s="6" t="str" cm="1">
        <f t="array" ref="J1607">IFERROR(TRIM(MID(E1607,MIN(FIND({" ";"g";"k";"m";"o"},E1607&amp;" gkmo")),10)),"unknown")</f>
        <v>g</v>
      </c>
      <c r="K1607" s="6" t="str">
        <f t="shared" si="100"/>
        <v>g</v>
      </c>
      <c r="L1607" s="6" t="str">
        <f t="shared" si="101"/>
        <v>Kinder</v>
      </c>
      <c r="M1607" s="6" t="str">
        <f t="shared" si="102"/>
        <v>Kinder Bueno Mini</v>
      </c>
      <c r="N1607" s="6" t="str">
        <f t="shared" si="103"/>
        <v>Belgium,France,Spain</v>
      </c>
    </row>
    <row r="1608" spans="1:14" x14ac:dyDescent="0.25">
      <c r="A1608" s="6" t="s">
        <v>3953</v>
      </c>
      <c r="B1608" s="6">
        <v>6628</v>
      </c>
      <c r="C1608" s="6" t="s">
        <v>3954</v>
      </c>
      <c r="D1608" s="7" t="s">
        <v>7692</v>
      </c>
      <c r="E1608" s="6" t="s">
        <v>3955</v>
      </c>
      <c r="F1608" s="6" t="s">
        <v>8081</v>
      </c>
      <c r="G1608" s="8">
        <v>46053</v>
      </c>
      <c r="H1608" s="6">
        <v>11.33</v>
      </c>
      <c r="I1608" s="6" cm="1">
        <f t="array" ref="I1608">IFERROR(VALUE(TRIM(LEFT(E1608,MIN(FIND({" ";"g";"k";"m";"o"},E1608&amp;" gkmo"))-1))),0)</f>
        <v>0</v>
      </c>
      <c r="J1608" s="6" t="str" cm="1">
        <f t="array" ref="J1608">IFERROR(TRIM(MID(E1608,MIN(FIND({" ";"g";"k";"m";"o"},E1608&amp;" gkmo")),10)),"unknown")</f>
        <v>known</v>
      </c>
      <c r="K1608" s="6" t="str">
        <f t="shared" si="100"/>
        <v>unknown</v>
      </c>
      <c r="L1608" s="6" t="str">
        <f t="shared" si="101"/>
        <v>Schà¤R</v>
      </c>
      <c r="M1608" s="6" t="str">
        <f t="shared" si="102"/>
        <v>Butterkeks Petit Beurre</v>
      </c>
      <c r="N1608" s="6" t="str">
        <f t="shared" si="103"/>
        <v>France, Germany, Morocco</v>
      </c>
    </row>
    <row r="1609" spans="1:14" x14ac:dyDescent="0.25">
      <c r="A1609" s="6" t="s">
        <v>3956</v>
      </c>
      <c r="B1609" s="6">
        <v>7092</v>
      </c>
      <c r="C1609" s="6" t="s">
        <v>3957</v>
      </c>
      <c r="D1609" s="7" t="s">
        <v>3958</v>
      </c>
      <c r="E1609" s="6" t="s">
        <v>3043</v>
      </c>
      <c r="F1609" s="6" t="s">
        <v>8344</v>
      </c>
      <c r="G1609" s="8">
        <v>45820</v>
      </c>
      <c r="H1609" s="6">
        <v>13.16</v>
      </c>
      <c r="I1609" s="6" cm="1">
        <f t="array" ref="I1609">IFERROR(VALUE(TRIM(LEFT(E1609,MIN(FIND({" ";"g";"k";"m";"o"},E1609&amp;" gkmo"))-1))),0)</f>
        <v>560</v>
      </c>
      <c r="J1609" s="6" t="str" cm="1">
        <f t="array" ref="J1609">IFERROR(TRIM(MID(E1609,MIN(FIND({" ";"g";"k";"m";"o"},E1609&amp;" gkmo")),10)),"unknown")</f>
        <v>g</v>
      </c>
      <c r="K1609" s="6" t="str">
        <f t="shared" si="100"/>
        <v>g</v>
      </c>
      <c r="L1609" s="6" t="str">
        <f t="shared" si="101"/>
        <v>Gran Pavesi</v>
      </c>
      <c r="M1609" s="6" t="str">
        <f t="shared" si="102"/>
        <v>Il Cracker</v>
      </c>
      <c r="N1609" s="6" t="str">
        <f t="shared" si="103"/>
        <v>France, Italie, Switzerland, Be</v>
      </c>
    </row>
    <row r="1610" spans="1:14" x14ac:dyDescent="0.25">
      <c r="A1610" s="6" t="s">
        <v>3959</v>
      </c>
      <c r="B1610" s="6">
        <v>7560</v>
      </c>
      <c r="C1610" s="6" t="s">
        <v>3960</v>
      </c>
      <c r="D1610" s="7" t="s">
        <v>7017</v>
      </c>
      <c r="E1610" s="6" t="s">
        <v>2862</v>
      </c>
      <c r="F1610" s="6" t="s">
        <v>3961</v>
      </c>
      <c r="G1610" s="8">
        <v>45947</v>
      </c>
      <c r="H1610" s="6">
        <v>2.75</v>
      </c>
      <c r="I1610" s="6" cm="1">
        <f t="array" ref="I1610">IFERROR(VALUE(TRIM(LEFT(E1610,MIN(FIND({" ";"g";"k";"m";"o"},E1610&amp;" gkmo"))-1))),0)</f>
        <v>700</v>
      </c>
      <c r="J1610" s="6" t="str" cm="1">
        <f t="array" ref="J1610">IFERROR(TRIM(MID(E1610,MIN(FIND({" ";"g";"k";"m";"o"},E1610&amp;" gkmo")),10)),"unknown")</f>
        <v>g</v>
      </c>
      <c r="K1610" s="6" t="str">
        <f t="shared" si="100"/>
        <v>g</v>
      </c>
      <c r="L1610" s="6" t="str">
        <f t="shared" si="101"/>
        <v>Unknown</v>
      </c>
      <c r="M1610" s="6" t="str">
        <f t="shared" si="102"/>
        <v>Primizie</v>
      </c>
      <c r="N1610" s="6" t="str">
        <f t="shared" si="103"/>
        <v>France, Italy, Germany</v>
      </c>
    </row>
    <row r="1611" spans="1:14" x14ac:dyDescent="0.25">
      <c r="A1611" s="6" t="s">
        <v>3962</v>
      </c>
      <c r="B1611" s="6">
        <v>5746</v>
      </c>
      <c r="C1611" s="6" t="s">
        <v>3963</v>
      </c>
      <c r="D1611" s="7" t="s">
        <v>3964</v>
      </c>
      <c r="E1611" s="6" t="s">
        <v>3965</v>
      </c>
      <c r="F1611" s="6" t="s">
        <v>7573</v>
      </c>
      <c r="G1611" s="8">
        <v>46045</v>
      </c>
      <c r="H1611" s="6">
        <v>20.47</v>
      </c>
      <c r="I1611" s="6" cm="1">
        <f t="array" ref="I1611">IFERROR(VALUE(TRIM(LEFT(E1611,MIN(FIND({" ";"g";"k";"m";"o"},E1611&amp;" gkmo"))-1))),0)</f>
        <v>210</v>
      </c>
      <c r="J1611" s="6" t="str" cm="1">
        <f t="array" ref="J1611">IFERROR(TRIM(MID(E1611,MIN(FIND({" ";"g";"k";"m";"o"},E1611&amp;" gkmo")),10)),"unknown")</f>
        <v>g (5 x 42</v>
      </c>
      <c r="K1611" s="6" t="str">
        <f t="shared" si="100"/>
        <v>g</v>
      </c>
      <c r="L1611" s="6" t="str">
        <f t="shared" si="101"/>
        <v>Nature Valley,General Mills</v>
      </c>
      <c r="M1611" s="6" t="str">
        <f t="shared" si="102"/>
        <v>Crunchy Avena Y Miel</v>
      </c>
      <c r="N1611" s="6" t="str">
        <f t="shared" si="103"/>
        <v>Portugal,Espaà±A</v>
      </c>
    </row>
    <row r="1612" spans="1:14" x14ac:dyDescent="0.25">
      <c r="A1612" s="6" t="s">
        <v>3966</v>
      </c>
      <c r="B1612" s="6">
        <v>9672</v>
      </c>
      <c r="C1612" s="6" t="s">
        <v>3967</v>
      </c>
      <c r="D1612" s="7" t="s">
        <v>7017</v>
      </c>
      <c r="E1612" s="6" t="s">
        <v>57</v>
      </c>
      <c r="F1612" s="6" t="s">
        <v>3968</v>
      </c>
      <c r="G1612" s="8">
        <v>45738</v>
      </c>
      <c r="H1612" s="6">
        <v>13.16</v>
      </c>
      <c r="I1612" s="6" cm="1">
        <f t="array" ref="I1612">IFERROR(VALUE(TRIM(LEFT(E1612,MIN(FIND({" ";"g";"k";"m";"o"},E1612&amp;" gkmo"))-1))),0)</f>
        <v>275</v>
      </c>
      <c r="J1612" s="6" t="str" cm="1">
        <f t="array" ref="J1612">IFERROR(TRIM(MID(E1612,MIN(FIND({" ";"g";"k";"m";"o"},E1612&amp;" gkmo")),10)),"unknown")</f>
        <v>g</v>
      </c>
      <c r="K1612" s="6" t="str">
        <f t="shared" si="100"/>
        <v>g</v>
      </c>
      <c r="L1612" s="6" t="str">
        <f t="shared" si="101"/>
        <v>Unknown</v>
      </c>
      <c r="M1612" s="6" t="str">
        <f t="shared" si="102"/>
        <v>Naturel Chips</v>
      </c>
      <c r="N1612" s="6" t="str">
        <f t="shared" si="103"/>
        <v>Belgium,Netherlands</v>
      </c>
    </row>
    <row r="1613" spans="1:14" x14ac:dyDescent="0.25">
      <c r="A1613" s="6" t="s">
        <v>3969</v>
      </c>
      <c r="B1613" s="6">
        <v>8800</v>
      </c>
      <c r="C1613" s="6" t="s">
        <v>3970</v>
      </c>
      <c r="D1613" s="7" t="s">
        <v>1355</v>
      </c>
      <c r="E1613" s="6" t="s">
        <v>3971</v>
      </c>
      <c r="F1613" s="6" t="s">
        <v>2682</v>
      </c>
      <c r="G1613" s="8">
        <v>45767</v>
      </c>
      <c r="H1613" s="6">
        <v>8.64</v>
      </c>
      <c r="I1613" s="6" cm="1">
        <f t="array" ref="I1613">IFERROR(VALUE(TRIM(LEFT(E1613,MIN(FIND({" ";"g";"k";"m";"o"},E1613&amp;" gkmo"))-1))),0)</f>
        <v>8</v>
      </c>
      <c r="J1613" s="6" t="str" cm="1">
        <f t="array" ref="J1613">IFERROR(TRIM(MID(E1613,MIN(FIND({" ";"g";"k";"m";"o"},E1613&amp;" gkmo")),10)),"unknown")</f>
        <v>OZ (226.8</v>
      </c>
      <c r="K1613" s="6" t="str">
        <f t="shared" si="100"/>
        <v>g</v>
      </c>
      <c r="L1613" s="6" t="str">
        <f t="shared" si="101"/>
        <v>Lay'S</v>
      </c>
      <c r="M1613" s="6" t="str">
        <f t="shared" si="102"/>
        <v>Classic</v>
      </c>
      <c r="N1613" s="6" t="str">
        <f t="shared" si="103"/>
        <v>United States</v>
      </c>
    </row>
    <row r="1614" spans="1:14" x14ac:dyDescent="0.25">
      <c r="A1614" s="6" t="s">
        <v>3972</v>
      </c>
      <c r="B1614" s="6">
        <v>10442</v>
      </c>
      <c r="C1614" s="6" t="s">
        <v>3973</v>
      </c>
      <c r="D1614" s="7" t="s">
        <v>1304</v>
      </c>
      <c r="E1614" s="6" t="s">
        <v>3974</v>
      </c>
      <c r="F1614" s="6" t="s">
        <v>48</v>
      </c>
      <c r="G1614" s="8">
        <v>45477</v>
      </c>
      <c r="H1614" s="6">
        <v>14.15</v>
      </c>
      <c r="I1614" s="6" cm="1">
        <f t="array" ref="I1614">IFERROR(VALUE(TRIM(LEFT(E1614,MIN(FIND({" ";"g";"k";"m";"o"},E1614&amp;" gkmo"))-1))),0)</f>
        <v>24</v>
      </c>
      <c r="J1614" s="6" t="str" cm="1">
        <f t="array" ref="J1614">IFERROR(TRIM(MID(E1614,MIN(FIND({" ";"g";"k";"m";"o"},E1614&amp;" gkmo")),10)),"unknown")</f>
        <v>g</v>
      </c>
      <c r="K1614" s="6" t="str">
        <f t="shared" si="100"/>
        <v>g</v>
      </c>
      <c r="L1614" s="6" t="str">
        <f t="shared" si="101"/>
        <v>Tiffany</v>
      </c>
      <c r="M1614" s="6" t="str">
        <f t="shared" si="102"/>
        <v>Team Up</v>
      </c>
      <c r="N1614" s="6" t="str">
        <f t="shared" si="103"/>
        <v>Morocco</v>
      </c>
    </row>
    <row r="1615" spans="1:14" x14ac:dyDescent="0.25">
      <c r="A1615" s="6" t="s">
        <v>3975</v>
      </c>
      <c r="B1615" s="6">
        <v>13903</v>
      </c>
      <c r="C1615" s="6" t="s">
        <v>3976</v>
      </c>
      <c r="D1615" s="7" t="s">
        <v>7578</v>
      </c>
      <c r="E1615" s="6"/>
      <c r="F1615" s="6" t="s">
        <v>139</v>
      </c>
      <c r="G1615" s="8">
        <v>45985</v>
      </c>
      <c r="H1615" s="6">
        <v>4.38</v>
      </c>
      <c r="I1615" s="6" cm="1">
        <f t="array" ref="I1615">IFERROR(VALUE(TRIM(LEFT(E1615,MIN(FIND({" ";"g";"k";"m";"o"},E1615&amp;" gkmo"))-1))),0)</f>
        <v>0</v>
      </c>
      <c r="J1615" s="6" t="str" cm="1">
        <f t="array" ref="J1615">IFERROR(TRIM(MID(E1615,MIN(FIND({" ";"g";"k";"m";"o"},E1615&amp;" gkmo")),10)),"unknown")</f>
        <v/>
      </c>
      <c r="K1615" s="6" t="str">
        <f t="shared" si="100"/>
        <v>unknown</v>
      </c>
      <c r="L1615" s="6" t="str">
        <f t="shared" si="101"/>
        <v>Gullà³N</v>
      </c>
      <c r="M1615" s="6" t="str">
        <f t="shared" si="102"/>
        <v>Gullon Cookies</v>
      </c>
      <c r="N1615" s="6" t="str">
        <f t="shared" si="103"/>
        <v>France</v>
      </c>
    </row>
    <row r="1616" spans="1:14" x14ac:dyDescent="0.25">
      <c r="A1616" s="6" t="s">
        <v>3977</v>
      </c>
      <c r="B1616" s="6">
        <v>12318</v>
      </c>
      <c r="C1616" s="6" t="s">
        <v>7752</v>
      </c>
      <c r="D1616" s="7" t="s">
        <v>3978</v>
      </c>
      <c r="E1616" s="6" t="s">
        <v>28</v>
      </c>
      <c r="F1616" s="6" t="s">
        <v>1356</v>
      </c>
      <c r="G1616" s="8">
        <v>45425</v>
      </c>
      <c r="H1616" s="6">
        <v>23.89</v>
      </c>
      <c r="I1616" s="6" cm="1">
        <f t="array" ref="I1616">IFERROR(VALUE(TRIM(LEFT(E1616,MIN(FIND({" ";"g";"k";"m";"o"},E1616&amp;" gkmo"))-1))),0)</f>
        <v>125</v>
      </c>
      <c r="J1616" s="6" t="str" cm="1">
        <f t="array" ref="J1616">IFERROR(TRIM(MID(E1616,MIN(FIND({" ";"g";"k";"m";"o"},E1616&amp;" gkmo")),10)),"unknown")</f>
        <v>g</v>
      </c>
      <c r="K1616" s="6" t="str">
        <f t="shared" si="100"/>
        <v>g</v>
      </c>
      <c r="L1616" s="6" t="str">
        <f t="shared" si="101"/>
        <v>Aldi, Aldi Moser Roth, Moser Roth</v>
      </c>
      <c r="M1616" s="6" t="str">
        <f t="shared" si="102"/>
        <v>Sà¼Àÿes, Schokolade Edelbitter 85%</v>
      </c>
      <c r="N1616" s="6" t="str">
        <f t="shared" si="103"/>
        <v>France,Germany</v>
      </c>
    </row>
    <row r="1617" spans="1:14" x14ac:dyDescent="0.25">
      <c r="A1617" s="6" t="s">
        <v>3979</v>
      </c>
      <c r="B1617" s="6">
        <v>11750</v>
      </c>
      <c r="C1617" s="6" t="s">
        <v>3980</v>
      </c>
      <c r="D1617" s="7" t="s">
        <v>7480</v>
      </c>
      <c r="E1617" s="6" t="s">
        <v>1309</v>
      </c>
      <c r="F1617" s="6" t="s">
        <v>139</v>
      </c>
      <c r="G1617" s="8">
        <v>45756</v>
      </c>
      <c r="H1617" s="6">
        <v>10.72</v>
      </c>
      <c r="I1617" s="6" cm="1">
        <f t="array" ref="I1617">IFERROR(VALUE(TRIM(LEFT(E1617,MIN(FIND({" ";"g";"k";"m";"o"},E1617&amp;" gkmo"))-1))),0)</f>
        <v>300</v>
      </c>
      <c r="J1617" s="6" t="str" cm="1">
        <f t="array" ref="J1617">IFERROR(TRIM(MID(E1617,MIN(FIND({" ";"g";"k";"m";"o"},E1617&amp;" gkmo")),10)),"unknown")</f>
        <v>g</v>
      </c>
      <c r="K1617" s="6" t="str">
        <f t="shared" si="100"/>
        <v>g</v>
      </c>
      <c r="L1617" s="6" t="str">
        <f t="shared" si="101"/>
        <v>Marque Repère, P'Tit Déli</v>
      </c>
      <c r="M1617" s="6" t="str">
        <f t="shared" si="102"/>
        <v>Croc Break</v>
      </c>
      <c r="N1617" s="6" t="str">
        <f t="shared" si="103"/>
        <v>France</v>
      </c>
    </row>
    <row r="1618" spans="1:14" x14ac:dyDescent="0.25">
      <c r="A1618" s="6" t="s">
        <v>3981</v>
      </c>
      <c r="B1618" s="6">
        <v>13590</v>
      </c>
      <c r="C1618" s="6" t="s">
        <v>3982</v>
      </c>
      <c r="D1618" s="7" t="s">
        <v>1277</v>
      </c>
      <c r="E1618" s="6"/>
      <c r="F1618" s="6" t="s">
        <v>177</v>
      </c>
      <c r="G1618" s="8">
        <v>45545</v>
      </c>
      <c r="H1618" s="6">
        <v>13.16</v>
      </c>
      <c r="I1618" s="6" cm="1">
        <f t="array" ref="I1618">IFERROR(VALUE(TRIM(LEFT(E1618,MIN(FIND({" ";"g";"k";"m";"o"},E1618&amp;" gkmo"))-1))),0)</f>
        <v>0</v>
      </c>
      <c r="J1618" s="6" t="str" cm="1">
        <f t="array" ref="J1618">IFERROR(TRIM(MID(E1618,MIN(FIND({" ";"g";"k";"m";"o"},E1618&amp;" gkmo")),10)),"unknown")</f>
        <v/>
      </c>
      <c r="K1618" s="6" t="str">
        <f t="shared" si="100"/>
        <v>unknown</v>
      </c>
      <c r="L1618" s="6" t="str">
        <f t="shared" si="101"/>
        <v>Deluxe</v>
      </c>
      <c r="M1618" s="6" t="str">
        <f t="shared" si="102"/>
        <v>Creamy Coleslaw</v>
      </c>
      <c r="N1618" s="6" t="str">
        <f t="shared" si="103"/>
        <v>United Kingdom</v>
      </c>
    </row>
    <row r="1619" spans="1:14" x14ac:dyDescent="0.25">
      <c r="A1619" s="6" t="s">
        <v>3983</v>
      </c>
      <c r="B1619" s="6">
        <v>7896</v>
      </c>
      <c r="C1619" s="6" t="s">
        <v>7753</v>
      </c>
      <c r="D1619" s="7" t="s">
        <v>7543</v>
      </c>
      <c r="E1619" s="6" t="s">
        <v>982</v>
      </c>
      <c r="F1619" s="6" t="s">
        <v>1092</v>
      </c>
      <c r="G1619" s="8">
        <v>45556</v>
      </c>
      <c r="H1619" s="6">
        <v>24.19</v>
      </c>
      <c r="I1619" s="6" cm="1">
        <f t="array" ref="I1619">IFERROR(VALUE(TRIM(LEFT(E1619,MIN(FIND({" ";"g";"k";"m";"o"},E1619&amp;" gkmo"))-1))),0)</f>
        <v>126</v>
      </c>
      <c r="J1619" s="6" t="str" cm="1">
        <f t="array" ref="J1619">IFERROR(TRIM(MID(E1619,MIN(FIND({" ";"g";"k";"m";"o"},E1619&amp;" gkmo")),10)),"unknown")</f>
        <v>g</v>
      </c>
      <c r="K1619" s="6" t="str">
        <f t="shared" si="100"/>
        <v>g</v>
      </c>
      <c r="L1619" s="6" t="str">
        <f t="shared" si="101"/>
        <v>Grainéa</v>
      </c>
      <c r="M1619" s="6" t="str">
        <f t="shared" si="102"/>
        <v>Grainéa Abricot Barres Aux 5 Céréales Maà®S,Blé, Seigle, Riz X 6 Barres</v>
      </c>
      <c r="N1619" s="6" t="str">
        <f t="shared" si="103"/>
        <v>Frankrijk</v>
      </c>
    </row>
    <row r="1620" spans="1:14" x14ac:dyDescent="0.25">
      <c r="A1620" s="6" t="s">
        <v>3984</v>
      </c>
      <c r="B1620" s="6">
        <v>5437</v>
      </c>
      <c r="C1620" s="6" t="s">
        <v>3985</v>
      </c>
      <c r="D1620" s="7" t="s">
        <v>3986</v>
      </c>
      <c r="E1620" s="6" t="s">
        <v>304</v>
      </c>
      <c r="F1620" s="6" t="s">
        <v>8082</v>
      </c>
      <c r="G1620" s="8">
        <v>45780</v>
      </c>
      <c r="H1620" s="6">
        <v>11.2</v>
      </c>
      <c r="I1620" s="6" cm="1">
        <f t="array" ref="I1620">IFERROR(VALUE(TRIM(LEFT(E1620,MIN(FIND({" ";"g";"k";"m";"o"},E1620&amp;" gkmo"))-1))),0)</f>
        <v>135</v>
      </c>
      <c r="J1620" s="6" t="str" cm="1">
        <f t="array" ref="J1620">IFERROR(TRIM(MID(E1620,MIN(FIND({" ";"g";"k";"m";"o"},E1620&amp;" gkmo")),10)),"unknown")</f>
        <v>g</v>
      </c>
      <c r="K1620" s="6" t="str">
        <f t="shared" si="100"/>
        <v>g</v>
      </c>
      <c r="L1620" s="6" t="str">
        <f t="shared" si="101"/>
        <v>Mister Free'D</v>
      </c>
      <c r="M1620" s="6" t="str">
        <f t="shared" si="102"/>
        <v>Tortilla Chips Avocado Guacamole Flavour</v>
      </c>
      <c r="N1620" s="6" t="str">
        <f t="shared" si="103"/>
        <v>Germany, Ireland, United-Kingdom</v>
      </c>
    </row>
    <row r="1621" spans="1:14" x14ac:dyDescent="0.25">
      <c r="A1621" s="6" t="s">
        <v>3987</v>
      </c>
      <c r="B1621" s="6">
        <v>9748</v>
      </c>
      <c r="C1621" s="6" t="s">
        <v>7754</v>
      </c>
      <c r="D1621" s="7" t="s">
        <v>3988</v>
      </c>
      <c r="E1621" s="6" t="s">
        <v>1396</v>
      </c>
      <c r="F1621" s="6" t="s">
        <v>1986</v>
      </c>
      <c r="G1621" s="8">
        <v>45620</v>
      </c>
      <c r="H1621" s="6">
        <v>10.28</v>
      </c>
      <c r="I1621" s="6" cm="1">
        <f t="array" ref="I1621">IFERROR(VALUE(TRIM(LEFT(E1621,MIN(FIND({" ";"g";"k";"m";"o"},E1621&amp;" gkmo"))-1))),0)</f>
        <v>600</v>
      </c>
      <c r="J1621" s="6" t="str" cm="1">
        <f t="array" ref="J1621">IFERROR(TRIM(MID(E1621,MIN(FIND({" ";"g";"k";"m";"o"},E1621&amp;" gkmo")),10)),"unknown")</f>
        <v>g</v>
      </c>
      <c r="K1621" s="6" t="str">
        <f t="shared" si="100"/>
        <v>g</v>
      </c>
      <c r="L1621" s="6" t="str">
        <f t="shared" si="101"/>
        <v>Wintertraum,Borggreve</v>
      </c>
      <c r="M1621" s="6" t="str">
        <f t="shared" si="102"/>
        <v>Gewà¼Rz-Spekulatius</v>
      </c>
      <c r="N1621" s="6" t="str">
        <f t="shared" si="103"/>
        <v>Deutschland</v>
      </c>
    </row>
    <row r="1622" spans="1:14" x14ac:dyDescent="0.25">
      <c r="A1622" s="6" t="s">
        <v>3989</v>
      </c>
      <c r="B1622" s="6">
        <v>9861</v>
      </c>
      <c r="C1622" s="6" t="s">
        <v>3990</v>
      </c>
      <c r="D1622" s="7" t="s">
        <v>3991</v>
      </c>
      <c r="E1622" s="6"/>
      <c r="F1622" s="6" t="s">
        <v>8083</v>
      </c>
      <c r="G1622" s="8">
        <v>45926</v>
      </c>
      <c r="H1622" s="6">
        <v>18.559999999999999</v>
      </c>
      <c r="I1622" s="6" cm="1">
        <f t="array" ref="I1622">IFERROR(VALUE(TRIM(LEFT(E1622,MIN(FIND({" ";"g";"k";"m";"o"},E1622&amp;" gkmo"))-1))),0)</f>
        <v>0</v>
      </c>
      <c r="J1622" s="6" t="str" cm="1">
        <f t="array" ref="J1622">IFERROR(TRIM(MID(E1622,MIN(FIND({" ";"g";"k";"m";"o"},E1622&amp;" gkmo")),10)),"unknown")</f>
        <v/>
      </c>
      <c r="K1622" s="6" t="str">
        <f t="shared" si="100"/>
        <v>unknown</v>
      </c>
      <c r="L1622" s="6" t="str">
        <f t="shared" si="101"/>
        <v>Late July</v>
      </c>
      <c r="M1622" s="6" t="str">
        <f t="shared" si="102"/>
        <v>Organic Sea Salt Thin &amp; Crispy Tortilla Chips</v>
      </c>
      <c r="N1622" s="6" t="str">
        <f t="shared" si="103"/>
        <v>Us, World</v>
      </c>
    </row>
    <row r="1623" spans="1:14" x14ac:dyDescent="0.25">
      <c r="A1623" s="6" t="s">
        <v>3992</v>
      </c>
      <c r="B1623" s="6">
        <v>9652</v>
      </c>
      <c r="C1623" s="6" t="s">
        <v>7544</v>
      </c>
      <c r="D1623" s="7" t="s">
        <v>854</v>
      </c>
      <c r="E1623" s="6" t="s">
        <v>3993</v>
      </c>
      <c r="F1623" s="6" t="s">
        <v>8283</v>
      </c>
      <c r="G1623" s="8">
        <v>45949</v>
      </c>
      <c r="H1623" s="6">
        <v>24.92</v>
      </c>
      <c r="I1623" s="6" cm="1">
        <f t="array" ref="I1623">IFERROR(VALUE(TRIM(LEFT(E1623,MIN(FIND({" ";"g";"k";"m";"o"},E1623&amp;" gkmo"))-1))),0)</f>
        <v>170</v>
      </c>
      <c r="J1623" s="6" t="str" cm="1">
        <f t="array" ref="J1623">IFERROR(TRIM(MID(E1623,MIN(FIND({" ";"g";"k";"m";"o"},E1623&amp;" gkmo")),10)),"unknown")</f>
        <v>g (3 x 56</v>
      </c>
      <c r="K1623" s="6" t="str">
        <f t="shared" si="100"/>
        <v>g</v>
      </c>
      <c r="L1623" s="6" t="str">
        <f t="shared" si="101"/>
        <v>Carrefour</v>
      </c>
      <c r="M1623" s="6" t="str">
        <f t="shared" si="102"/>
        <v>Biscuits Épeautre Et Sésame</v>
      </c>
      <c r="N1623" s="6" t="str">
        <f t="shared" si="103"/>
        <v>France, Italie, Spain</v>
      </c>
    </row>
    <row r="1624" spans="1:14" x14ac:dyDescent="0.25">
      <c r="A1624" s="6" t="s">
        <v>3994</v>
      </c>
      <c r="B1624" s="6">
        <v>8711</v>
      </c>
      <c r="C1624" s="6" t="s">
        <v>7268</v>
      </c>
      <c r="D1624" s="7" t="s">
        <v>3594</v>
      </c>
      <c r="E1624" s="6" t="s">
        <v>335</v>
      </c>
      <c r="F1624" s="6" t="s">
        <v>139</v>
      </c>
      <c r="G1624" s="8">
        <v>45550</v>
      </c>
      <c r="H1624" s="6">
        <v>22.74</v>
      </c>
      <c r="I1624" s="6" cm="1">
        <f t="array" ref="I1624">IFERROR(VALUE(TRIM(LEFT(E1624,MIN(FIND({" ";"g";"k";"m";"o"},E1624&amp;" gkmo"))-1))),0)</f>
        <v>250</v>
      </c>
      <c r="J1624" s="6" t="str" cm="1">
        <f t="array" ref="J1624">IFERROR(TRIM(MID(E1624,MIN(FIND({" ";"g";"k";"m";"o"},E1624&amp;" gkmo")),10)),"unknown")</f>
        <v>g</v>
      </c>
      <c r="K1624" s="6" t="str">
        <f t="shared" si="100"/>
        <v>g</v>
      </c>
      <c r="L1624" s="6" t="str">
        <f t="shared" si="101"/>
        <v>U</v>
      </c>
      <c r="M1624" s="6" t="str">
        <f t="shared" si="102"/>
        <v>Tartines Grillées Craquantes Au Froment 250G</v>
      </c>
      <c r="N1624" s="6" t="str">
        <f t="shared" si="103"/>
        <v>France</v>
      </c>
    </row>
    <row r="1625" spans="1:14" x14ac:dyDescent="0.25">
      <c r="A1625" s="6" t="s">
        <v>3995</v>
      </c>
      <c r="B1625" s="6">
        <v>14599</v>
      </c>
      <c r="C1625" s="6" t="s">
        <v>3996</v>
      </c>
      <c r="D1625" s="7" t="s">
        <v>3537</v>
      </c>
      <c r="E1625" s="6" t="s">
        <v>291</v>
      </c>
      <c r="F1625" s="6" t="s">
        <v>177</v>
      </c>
      <c r="G1625" s="8">
        <v>45498</v>
      </c>
      <c r="H1625" s="6">
        <v>12.79</v>
      </c>
      <c r="I1625" s="6" cm="1">
        <f t="array" ref="I1625">IFERROR(VALUE(TRIM(LEFT(E1625,MIN(FIND({" ";"g";"k";"m";"o"},E1625&amp;" gkmo"))-1))),0)</f>
        <v>140</v>
      </c>
      <c r="J1625" s="6" t="str" cm="1">
        <f t="array" ref="J1625">IFERROR(TRIM(MID(E1625,MIN(FIND({" ";"g";"k";"m";"o"},E1625&amp;" gkmo")),10)),"unknown")</f>
        <v>g</v>
      </c>
      <c r="K1625" s="6" t="str">
        <f t="shared" si="100"/>
        <v>g</v>
      </c>
      <c r="L1625" s="6" t="str">
        <f t="shared" si="101"/>
        <v>Candy Kittens</v>
      </c>
      <c r="M1625" s="6" t="str">
        <f t="shared" si="102"/>
        <v>Sour Watermelon</v>
      </c>
      <c r="N1625" s="6" t="str">
        <f t="shared" si="103"/>
        <v>United Kingdom</v>
      </c>
    </row>
    <row r="1626" spans="1:14" x14ac:dyDescent="0.25">
      <c r="A1626" s="6" t="s">
        <v>3997</v>
      </c>
      <c r="B1626" s="6">
        <v>12701</v>
      </c>
      <c r="C1626" s="6" t="s">
        <v>3998</v>
      </c>
      <c r="D1626" s="7" t="s">
        <v>3999</v>
      </c>
      <c r="E1626" s="6" t="s">
        <v>18</v>
      </c>
      <c r="F1626" s="6" t="s">
        <v>8084</v>
      </c>
      <c r="G1626" s="8">
        <v>45866</v>
      </c>
      <c r="H1626" s="6">
        <v>4.13</v>
      </c>
      <c r="I1626" s="6" cm="1">
        <f t="array" ref="I1626">IFERROR(VALUE(TRIM(LEFT(E1626,MIN(FIND({" ";"g";"k";"m";"o"},E1626&amp;" gkmo"))-1))),0)</f>
        <v>100</v>
      </c>
      <c r="J1626" s="6" t="str" cm="1">
        <f t="array" ref="J1626">IFERROR(TRIM(MID(E1626,MIN(FIND({" ";"g";"k";"m";"o"},E1626&amp;" gkmo")),10)),"unknown")</f>
        <v>g</v>
      </c>
      <c r="K1626" s="6" t="str">
        <f t="shared" si="100"/>
        <v>g</v>
      </c>
      <c r="L1626" s="6" t="str">
        <f t="shared" si="101"/>
        <v>Ritter Sport</v>
      </c>
      <c r="M1626" s="6" t="str">
        <f t="shared" si="102"/>
        <v>Schokolade Halbbitter</v>
      </c>
      <c r="N1626" s="6" t="str">
        <f t="shared" si="103"/>
        <v>Germany, Morocco</v>
      </c>
    </row>
    <row r="1627" spans="1:14" x14ac:dyDescent="0.25">
      <c r="A1627" s="6" t="s">
        <v>4000</v>
      </c>
      <c r="B1627" s="6">
        <v>13938</v>
      </c>
      <c r="C1627" s="6" t="s">
        <v>4001</v>
      </c>
      <c r="D1627" s="7" t="s">
        <v>7017</v>
      </c>
      <c r="E1627" s="6" t="s">
        <v>64</v>
      </c>
      <c r="F1627" s="6" t="s">
        <v>1986</v>
      </c>
      <c r="G1627" s="8">
        <v>46019</v>
      </c>
      <c r="H1627" s="6">
        <v>22.38</v>
      </c>
      <c r="I1627" s="6" cm="1">
        <f t="array" ref="I1627">IFERROR(VALUE(TRIM(LEFT(E1627,MIN(FIND({" ";"g";"k";"m";"o"},E1627&amp;" gkmo"))-1))),0)</f>
        <v>150</v>
      </c>
      <c r="J1627" s="6" t="str" cm="1">
        <f t="array" ref="J1627">IFERROR(TRIM(MID(E1627,MIN(FIND({" ";"g";"k";"m";"o"},E1627&amp;" gkmo")),10)),"unknown")</f>
        <v>g</v>
      </c>
      <c r="K1627" s="6" t="str">
        <f t="shared" si="100"/>
        <v>g</v>
      </c>
      <c r="L1627" s="6" t="str">
        <f t="shared" si="101"/>
        <v>Unknown</v>
      </c>
      <c r="M1627" s="6" t="str">
        <f t="shared" si="102"/>
        <v>Crunchips Paprika</v>
      </c>
      <c r="N1627" s="6" t="str">
        <f t="shared" si="103"/>
        <v>Deutschland</v>
      </c>
    </row>
    <row r="1628" spans="1:14" x14ac:dyDescent="0.25">
      <c r="A1628" s="6" t="s">
        <v>4002</v>
      </c>
      <c r="B1628" s="6">
        <v>13481</v>
      </c>
      <c r="C1628" s="6" t="s">
        <v>4003</v>
      </c>
      <c r="D1628" s="7" t="s">
        <v>854</v>
      </c>
      <c r="E1628" s="6" t="s">
        <v>855</v>
      </c>
      <c r="F1628" s="6" t="s">
        <v>8019</v>
      </c>
      <c r="G1628" s="8">
        <v>45408</v>
      </c>
      <c r="H1628" s="6">
        <v>8.9600000000000009</v>
      </c>
      <c r="I1628" s="6" cm="1">
        <f t="array" ref="I1628">IFERROR(VALUE(TRIM(LEFT(E1628,MIN(FIND({" ";"g";"k";"m";"o"},E1628&amp;" gkmo"))-1))),0)</f>
        <v>80</v>
      </c>
      <c r="J1628" s="6" t="str" cm="1">
        <f t="array" ref="J1628">IFERROR(TRIM(MID(E1628,MIN(FIND({" ";"g";"k";"m";"o"},E1628&amp;" gkmo")),10)),"unknown")</f>
        <v>g</v>
      </c>
      <c r="K1628" s="6" t="str">
        <f t="shared" si="100"/>
        <v>g</v>
      </c>
      <c r="L1628" s="6" t="str">
        <f t="shared" si="101"/>
        <v>Carrefour</v>
      </c>
      <c r="M1628" s="6" t="str">
        <f t="shared" si="102"/>
        <v>85% Cacao Noir</v>
      </c>
      <c r="N1628" s="6" t="str">
        <f t="shared" si="103"/>
        <v>France, Italy, Spain, Morocco</v>
      </c>
    </row>
    <row r="1629" spans="1:14" x14ac:dyDescent="0.25">
      <c r="A1629" s="6" t="s">
        <v>4004</v>
      </c>
      <c r="B1629" s="6">
        <v>13496</v>
      </c>
      <c r="C1629" s="6" t="s">
        <v>4005</v>
      </c>
      <c r="D1629" s="7" t="s">
        <v>7269</v>
      </c>
      <c r="E1629" s="6" t="s">
        <v>4006</v>
      </c>
      <c r="F1629" s="6" t="s">
        <v>8285</v>
      </c>
      <c r="G1629" s="8">
        <v>45955</v>
      </c>
      <c r="H1629" s="6">
        <v>17.27</v>
      </c>
      <c r="I1629" s="6" cm="1">
        <f t="array" ref="I1629">IFERROR(VALUE(TRIM(LEFT(E1629,MIN(FIND({" ";"g";"k";"m";"o"},E1629&amp;" gkmo"))-1))),0)</f>
        <v>4</v>
      </c>
      <c r="J1629" s="6" t="str" cm="1">
        <f t="array" ref="J1629">IFERROR(TRIM(MID(E1629,MIN(FIND({" ";"g";"k";"m";"o"},E1629&amp;" gkmo")),10)),"unknown")</f>
        <v>x 20 g</v>
      </c>
      <c r="K1629" s="6" t="str">
        <f t="shared" si="100"/>
        <v>g</v>
      </c>
      <c r="L1629" s="6" t="str">
        <f t="shared" si="101"/>
        <v>Nestlé, Nestle Fitness No Added Sugar Protein Cocoa, Nestle</v>
      </c>
      <c r="M1629" s="6" t="str">
        <f t="shared" si="102"/>
        <v>Nestle Fitness Cocoa Protein Bar Multipack (</v>
      </c>
      <c r="N1629" s="6" t="str">
        <f t="shared" si="103"/>
        <v>Germany,Spain</v>
      </c>
    </row>
    <row r="1630" spans="1:14" x14ac:dyDescent="0.25">
      <c r="A1630" s="6" t="s">
        <v>4007</v>
      </c>
      <c r="B1630" s="6">
        <v>11314</v>
      </c>
      <c r="C1630" s="6" t="s">
        <v>4008</v>
      </c>
      <c r="D1630" s="7" t="s">
        <v>4009</v>
      </c>
      <c r="E1630" s="6" t="s">
        <v>10</v>
      </c>
      <c r="F1630" s="6" t="s">
        <v>139</v>
      </c>
      <c r="G1630" s="8">
        <v>45904</v>
      </c>
      <c r="H1630" s="6">
        <v>14.02</v>
      </c>
      <c r="I1630" s="6" cm="1">
        <f t="array" ref="I1630">IFERROR(VALUE(TRIM(LEFT(E1630,MIN(FIND({" ";"g";"k";"m";"o"},E1630&amp;" gkmo"))-1))),0)</f>
        <v>100</v>
      </c>
      <c r="J1630" s="6" t="str" cm="1">
        <f t="array" ref="J1630">IFERROR(TRIM(MID(E1630,MIN(FIND({" ";"g";"k";"m";"o"},E1630&amp;" gkmo")),10)),"unknown")</f>
        <v>g</v>
      </c>
      <c r="K1630" s="6" t="str">
        <f t="shared" si="100"/>
        <v>g</v>
      </c>
      <c r="L1630" s="6" t="str">
        <f t="shared" si="101"/>
        <v>Glico, Lu, Mikado, Mondelez</v>
      </c>
      <c r="M1630" s="6" t="str">
        <f t="shared" si="102"/>
        <v>Mikado</v>
      </c>
      <c r="N1630" s="6" t="str">
        <f t="shared" si="103"/>
        <v>France</v>
      </c>
    </row>
    <row r="1631" spans="1:14" x14ac:dyDescent="0.25">
      <c r="A1631" s="6" t="s">
        <v>4010</v>
      </c>
      <c r="B1631" s="6">
        <v>7304</v>
      </c>
      <c r="C1631" s="6" t="s">
        <v>4011</v>
      </c>
      <c r="D1631" s="7" t="s">
        <v>4012</v>
      </c>
      <c r="E1631" s="6" t="s">
        <v>335</v>
      </c>
      <c r="F1631" s="6" t="s">
        <v>139</v>
      </c>
      <c r="G1631" s="8">
        <v>45705</v>
      </c>
      <c r="H1631" s="6">
        <v>24.26</v>
      </c>
      <c r="I1631" s="6" cm="1">
        <f t="array" ref="I1631">IFERROR(VALUE(TRIM(LEFT(E1631,MIN(FIND({" ";"g";"k";"m";"o"},E1631&amp;" gkmo"))-1))),0)</f>
        <v>250</v>
      </c>
      <c r="J1631" s="6" t="str" cm="1">
        <f t="array" ref="J1631">IFERROR(TRIM(MID(E1631,MIN(FIND({" ";"g";"k";"m";"o"},E1631&amp;" gkmo")),10)),"unknown")</f>
        <v>g</v>
      </c>
      <c r="K1631" s="6" t="str">
        <f t="shared" si="100"/>
        <v>g</v>
      </c>
      <c r="L1631" s="6" t="str">
        <f t="shared" si="101"/>
        <v>Rigoni Di Asiago</v>
      </c>
      <c r="M1631" s="6" t="str">
        <f t="shared" si="102"/>
        <v>Nocciolata</v>
      </c>
      <c r="N1631" s="6" t="str">
        <f t="shared" si="103"/>
        <v>France</v>
      </c>
    </row>
    <row r="1632" spans="1:14" x14ac:dyDescent="0.25">
      <c r="A1632" s="6" t="s">
        <v>4013</v>
      </c>
      <c r="B1632" s="6">
        <v>7736</v>
      </c>
      <c r="C1632" s="6" t="s">
        <v>4014</v>
      </c>
      <c r="D1632" s="7" t="s">
        <v>578</v>
      </c>
      <c r="E1632" s="6" t="s">
        <v>18</v>
      </c>
      <c r="F1632" s="6" t="s">
        <v>177</v>
      </c>
      <c r="G1632" s="8">
        <v>45505</v>
      </c>
      <c r="H1632" s="6">
        <v>12.48</v>
      </c>
      <c r="I1632" s="6" cm="1">
        <f t="array" ref="I1632">IFERROR(VALUE(TRIM(LEFT(E1632,MIN(FIND({" ";"g";"k";"m";"o"},E1632&amp;" gkmo"))-1))),0)</f>
        <v>100</v>
      </c>
      <c r="J1632" s="6" t="str" cm="1">
        <f t="array" ref="J1632">IFERROR(TRIM(MID(E1632,MIN(FIND({" ";"g";"k";"m";"o"},E1632&amp;" gkmo")),10)),"unknown")</f>
        <v>g</v>
      </c>
      <c r="K1632" s="6" t="str">
        <f t="shared" si="100"/>
        <v>g</v>
      </c>
      <c r="L1632" s="6" t="str">
        <f t="shared" si="101"/>
        <v>Marks &amp; Spencer</v>
      </c>
      <c r="M1632" s="6" t="str">
        <f t="shared" si="102"/>
        <v>Dark Milk Chocolate With Blood Orange</v>
      </c>
      <c r="N1632" s="6" t="str">
        <f t="shared" si="103"/>
        <v>United Kingdom</v>
      </c>
    </row>
    <row r="1633" spans="1:14" x14ac:dyDescent="0.25">
      <c r="A1633" s="6" t="s">
        <v>4015</v>
      </c>
      <c r="B1633" s="6">
        <v>8792</v>
      </c>
      <c r="C1633" s="6" t="s">
        <v>4016</v>
      </c>
      <c r="D1633" s="7" t="s">
        <v>4017</v>
      </c>
      <c r="E1633" s="6" t="s">
        <v>4018</v>
      </c>
      <c r="F1633" s="6" t="s">
        <v>2682</v>
      </c>
      <c r="G1633" s="8">
        <v>45909</v>
      </c>
      <c r="H1633" s="6">
        <v>1.92</v>
      </c>
      <c r="I1633" s="6" cm="1">
        <f t="array" ref="I1633">IFERROR(VALUE(TRIM(LEFT(E1633,MIN(FIND({" ";"g";"k";"m";"o"},E1633&amp;" gkmo"))-1))),0)</f>
        <v>1</v>
      </c>
      <c r="J1633" s="6" t="str" cm="1">
        <f t="array" ref="J1633">IFERROR(TRIM(MID(E1633,MIN(FIND({" ";"g";"k";"m";"o"},E1633&amp;" gkmo")),10)),"unknown")</f>
        <v>lb</v>
      </c>
      <c r="K1633" s="6" t="str">
        <f t="shared" si="100"/>
        <v>l</v>
      </c>
      <c r="L1633" s="6" t="str">
        <f t="shared" si="101"/>
        <v>Premium</v>
      </c>
      <c r="M1633" s="6" t="str">
        <f t="shared" si="102"/>
        <v>Original Saltine Crackers</v>
      </c>
      <c r="N1633" s="6" t="str">
        <f t="shared" si="103"/>
        <v>United States</v>
      </c>
    </row>
    <row r="1634" spans="1:14" x14ac:dyDescent="0.25">
      <c r="A1634" s="6" t="s">
        <v>4019</v>
      </c>
      <c r="B1634" s="6">
        <v>6846</v>
      </c>
      <c r="C1634" s="6" t="s">
        <v>4020</v>
      </c>
      <c r="D1634" s="7" t="s">
        <v>1936</v>
      </c>
      <c r="E1634" s="6" t="s">
        <v>4021</v>
      </c>
      <c r="F1634" s="6" t="s">
        <v>4022</v>
      </c>
      <c r="G1634" s="8">
        <v>45698</v>
      </c>
      <c r="H1634" s="6">
        <v>24.67</v>
      </c>
      <c r="I1634" s="6" cm="1">
        <f t="array" ref="I1634">IFERROR(VALUE(TRIM(LEFT(E1634,MIN(FIND({" ";"g";"k";"m";"o"},E1634&amp;" gkmo"))-1))),0)</f>
        <v>1.76</v>
      </c>
      <c r="J1634" s="6" t="str" cm="1">
        <f t="array" ref="J1634">IFERROR(TRIM(MID(E1634,MIN(FIND({" ";"g";"k";"m";"o"},E1634&amp;" gkmo")),10)),"unknown")</f>
        <v>oz</v>
      </c>
      <c r="K1634" s="6" t="str">
        <f t="shared" si="100"/>
        <v>unknown</v>
      </c>
      <c r="L1634" s="6" t="str">
        <f t="shared" si="101"/>
        <v>Belvita</v>
      </c>
      <c r="M1634" s="6" t="str">
        <f t="shared" si="102"/>
        <v>Cinnamon Brown Sugar Breakfast Biscuits</v>
      </c>
      <c r="N1634" s="6" t="str">
        <f t="shared" si="103"/>
        <v>France, United States</v>
      </c>
    </row>
    <row r="1635" spans="1:14" x14ac:dyDescent="0.25">
      <c r="A1635" s="6" t="s">
        <v>4023</v>
      </c>
      <c r="B1635" s="6">
        <v>11957</v>
      </c>
      <c r="C1635" s="6" t="s">
        <v>4024</v>
      </c>
      <c r="D1635" s="7" t="s">
        <v>7017</v>
      </c>
      <c r="E1635" s="6" t="s">
        <v>4025</v>
      </c>
      <c r="F1635" s="6" t="s">
        <v>2682</v>
      </c>
      <c r="G1635" s="8">
        <v>45411</v>
      </c>
      <c r="H1635" s="6">
        <v>2.1800000000000002</v>
      </c>
      <c r="I1635" s="6" cm="1">
        <f t="array" ref="I1635">IFERROR(VALUE(TRIM(LEFT(E1635,MIN(FIND({" ";"g";"k";"m";"o"},E1635&amp;" gkmo"))-1))),0)</f>
        <v>40</v>
      </c>
      <c r="J1635" s="6" t="str" cm="1">
        <f t="array" ref="J1635">IFERROR(TRIM(MID(E1635,MIN(FIND({" ";"g";"k";"m";"o"},E1635&amp;" gkmo")),10)),"unknown")</f>
        <v>oz</v>
      </c>
      <c r="K1635" s="6" t="str">
        <f t="shared" si="100"/>
        <v>unknown</v>
      </c>
      <c r="L1635" s="6" t="str">
        <f t="shared" si="101"/>
        <v>Unknown</v>
      </c>
      <c r="M1635" s="6" t="str">
        <f t="shared" si="102"/>
        <v>Organic Tortilla Chips</v>
      </c>
      <c r="N1635" s="6" t="str">
        <f t="shared" si="103"/>
        <v>United States</v>
      </c>
    </row>
    <row r="1636" spans="1:14" x14ac:dyDescent="0.25">
      <c r="A1636" s="6" t="s">
        <v>4026</v>
      </c>
      <c r="B1636" s="6">
        <v>8627</v>
      </c>
      <c r="C1636" s="6" t="s">
        <v>4027</v>
      </c>
      <c r="D1636" s="7" t="s">
        <v>4028</v>
      </c>
      <c r="E1636" s="6" t="s">
        <v>580</v>
      </c>
      <c r="F1636" s="6" t="s">
        <v>4029</v>
      </c>
      <c r="G1636" s="8">
        <v>45772</v>
      </c>
      <c r="H1636" s="6">
        <v>9.2200000000000006</v>
      </c>
      <c r="I1636" s="6" cm="1">
        <f t="array" ref="I1636">IFERROR(VALUE(TRIM(LEFT(E1636,MIN(FIND({" ";"g";"k";"m";"o"},E1636&amp;" gkmo"))-1))),0)</f>
        <v>250</v>
      </c>
      <c r="J1636" s="6" t="str" cm="1">
        <f t="array" ref="J1636">IFERROR(TRIM(MID(E1636,MIN(FIND({" ";"g";"k";"m";"o"},E1636&amp;" gkmo")),10)),"unknown")</f>
        <v>g</v>
      </c>
      <c r="K1636" s="6" t="str">
        <f t="shared" si="100"/>
        <v>g</v>
      </c>
      <c r="L1636" s="6" t="str">
        <f t="shared" si="101"/>
        <v>Snack Day</v>
      </c>
      <c r="M1636" s="6" t="str">
        <f t="shared" si="102"/>
        <v>Bastoncini Salati</v>
      </c>
      <c r="N1636" s="6" t="str">
        <f t="shared" si="103"/>
        <v>Frankreich, Litauen, Niederlande, Germany</v>
      </c>
    </row>
    <row r="1637" spans="1:14" x14ac:dyDescent="0.25">
      <c r="A1637" s="6" t="s">
        <v>4030</v>
      </c>
      <c r="B1637" s="6">
        <v>8231</v>
      </c>
      <c r="C1637" s="6" t="s">
        <v>4031</v>
      </c>
      <c r="D1637" s="7" t="s">
        <v>1213</v>
      </c>
      <c r="E1637" s="6" t="s">
        <v>14</v>
      </c>
      <c r="F1637" s="6" t="s">
        <v>177</v>
      </c>
      <c r="G1637" s="8">
        <v>46003</v>
      </c>
      <c r="H1637" s="6">
        <v>13.16</v>
      </c>
      <c r="I1637" s="6" cm="1">
        <f t="array" ref="I1637">IFERROR(VALUE(TRIM(LEFT(E1637,MIN(FIND({" ";"g";"k";"m";"o"},E1637&amp;" gkmo"))-1))),0)</f>
        <v>300</v>
      </c>
      <c r="J1637" s="6" t="str" cm="1">
        <f t="array" ref="J1637">IFERROR(TRIM(MID(E1637,MIN(FIND({" ";"g";"k";"m";"o"},E1637&amp;" gkmo")),10)),"unknown")</f>
        <v>g</v>
      </c>
      <c r="K1637" s="6" t="str">
        <f t="shared" si="100"/>
        <v>g</v>
      </c>
      <c r="L1637" s="6" t="str">
        <f t="shared" si="101"/>
        <v>Tower Gate</v>
      </c>
      <c r="M1637" s="6" t="str">
        <f t="shared" si="102"/>
        <v>Rich Tea Biscuits</v>
      </c>
      <c r="N1637" s="6" t="str">
        <f t="shared" si="103"/>
        <v>United Kingdom</v>
      </c>
    </row>
    <row r="1638" spans="1:14" x14ac:dyDescent="0.25">
      <c r="A1638" s="6" t="s">
        <v>4032</v>
      </c>
      <c r="B1638" s="6">
        <v>10938</v>
      </c>
      <c r="C1638" s="6" t="s">
        <v>4033</v>
      </c>
      <c r="D1638" s="7" t="s">
        <v>1176</v>
      </c>
      <c r="E1638" s="6" t="s">
        <v>14</v>
      </c>
      <c r="F1638" s="6" t="s">
        <v>4034</v>
      </c>
      <c r="G1638" s="8">
        <v>46057</v>
      </c>
      <c r="H1638" s="6">
        <v>1.86</v>
      </c>
      <c r="I1638" s="6" cm="1">
        <f t="array" ref="I1638">IFERROR(VALUE(TRIM(LEFT(E1638,MIN(FIND({" ";"g";"k";"m";"o"},E1638&amp;" gkmo"))-1))),0)</f>
        <v>300</v>
      </c>
      <c r="J1638" s="6" t="str" cm="1">
        <f t="array" ref="J1638">IFERROR(TRIM(MID(E1638,MIN(FIND({" ";"g";"k";"m";"o"},E1638&amp;" gkmo")),10)),"unknown")</f>
        <v>g</v>
      </c>
      <c r="K1638" s="6" t="str">
        <f t="shared" si="100"/>
        <v>g</v>
      </c>
      <c r="L1638" s="6" t="str">
        <f t="shared" si="101"/>
        <v>Snack Day</v>
      </c>
      <c r="M1638" s="6" t="str">
        <f t="shared" si="102"/>
        <v>Nature Tortilla</v>
      </c>
      <c r="N1638" s="6" t="str">
        <f t="shared" si="103"/>
        <v>Frankrijk,Duitsland,Nederland</v>
      </c>
    </row>
    <row r="1639" spans="1:14" x14ac:dyDescent="0.25">
      <c r="A1639" s="6" t="s">
        <v>4035</v>
      </c>
      <c r="B1639" s="6">
        <v>9592</v>
      </c>
      <c r="C1639" s="6" t="s">
        <v>7270</v>
      </c>
      <c r="D1639" s="7" t="s">
        <v>7523</v>
      </c>
      <c r="E1639" s="6" t="s">
        <v>151</v>
      </c>
      <c r="F1639" s="6" t="s">
        <v>8261</v>
      </c>
      <c r="G1639" s="8">
        <v>45976</v>
      </c>
      <c r="H1639" s="6">
        <v>13.16</v>
      </c>
      <c r="I1639" s="6" cm="1">
        <f t="array" ref="I1639">IFERROR(VALUE(TRIM(LEFT(E1639,MIN(FIND({" ";"g";"k";"m";"o"},E1639&amp;" gkmo"))-1))),0)</f>
        <v>200</v>
      </c>
      <c r="J1639" s="6" t="str" cm="1">
        <f t="array" ref="J1639">IFERROR(TRIM(MID(E1639,MIN(FIND({" ";"g";"k";"m";"o"},E1639&amp;" gkmo")),10)),"unknown")</f>
        <v>g</v>
      </c>
      <c r="K1639" s="6" t="str">
        <f t="shared" si="100"/>
        <v>g</v>
      </c>
      <c r="L1639" s="6" t="str">
        <f t="shared" si="101"/>
        <v>Fin Carré</v>
      </c>
      <c r="M1639" s="6" t="str">
        <f t="shared" si="102"/>
        <v>Lait Amandes Caramélisées</v>
      </c>
      <c r="N1639" s="6" t="str">
        <f t="shared" si="103"/>
        <v>Finlande,France,Germany</v>
      </c>
    </row>
    <row r="1640" spans="1:14" x14ac:dyDescent="0.25">
      <c r="A1640" s="6" t="s">
        <v>4036</v>
      </c>
      <c r="B1640" s="6">
        <v>10221</v>
      </c>
      <c r="C1640" s="6" t="s">
        <v>3056</v>
      </c>
      <c r="D1640" s="7" t="s">
        <v>7755</v>
      </c>
      <c r="E1640" s="6" t="s">
        <v>138</v>
      </c>
      <c r="F1640" s="6" t="s">
        <v>789</v>
      </c>
      <c r="G1640" s="8">
        <v>45815</v>
      </c>
      <c r="H1640" s="6">
        <v>23.13</v>
      </c>
      <c r="I1640" s="6" cm="1">
        <f t="array" ref="I1640">IFERROR(VALUE(TRIM(LEFT(E1640,MIN(FIND({" ";"g";"k";"m";"o"},E1640&amp;" gkmo"))-1))),0)</f>
        <v>400</v>
      </c>
      <c r="J1640" s="6" t="str" cm="1">
        <f t="array" ref="J1640">IFERROR(TRIM(MID(E1640,MIN(FIND({" ";"g";"k";"m";"o"},E1640&amp;" gkmo")),10)),"unknown")</f>
        <v>g</v>
      </c>
      <c r="K1640" s="6" t="str">
        <f t="shared" si="100"/>
        <v>g</v>
      </c>
      <c r="L1640" s="6" t="str">
        <f t="shared" si="101"/>
        <v>Les Pà¢Tissadesaldi</v>
      </c>
      <c r="M1640" s="6" t="str">
        <f t="shared" si="102"/>
        <v>10 Pains Au Lait</v>
      </c>
      <c r="N1640" s="6" t="str">
        <f t="shared" si="103"/>
        <v>Canada,France</v>
      </c>
    </row>
    <row r="1641" spans="1:14" x14ac:dyDescent="0.25">
      <c r="A1641" s="6" t="s">
        <v>4037</v>
      </c>
      <c r="B1641" s="6">
        <v>6647</v>
      </c>
      <c r="C1641" s="6" t="s">
        <v>7271</v>
      </c>
      <c r="D1641" s="7" t="s">
        <v>3712</v>
      </c>
      <c r="E1641" s="6" t="s">
        <v>504</v>
      </c>
      <c r="F1641" s="6" t="s">
        <v>557</v>
      </c>
      <c r="G1641" s="8">
        <v>45336</v>
      </c>
      <c r="H1641" s="6">
        <v>11.88</v>
      </c>
      <c r="I1641" s="6" cm="1">
        <f t="array" ref="I1641">IFERROR(VALUE(TRIM(LEFT(E1641,MIN(FIND({" ";"g";"k";"m";"o"},E1641&amp;" gkmo"))-1))),0)</f>
        <v>400</v>
      </c>
      <c r="J1641" s="6" t="str" cm="1">
        <f t="array" ref="J1641">IFERROR(TRIM(MID(E1641,MIN(FIND({" ";"g";"k";"m";"o"},E1641&amp;" gkmo")),10)),"unknown")</f>
        <v>g</v>
      </c>
      <c r="K1641" s="6" t="str">
        <f t="shared" si="100"/>
        <v>g</v>
      </c>
      <c r="L1641" s="6" t="str">
        <f t="shared" si="101"/>
        <v>Belvita, Lu</v>
      </c>
      <c r="M1641" s="6" t="str">
        <f t="shared" si="102"/>
        <v>Belvita Petit-Déjeuner Original</v>
      </c>
      <c r="N1641" s="6" t="str">
        <f t="shared" si="103"/>
        <v>Belgium,France,Switzerland</v>
      </c>
    </row>
    <row r="1642" spans="1:14" x14ac:dyDescent="0.25">
      <c r="A1642" s="6" t="s">
        <v>4038</v>
      </c>
      <c r="B1642" s="6">
        <v>14909</v>
      </c>
      <c r="C1642" s="6" t="s">
        <v>4039</v>
      </c>
      <c r="D1642" s="7" t="s">
        <v>1345</v>
      </c>
      <c r="E1642" s="6"/>
      <c r="F1642" s="6" t="s">
        <v>139</v>
      </c>
      <c r="G1642" s="8">
        <v>45975</v>
      </c>
      <c r="H1642" s="6">
        <v>13.16</v>
      </c>
      <c r="I1642" s="6" cm="1">
        <f t="array" ref="I1642">IFERROR(VALUE(TRIM(LEFT(E1642,MIN(FIND({" ";"g";"k";"m";"o"},E1642&amp;" gkmo"))-1))),0)</f>
        <v>0</v>
      </c>
      <c r="J1642" s="6" t="str" cm="1">
        <f t="array" ref="J1642">IFERROR(TRIM(MID(E1642,MIN(FIND({" ";"g";"k";"m";"o"},E1642&amp;" gkmo")),10)),"unknown")</f>
        <v/>
      </c>
      <c r="K1642" s="6" t="str">
        <f t="shared" si="100"/>
        <v>unknown</v>
      </c>
      <c r="L1642" s="6" t="str">
        <f t="shared" si="101"/>
        <v>Haribo</v>
      </c>
      <c r="M1642" s="6" t="str">
        <f t="shared" si="102"/>
        <v>200G Starmint Haribo</v>
      </c>
      <c r="N1642" s="6" t="str">
        <f t="shared" si="103"/>
        <v>France</v>
      </c>
    </row>
    <row r="1643" spans="1:14" x14ac:dyDescent="0.25">
      <c r="A1643" s="6" t="s">
        <v>4040</v>
      </c>
      <c r="B1643" s="6">
        <v>8260</v>
      </c>
      <c r="C1643" s="6" t="s">
        <v>4041</v>
      </c>
      <c r="D1643" s="7" t="s">
        <v>2808</v>
      </c>
      <c r="E1643" s="6" t="s">
        <v>4042</v>
      </c>
      <c r="F1643" s="6" t="s">
        <v>139</v>
      </c>
      <c r="G1643" s="8">
        <v>45436</v>
      </c>
      <c r="H1643" s="6">
        <v>14.13</v>
      </c>
      <c r="I1643" s="6" cm="1">
        <f t="array" ref="I1643">IFERROR(VALUE(TRIM(LEFT(E1643,MIN(FIND({" ";"g";"k";"m";"o"},E1643&amp;" gkmo"))-1))),0)</f>
        <v>0.55000000000000004</v>
      </c>
      <c r="J1643" s="6" t="str" cm="1">
        <f t="array" ref="J1643">IFERROR(TRIM(MID(E1643,MIN(FIND({" ";"g";"k";"m";"o"},E1643&amp;" gkmo")),10)),"unknown")</f>
        <v>kg</v>
      </c>
      <c r="K1643" s="6" t="str">
        <f t="shared" si="100"/>
        <v>kg</v>
      </c>
      <c r="L1643" s="6" t="str">
        <f t="shared" si="101"/>
        <v>Lutti</v>
      </c>
      <c r="M1643" s="6" t="str">
        <f t="shared" si="102"/>
        <v>Lutti Best Fizz Tubo 550G</v>
      </c>
      <c r="N1643" s="6" t="str">
        <f t="shared" si="103"/>
        <v>France</v>
      </c>
    </row>
    <row r="1644" spans="1:14" x14ac:dyDescent="0.25">
      <c r="A1644" s="6" t="s">
        <v>4043</v>
      </c>
      <c r="B1644" s="6">
        <v>11454</v>
      </c>
      <c r="C1644" s="6" t="s">
        <v>7756</v>
      </c>
      <c r="D1644" s="7" t="s">
        <v>509</v>
      </c>
      <c r="E1644" s="6" t="s">
        <v>1790</v>
      </c>
      <c r="F1644" s="6" t="s">
        <v>139</v>
      </c>
      <c r="G1644" s="8">
        <v>45754</v>
      </c>
      <c r="H1644" s="6">
        <v>6.48</v>
      </c>
      <c r="I1644" s="6" cm="1">
        <f t="array" ref="I1644">IFERROR(VALUE(TRIM(LEFT(E1644,MIN(FIND({" ";"g";"k";"m";"o"},E1644&amp;" gkmo"))-1))),0)</f>
        <v>75</v>
      </c>
      <c r="J1644" s="6" t="str" cm="1">
        <f t="array" ref="J1644">IFERROR(TRIM(MID(E1644,MIN(FIND({" ";"g";"k";"m";"o"},E1644&amp;" gkmo")),10)),"unknown")</f>
        <v>g</v>
      </c>
      <c r="K1644" s="6" t="str">
        <f t="shared" si="100"/>
        <v>g</v>
      </c>
      <c r="L1644" s="6" t="str">
        <f t="shared" si="101"/>
        <v>Cheetos</v>
      </c>
      <c r="M1644" s="6" t="str">
        <f t="shared" si="102"/>
        <v>Cheetos Goà»T Fromage</v>
      </c>
      <c r="N1644" s="6" t="str">
        <f t="shared" si="103"/>
        <v>France</v>
      </c>
    </row>
    <row r="1645" spans="1:14" x14ac:dyDescent="0.25">
      <c r="A1645" s="6" t="s">
        <v>4044</v>
      </c>
      <c r="B1645" s="6">
        <v>11809</v>
      </c>
      <c r="C1645" s="6" t="s">
        <v>7272</v>
      </c>
      <c r="D1645" s="7" t="s">
        <v>7030</v>
      </c>
      <c r="E1645" s="6" t="s">
        <v>4045</v>
      </c>
      <c r="F1645" s="6" t="s">
        <v>8222</v>
      </c>
      <c r="G1645" s="8">
        <v>45878</v>
      </c>
      <c r="H1645" s="6">
        <v>1.28</v>
      </c>
      <c r="I1645" s="6" cm="1">
        <f t="array" ref="I1645">IFERROR(VALUE(TRIM(LEFT(E1645,MIN(FIND({" ";"g";"k";"m";"o"},E1645&amp;" gkmo"))-1))),0)</f>
        <v>176</v>
      </c>
      <c r="J1645" s="6" t="str" cm="1">
        <f t="array" ref="J1645">IFERROR(TRIM(MID(E1645,MIN(FIND({" ";"g";"k";"m";"o"},E1645&amp;" gkmo")),10)),"unknown")</f>
        <v>g</v>
      </c>
      <c r="K1645" s="6" t="str">
        <f t="shared" si="100"/>
        <v>g</v>
      </c>
      <c r="L1645" s="6" t="str">
        <f t="shared" si="101"/>
        <v>Gerblé</v>
      </c>
      <c r="M1645" s="6" t="str">
        <f t="shared" si="102"/>
        <v>Biscuit Cacaoté Fourré Saveur Vanille</v>
      </c>
      <c r="N1645" s="6" t="str">
        <f t="shared" si="103"/>
        <v>France,Reunià³N</v>
      </c>
    </row>
    <row r="1646" spans="1:14" x14ac:dyDescent="0.25">
      <c r="A1646" s="6" t="s">
        <v>4046</v>
      </c>
      <c r="B1646" s="6">
        <v>11012</v>
      </c>
      <c r="C1646" s="6" t="s">
        <v>4047</v>
      </c>
      <c r="D1646" s="7" t="s">
        <v>488</v>
      </c>
      <c r="E1646" s="6" t="s">
        <v>962</v>
      </c>
      <c r="F1646" s="6" t="s">
        <v>557</v>
      </c>
      <c r="G1646" s="8">
        <v>45372</v>
      </c>
      <c r="H1646" s="6">
        <v>8.6300000000000008</v>
      </c>
      <c r="I1646" s="6" cm="1">
        <f t="array" ref="I1646">IFERROR(VALUE(TRIM(LEFT(E1646,MIN(FIND({" ";"g";"k";"m";"o"},E1646&amp;" gkmo"))-1))),0)</f>
        <v>225</v>
      </c>
      <c r="J1646" s="6" t="str" cm="1">
        <f t="array" ref="J1646">IFERROR(TRIM(MID(E1646,MIN(FIND({" ";"g";"k";"m";"o"},E1646&amp;" gkmo")),10)),"unknown")</f>
        <v>g</v>
      </c>
      <c r="K1646" s="6" t="str">
        <f t="shared" si="100"/>
        <v>g</v>
      </c>
      <c r="L1646" s="6" t="str">
        <f t="shared" si="101"/>
        <v>Bonne Maman</v>
      </c>
      <c r="M1646" s="6" t="str">
        <f t="shared" si="102"/>
        <v>Cookies Chocolat Noisettes</v>
      </c>
      <c r="N1646" s="6" t="str">
        <f t="shared" si="103"/>
        <v>Belgium,France,Switzerland</v>
      </c>
    </row>
    <row r="1647" spans="1:14" x14ac:dyDescent="0.25">
      <c r="A1647" s="6" t="s">
        <v>4048</v>
      </c>
      <c r="B1647" s="6">
        <v>5031</v>
      </c>
      <c r="C1647" s="6" t="s">
        <v>7494</v>
      </c>
      <c r="D1647" s="7" t="s">
        <v>3796</v>
      </c>
      <c r="E1647" s="6" t="s">
        <v>352</v>
      </c>
      <c r="F1647" s="6" t="s">
        <v>139</v>
      </c>
      <c r="G1647" s="8">
        <v>45403</v>
      </c>
      <c r="H1647" s="6">
        <v>17.579999999999998</v>
      </c>
      <c r="I1647" s="6" cm="1">
        <f t="array" ref="I1647">IFERROR(VALUE(TRIM(LEFT(E1647,MIN(FIND({" ";"g";"k";"m";"o"},E1647&amp;" gkmo"))-1))),0)</f>
        <v>170</v>
      </c>
      <c r="J1647" s="6" t="str" cm="1">
        <f t="array" ref="J1647">IFERROR(TRIM(MID(E1647,MIN(FIND({" ";"g";"k";"m";"o"},E1647&amp;" gkmo")),10)),"unknown")</f>
        <v>g</v>
      </c>
      <c r="K1647" s="6" t="str">
        <f t="shared" si="100"/>
        <v>g</v>
      </c>
      <c r="L1647" s="6" t="str">
        <f t="shared" si="101"/>
        <v>Bouton D'Or</v>
      </c>
      <c r="M1647" s="6" t="str">
        <f t="shared" si="102"/>
        <v>Tuiles Saveur Crème Oignon</v>
      </c>
      <c r="N1647" s="6" t="str">
        <f t="shared" si="103"/>
        <v>France</v>
      </c>
    </row>
    <row r="1648" spans="1:14" x14ac:dyDescent="0.25">
      <c r="A1648" s="6" t="s">
        <v>4049</v>
      </c>
      <c r="B1648" s="6">
        <v>10715</v>
      </c>
      <c r="C1648" s="6" t="s">
        <v>4050</v>
      </c>
      <c r="D1648" s="7" t="s">
        <v>4051</v>
      </c>
      <c r="E1648" s="6" t="s">
        <v>151</v>
      </c>
      <c r="F1648" s="6" t="s">
        <v>139</v>
      </c>
      <c r="G1648" s="8">
        <v>45477</v>
      </c>
      <c r="H1648" s="6">
        <v>5.8</v>
      </c>
      <c r="I1648" s="6" cm="1">
        <f t="array" ref="I1648">IFERROR(VALUE(TRIM(LEFT(E1648,MIN(FIND({" ";"g";"k";"m";"o"},E1648&amp;" gkmo"))-1))),0)</f>
        <v>200</v>
      </c>
      <c r="J1648" s="6" t="str" cm="1">
        <f t="array" ref="J1648">IFERROR(TRIM(MID(E1648,MIN(FIND({" ";"g";"k";"m";"o"},E1648&amp;" gkmo")),10)),"unknown")</f>
        <v>g</v>
      </c>
      <c r="K1648" s="6" t="str">
        <f t="shared" si="100"/>
        <v>g</v>
      </c>
      <c r="L1648" s="6" t="str">
        <f t="shared" si="101"/>
        <v>Chabrior, Regain</v>
      </c>
      <c r="M1648" s="6" t="str">
        <f t="shared" si="102"/>
        <v>Crackers 3 Graines - Bio</v>
      </c>
      <c r="N1648" s="6" t="str">
        <f t="shared" si="103"/>
        <v>France</v>
      </c>
    </row>
    <row r="1649" spans="1:14" x14ac:dyDescent="0.25">
      <c r="A1649" s="6" t="s">
        <v>4052</v>
      </c>
      <c r="B1649" s="6">
        <v>13160</v>
      </c>
      <c r="C1649" s="6" t="s">
        <v>4053</v>
      </c>
      <c r="D1649" s="7" t="s">
        <v>4054</v>
      </c>
      <c r="E1649" s="6" t="s">
        <v>138</v>
      </c>
      <c r="F1649" s="6" t="s">
        <v>139</v>
      </c>
      <c r="G1649" s="8">
        <v>45575</v>
      </c>
      <c r="H1649" s="6">
        <v>5.18</v>
      </c>
      <c r="I1649" s="6" cm="1">
        <f t="array" ref="I1649">IFERROR(VALUE(TRIM(LEFT(E1649,MIN(FIND({" ";"g";"k";"m";"o"},E1649&amp;" gkmo"))-1))),0)</f>
        <v>400</v>
      </c>
      <c r="J1649" s="6" t="str" cm="1">
        <f t="array" ref="J1649">IFERROR(TRIM(MID(E1649,MIN(FIND({" ";"g";"k";"m";"o"},E1649&amp;" gkmo")),10)),"unknown")</f>
        <v>g</v>
      </c>
      <c r="K1649" s="6" t="str">
        <f t="shared" si="100"/>
        <v>g</v>
      </c>
      <c r="L1649" s="6" t="str">
        <f t="shared" si="101"/>
        <v>Intersnack, Vico</v>
      </c>
      <c r="M1649" s="6" t="str">
        <f t="shared" si="102"/>
        <v>Vico La Classique 400G</v>
      </c>
      <c r="N1649" s="6" t="str">
        <f t="shared" si="103"/>
        <v>France</v>
      </c>
    </row>
    <row r="1650" spans="1:14" x14ac:dyDescent="0.25">
      <c r="A1650" s="6" t="s">
        <v>4055</v>
      </c>
      <c r="B1650" s="6">
        <v>7488</v>
      </c>
      <c r="C1650" s="6" t="s">
        <v>4056</v>
      </c>
      <c r="D1650" s="7" t="s">
        <v>7033</v>
      </c>
      <c r="E1650" s="6" t="s">
        <v>4057</v>
      </c>
      <c r="F1650" s="6" t="s">
        <v>4058</v>
      </c>
      <c r="G1650" s="8">
        <v>45522</v>
      </c>
      <c r="H1650" s="6">
        <v>7.57</v>
      </c>
      <c r="I1650" s="6" cm="1">
        <f t="array" ref="I1650">IFERROR(VALUE(TRIM(LEFT(E1650,MIN(FIND({" ";"g";"k";"m";"o"},E1650&amp;" gkmo"))-1))),0)</f>
        <v>0</v>
      </c>
      <c r="J1650" s="6" t="str" cm="1">
        <f t="array" ref="J1650">IFERROR(TRIM(MID(E1650,MIN(FIND({" ";"g";"k";"m";"o"},E1650&amp;" gkmo")),10)),"unknown")</f>
        <v>g</v>
      </c>
      <c r="K1650" s="6" t="str">
        <f t="shared" si="100"/>
        <v>g</v>
      </c>
      <c r="L1650" s="6" t="str">
        <f t="shared" si="101"/>
        <v>Nestlé</v>
      </c>
      <c r="M1650" s="6" t="str">
        <f t="shared" si="102"/>
        <v>Chocolate Fitness Special K</v>
      </c>
      <c r="N1650" s="6" t="str">
        <f t="shared" si="103"/>
        <v>Belgium,France,Spain,Finland</v>
      </c>
    </row>
    <row r="1651" spans="1:14" x14ac:dyDescent="0.25">
      <c r="A1651" s="6" t="s">
        <v>4059</v>
      </c>
      <c r="B1651" s="6">
        <v>7264</v>
      </c>
      <c r="C1651" s="6" t="s">
        <v>7273</v>
      </c>
      <c r="D1651" s="7" t="s">
        <v>555</v>
      </c>
      <c r="E1651" s="6" t="s">
        <v>556</v>
      </c>
      <c r="F1651" s="6" t="s">
        <v>139</v>
      </c>
      <c r="G1651" s="8">
        <v>45385</v>
      </c>
      <c r="H1651" s="6">
        <v>23.24</v>
      </c>
      <c r="I1651" s="6" cm="1">
        <f t="array" ref="I1651">IFERROR(VALUE(TRIM(LEFT(E1651,MIN(FIND({" ";"g";"k";"m";"o"},E1651&amp;" gkmo"))-1))),0)</f>
        <v>100</v>
      </c>
      <c r="J1651" s="6" t="str" cm="1">
        <f t="array" ref="J1651">IFERROR(TRIM(MID(E1651,MIN(FIND({" ";"g";"k";"m";"o"},E1651&amp;" gkmo")),10)),"unknown")</f>
        <v>g e</v>
      </c>
      <c r="K1651" s="6" t="str">
        <f t="shared" si="100"/>
        <v>g</v>
      </c>
      <c r="L1651" s="6" t="str">
        <f t="shared" si="101"/>
        <v>Alter Eco</v>
      </c>
      <c r="M1651" s="6" t="str">
        <f t="shared" si="102"/>
        <v>Noir Quinoa Soufflé</v>
      </c>
      <c r="N1651" s="6" t="str">
        <f t="shared" si="103"/>
        <v>France</v>
      </c>
    </row>
    <row r="1652" spans="1:14" x14ac:dyDescent="0.25">
      <c r="A1652" s="6" t="s">
        <v>4060</v>
      </c>
      <c r="B1652" s="6">
        <v>9194</v>
      </c>
      <c r="C1652" s="6" t="s">
        <v>62</v>
      </c>
      <c r="D1652" s="7" t="s">
        <v>903</v>
      </c>
      <c r="E1652" s="6" t="s">
        <v>39</v>
      </c>
      <c r="F1652" s="6" t="s">
        <v>400</v>
      </c>
      <c r="G1652" s="8">
        <v>45744</v>
      </c>
      <c r="H1652" s="6">
        <v>11.63</v>
      </c>
      <c r="I1652" s="6" cm="1">
        <f t="array" ref="I1652">IFERROR(VALUE(TRIM(LEFT(E1652,MIN(FIND({" ";"g";"k";"m";"o"},E1652&amp;" gkmo"))-1))),0)</f>
        <v>150</v>
      </c>
      <c r="J1652" s="6" t="str" cm="1">
        <f t="array" ref="J1652">IFERROR(TRIM(MID(E1652,MIN(FIND({" ";"g";"k";"m";"o"},E1652&amp;" gkmo")),10)),"unknown")</f>
        <v>g</v>
      </c>
      <c r="K1652" s="6" t="str">
        <f t="shared" si="100"/>
        <v>g</v>
      </c>
      <c r="L1652" s="6" t="str">
        <f t="shared" si="101"/>
        <v>Coop</v>
      </c>
      <c r="M1652" s="6" t="str">
        <f t="shared" si="102"/>
        <v>Lightly Sea Salted Crisps</v>
      </c>
      <c r="N1652" s="6" t="str">
        <f t="shared" si="103"/>
        <v>France,United Kingdom</v>
      </c>
    </row>
    <row r="1653" spans="1:14" x14ac:dyDescent="0.25">
      <c r="A1653" s="6" t="s">
        <v>4061</v>
      </c>
      <c r="B1653" s="6">
        <v>13967</v>
      </c>
      <c r="C1653" s="6" t="s">
        <v>4062</v>
      </c>
      <c r="D1653" s="7" t="s">
        <v>817</v>
      </c>
      <c r="E1653" s="6" t="s">
        <v>3220</v>
      </c>
      <c r="F1653" s="6" t="s">
        <v>7926</v>
      </c>
      <c r="G1653" s="8">
        <v>45338</v>
      </c>
      <c r="H1653" s="6">
        <v>22.19</v>
      </c>
      <c r="I1653" s="6" cm="1">
        <f t="array" ref="I1653">IFERROR(VALUE(TRIM(LEFT(E1653,MIN(FIND({" ";"g";"k";"m";"o"},E1653&amp;" gkmo"))-1))),0)</f>
        <v>190</v>
      </c>
      <c r="J1653" s="6" t="str" cm="1">
        <f t="array" ref="J1653">IFERROR(TRIM(MID(E1653,MIN(FIND({" ";"g";"k";"m";"o"},E1653&amp;" gkmo")),10)),"unknown")</f>
        <v>g</v>
      </c>
      <c r="K1653" s="6" t="str">
        <f t="shared" si="100"/>
        <v>g</v>
      </c>
      <c r="L1653" s="6" t="str">
        <f t="shared" si="101"/>
        <v>Soreen</v>
      </c>
      <c r="M1653" s="6" t="str">
        <f t="shared" si="102"/>
        <v>Soreen Malt Loaf 190G</v>
      </c>
      <c r="N1653" s="6" t="str">
        <f t="shared" si="103"/>
        <v>France, United-Kingdom</v>
      </c>
    </row>
    <row r="1654" spans="1:14" x14ac:dyDescent="0.25">
      <c r="A1654" s="6" t="s">
        <v>4063</v>
      </c>
      <c r="B1654" s="6">
        <v>13452</v>
      </c>
      <c r="C1654" s="6" t="s">
        <v>7017</v>
      </c>
      <c r="D1654" s="7" t="s">
        <v>7017</v>
      </c>
      <c r="E1654" s="6" t="s">
        <v>543</v>
      </c>
      <c r="F1654" s="6" t="s">
        <v>8085</v>
      </c>
      <c r="G1654" s="8">
        <v>45507</v>
      </c>
      <c r="H1654" s="6">
        <v>13.16</v>
      </c>
      <c r="I1654" s="6" cm="1">
        <f t="array" ref="I1654">IFERROR(VALUE(TRIM(LEFT(E1654,MIN(FIND({" ";"g";"k";"m";"o"},E1654&amp;" gkmo"))-1))),0)</f>
        <v>14</v>
      </c>
      <c r="J1654" s="6" t="str" cm="1">
        <f t="array" ref="J1654">IFERROR(TRIM(MID(E1654,MIN(FIND({" ";"g";"k";"m";"o"},E1654&amp;" gkmo")),10)),"unknown")</f>
        <v>g</v>
      </c>
      <c r="K1654" s="6" t="str">
        <f t="shared" si="100"/>
        <v>g</v>
      </c>
      <c r="L1654" s="6" t="str">
        <f t="shared" si="101"/>
        <v>Unknown</v>
      </c>
      <c r="M1654" s="6" t="str">
        <f t="shared" si="102"/>
        <v>Unknown</v>
      </c>
      <c r="N1654" s="6" t="str">
        <f t="shared" si="103"/>
        <v>Hungary, Poland, Romania, Bulgaria</v>
      </c>
    </row>
    <row r="1655" spans="1:14" x14ac:dyDescent="0.25">
      <c r="A1655" s="6" t="s">
        <v>4064</v>
      </c>
      <c r="B1655" s="6">
        <v>5384</v>
      </c>
      <c r="C1655" s="6" t="s">
        <v>4065</v>
      </c>
      <c r="D1655" s="7" t="s">
        <v>4066</v>
      </c>
      <c r="E1655" s="6" t="s">
        <v>2690</v>
      </c>
      <c r="F1655" s="6" t="s">
        <v>4067</v>
      </c>
      <c r="G1655" s="8">
        <v>45842</v>
      </c>
      <c r="H1655" s="6">
        <v>20.03</v>
      </c>
      <c r="I1655" s="6" cm="1">
        <f t="array" ref="I1655">IFERROR(VALUE(TRIM(LEFT(E1655,MIN(FIND({" ";"g";"k";"m";"o"},E1655&amp;" gkmo"))-1))),0)</f>
        <v>65</v>
      </c>
      <c r="J1655" s="6" t="str" cm="1">
        <f t="array" ref="J1655">IFERROR(TRIM(MID(E1655,MIN(FIND({" ";"g";"k";"m";"o"},E1655&amp;" gkmo")),10)),"unknown")</f>
        <v>g</v>
      </c>
      <c r="K1655" s="6" t="str">
        <f t="shared" si="100"/>
        <v>g</v>
      </c>
      <c r="L1655" s="6" t="str">
        <f t="shared" si="101"/>
        <v>7 Days</v>
      </c>
      <c r="M1655" s="6" t="str">
        <f t="shared" si="102"/>
        <v>Croissant With Cocoa Filling</v>
      </c>
      <c r="N1655" s="6" t="str">
        <f t="shared" si="103"/>
        <v>Poland,Romania</v>
      </c>
    </row>
    <row r="1656" spans="1:14" x14ac:dyDescent="0.25">
      <c r="A1656" s="6" t="s">
        <v>4068</v>
      </c>
      <c r="B1656" s="6">
        <v>12973</v>
      </c>
      <c r="C1656" s="6" t="s">
        <v>4069</v>
      </c>
      <c r="D1656" s="7" t="s">
        <v>2274</v>
      </c>
      <c r="E1656" s="6" t="s">
        <v>14</v>
      </c>
      <c r="F1656" s="6" t="s">
        <v>4070</v>
      </c>
      <c r="G1656" s="8">
        <v>45910</v>
      </c>
      <c r="H1656" s="6">
        <v>24.89</v>
      </c>
      <c r="I1656" s="6" cm="1">
        <f t="array" ref="I1656">IFERROR(VALUE(TRIM(LEFT(E1656,MIN(FIND({" ";"g";"k";"m";"o"},E1656&amp;" gkmo"))-1))),0)</f>
        <v>300</v>
      </c>
      <c r="J1656" s="6" t="str" cm="1">
        <f t="array" ref="J1656">IFERROR(TRIM(MID(E1656,MIN(FIND({" ";"g";"k";"m";"o"},E1656&amp;" gkmo")),10)),"unknown")</f>
        <v>g</v>
      </c>
      <c r="K1656" s="6" t="str">
        <f t="shared" si="100"/>
        <v>g</v>
      </c>
      <c r="L1656" s="6" t="str">
        <f t="shared" si="101"/>
        <v>Belvita,Mondelez</v>
      </c>
      <c r="M1656" s="6" t="str">
        <f t="shared" si="102"/>
        <v>Belvita Muesli</v>
      </c>
      <c r="N1656" s="6" t="str">
        <f t="shared" si="103"/>
        <v>France,Poland,Romania</v>
      </c>
    </row>
    <row r="1657" spans="1:14" x14ac:dyDescent="0.25">
      <c r="A1657" s="6" t="s">
        <v>4071</v>
      </c>
      <c r="B1657" s="6">
        <v>13805</v>
      </c>
      <c r="C1657" s="6" t="s">
        <v>7274</v>
      </c>
      <c r="D1657" s="7" t="s">
        <v>13</v>
      </c>
      <c r="E1657" s="6" t="s">
        <v>151</v>
      </c>
      <c r="F1657" s="6" t="s">
        <v>139</v>
      </c>
      <c r="G1657" s="8">
        <v>45419</v>
      </c>
      <c r="H1657" s="6">
        <v>13.26</v>
      </c>
      <c r="I1657" s="6" cm="1">
        <f t="array" ref="I1657">IFERROR(VALUE(TRIM(LEFT(E1657,MIN(FIND({" ";"g";"k";"m";"o"},E1657&amp;" gkmo"))-1))),0)</f>
        <v>200</v>
      </c>
      <c r="J1657" s="6" t="str" cm="1">
        <f t="array" ref="J1657">IFERROR(TRIM(MID(E1657,MIN(FIND({" ";"g";"k";"m";"o"},E1657&amp;" gkmo")),10)),"unknown")</f>
        <v>g</v>
      </c>
      <c r="K1657" s="6" t="str">
        <f t="shared" si="100"/>
        <v>g</v>
      </c>
      <c r="L1657" s="6" t="str">
        <f t="shared" si="101"/>
        <v>Lu</v>
      </c>
      <c r="M1657" s="6" t="str">
        <f t="shared" si="102"/>
        <v>Petit Lu Beurre &amp; Sel De Guérande</v>
      </c>
      <c r="N1657" s="6" t="str">
        <f t="shared" si="103"/>
        <v>France</v>
      </c>
    </row>
    <row r="1658" spans="1:14" x14ac:dyDescent="0.25">
      <c r="A1658" s="6" t="s">
        <v>4072</v>
      </c>
      <c r="B1658" s="6">
        <v>7220</v>
      </c>
      <c r="C1658" s="6" t="s">
        <v>4073</v>
      </c>
      <c r="D1658" s="7" t="s">
        <v>1063</v>
      </c>
      <c r="E1658" s="6" t="s">
        <v>1309</v>
      </c>
      <c r="F1658" s="6" t="s">
        <v>4074</v>
      </c>
      <c r="G1658" s="8">
        <v>45654</v>
      </c>
      <c r="H1658" s="6">
        <v>9.5500000000000007</v>
      </c>
      <c r="I1658" s="6" cm="1">
        <f t="array" ref="I1658">IFERROR(VALUE(TRIM(LEFT(E1658,MIN(FIND({" ";"g";"k";"m";"o"},E1658&amp;" gkmo"))-1))),0)</f>
        <v>300</v>
      </c>
      <c r="J1658" s="6" t="str" cm="1">
        <f t="array" ref="J1658">IFERROR(TRIM(MID(E1658,MIN(FIND({" ";"g";"k";"m";"o"},E1658&amp;" gkmo")),10)),"unknown")</f>
        <v>g</v>
      </c>
      <c r="K1658" s="6" t="str">
        <f t="shared" si="100"/>
        <v>g</v>
      </c>
      <c r="L1658" s="6" t="str">
        <f t="shared" si="101"/>
        <v>Lu, Mondelez</v>
      </c>
      <c r="M1658" s="6" t="str">
        <f t="shared" si="102"/>
        <v>Prince</v>
      </c>
      <c r="N1658" s="6" t="str">
        <f t="shared" si="103"/>
        <v>Belgien, Luxemburg, Schweiz, Germany</v>
      </c>
    </row>
    <row r="1659" spans="1:14" x14ac:dyDescent="0.25">
      <c r="A1659" s="6" t="s">
        <v>4075</v>
      </c>
      <c r="B1659" s="6">
        <v>11847</v>
      </c>
      <c r="C1659" s="6" t="s">
        <v>4076</v>
      </c>
      <c r="D1659" s="7" t="s">
        <v>135</v>
      </c>
      <c r="E1659" s="6" t="s">
        <v>4077</v>
      </c>
      <c r="F1659" s="6" t="s">
        <v>8086</v>
      </c>
      <c r="G1659" s="8">
        <v>45519</v>
      </c>
      <c r="H1659" s="6">
        <v>4.32</v>
      </c>
      <c r="I1659" s="6" cm="1">
        <f t="array" ref="I1659">IFERROR(VALUE(TRIM(LEFT(E1659,MIN(FIND({" ";"g";"k";"m";"o"},E1659&amp;" gkmo"))-1))),0)</f>
        <v>33</v>
      </c>
      <c r="J1659" s="6" t="str" cm="1">
        <f t="array" ref="J1659">IFERROR(TRIM(MID(E1659,MIN(FIND({" ";"g";"k";"m";"o"},E1659&amp;" gkmo")),10)),"unknown")</f>
        <v>g</v>
      </c>
      <c r="K1659" s="6" t="str">
        <f t="shared" si="100"/>
        <v>g</v>
      </c>
      <c r="L1659" s="6" t="str">
        <f t="shared" si="101"/>
        <v>Milka</v>
      </c>
      <c r="M1659" s="6" t="str">
        <f t="shared" si="102"/>
        <v>Leo</v>
      </c>
      <c r="N1659" s="6" t="str">
        <f t="shared" si="103"/>
        <v>Belgium, France, Luxembourg, Slovenia, Morocco</v>
      </c>
    </row>
    <row r="1660" spans="1:14" x14ac:dyDescent="0.25">
      <c r="A1660" s="6" t="s">
        <v>4078</v>
      </c>
      <c r="B1660" s="6">
        <v>14871</v>
      </c>
      <c r="C1660" s="6" t="s">
        <v>478</v>
      </c>
      <c r="D1660" s="7" t="s">
        <v>287</v>
      </c>
      <c r="E1660" s="6" t="s">
        <v>479</v>
      </c>
      <c r="F1660" s="6" t="s">
        <v>4079</v>
      </c>
      <c r="G1660" s="8">
        <v>45381</v>
      </c>
      <c r="H1660" s="6">
        <v>10</v>
      </c>
      <c r="I1660" s="6" cm="1">
        <f t="array" ref="I1660">IFERROR(VALUE(TRIM(LEFT(E1660,MIN(FIND({" ";"g";"k";"m";"o"},E1660&amp;" gkmo"))-1))),0)</f>
        <v>375</v>
      </c>
      <c r="J1660" s="6" t="str" cm="1">
        <f t="array" ref="J1660">IFERROR(TRIM(MID(E1660,MIN(FIND({" ";"g";"k";"m";"o"},E1660&amp;" gkmo")),10)),"unknown")</f>
        <v>g</v>
      </c>
      <c r="K1660" s="6" t="str">
        <f t="shared" si="100"/>
        <v>g</v>
      </c>
      <c r="L1660" s="6" t="str">
        <f t="shared" si="101"/>
        <v>Ferrero</v>
      </c>
      <c r="M1660" s="6" t="str">
        <f t="shared" si="102"/>
        <v>Ferrero Rocher</v>
      </c>
      <c r="N1660" s="6" t="str">
        <f t="shared" si="103"/>
        <v>Albania,Australia,Austria,Belgium,Bosnia And Herzegovina,Croatia,France,Italy,Montenegro,Morocco,North Macedonia,Serbia,Slovenia,Switzerland,Thailand,United Kingdom</v>
      </c>
    </row>
    <row r="1661" spans="1:14" x14ac:dyDescent="0.25">
      <c r="A1661" s="6" t="s">
        <v>4080</v>
      </c>
      <c r="B1661" s="6">
        <v>9290</v>
      </c>
      <c r="C1661" s="6" t="s">
        <v>4081</v>
      </c>
      <c r="D1661" s="7" t="s">
        <v>2398</v>
      </c>
      <c r="E1661" s="6" t="s">
        <v>373</v>
      </c>
      <c r="F1661" s="6" t="s">
        <v>8008</v>
      </c>
      <c r="G1661" s="8">
        <v>45965</v>
      </c>
      <c r="H1661" s="6">
        <v>8.89</v>
      </c>
      <c r="I1661" s="6" cm="1">
        <f t="array" ref="I1661">IFERROR(VALUE(TRIM(LEFT(E1661,MIN(FIND({" ";"g";"k";"m";"o"},E1661&amp;" gkmo"))-1))),0)</f>
        <v>260</v>
      </c>
      <c r="J1661" s="6" t="str" cm="1">
        <f t="array" ref="J1661">IFERROR(TRIM(MID(E1661,MIN(FIND({" ";"g";"k";"m";"o"},E1661&amp;" gkmo")),10)),"unknown")</f>
        <v>g</v>
      </c>
      <c r="K1661" s="6" t="str">
        <f t="shared" si="100"/>
        <v>g</v>
      </c>
      <c r="L1661" s="6" t="str">
        <f t="shared" si="101"/>
        <v>Galbusera</v>
      </c>
      <c r="M1661" s="6" t="str">
        <f t="shared" si="102"/>
        <v>Magretti</v>
      </c>
      <c r="N1661" s="6" t="str">
        <f t="shared" si="103"/>
        <v>Italy, France</v>
      </c>
    </row>
    <row r="1662" spans="1:14" x14ac:dyDescent="0.25">
      <c r="A1662" s="6" t="s">
        <v>4082</v>
      </c>
      <c r="B1662" s="6">
        <v>14318</v>
      </c>
      <c r="C1662" s="6" t="s">
        <v>4083</v>
      </c>
      <c r="D1662" s="7" t="s">
        <v>1542</v>
      </c>
      <c r="E1662" s="6" t="s">
        <v>4084</v>
      </c>
      <c r="F1662" s="6" t="s">
        <v>8087</v>
      </c>
      <c r="G1662" s="8">
        <v>45508</v>
      </c>
      <c r="H1662" s="6">
        <v>4.28</v>
      </c>
      <c r="I1662" s="6" cm="1">
        <f t="array" ref="I1662">IFERROR(VALUE(TRIM(LEFT(E1662,MIN(FIND({" ";"g";"k";"m";"o"},E1662&amp;" gkmo"))-1))),0)</f>
        <v>0</v>
      </c>
      <c r="J1662" s="6" t="str" cm="1">
        <f t="array" ref="J1662">IFERROR(TRIM(MID(E1662,MIN(FIND({" ";"g";"k";"m";"o"},E1662&amp;" gkmo")),10)),"unknown")</f>
        <v/>
      </c>
      <c r="K1662" s="6" t="str">
        <f t="shared" si="100"/>
        <v>unknown</v>
      </c>
      <c r="L1662" s="6" t="str">
        <f t="shared" si="101"/>
        <v>Balconi</v>
      </c>
      <c r="M1662" s="6" t="str">
        <f t="shared" si="102"/>
        <v>Mix Milk</v>
      </c>
      <c r="N1662" s="6" t="str">
        <f t="shared" si="103"/>
        <v>Belgium, France, Germany, Morocco</v>
      </c>
    </row>
    <row r="1663" spans="1:14" x14ac:dyDescent="0.25">
      <c r="A1663" s="6" t="s">
        <v>4085</v>
      </c>
      <c r="B1663" s="6">
        <v>12371</v>
      </c>
      <c r="C1663" s="6" t="s">
        <v>4086</v>
      </c>
      <c r="D1663" s="7" t="s">
        <v>2179</v>
      </c>
      <c r="E1663" s="6" t="s">
        <v>14</v>
      </c>
      <c r="F1663" s="6" t="s">
        <v>1185</v>
      </c>
      <c r="G1663" s="8">
        <v>45850</v>
      </c>
      <c r="H1663" s="6">
        <v>13.16</v>
      </c>
      <c r="I1663" s="6" cm="1">
        <f t="array" ref="I1663">IFERROR(VALUE(TRIM(LEFT(E1663,MIN(FIND({" ";"g";"k";"m";"o"},E1663&amp;" gkmo"))-1))),0)</f>
        <v>300</v>
      </c>
      <c r="J1663" s="6" t="str" cm="1">
        <f t="array" ref="J1663">IFERROR(TRIM(MID(E1663,MIN(FIND({" ";"g";"k";"m";"o"},E1663&amp;" gkmo")),10)),"unknown")</f>
        <v>g</v>
      </c>
      <c r="K1663" s="6" t="str">
        <f t="shared" si="100"/>
        <v>g</v>
      </c>
      <c r="L1663" s="6" t="str">
        <f t="shared" si="101"/>
        <v>Valor</v>
      </c>
      <c r="M1663" s="6" t="str">
        <f t="shared" si="102"/>
        <v>Chocolate Puro</v>
      </c>
      <c r="N1663" s="6" t="str">
        <f t="shared" si="103"/>
        <v>Spain</v>
      </c>
    </row>
    <row r="1664" spans="1:14" x14ac:dyDescent="0.25">
      <c r="A1664" s="6" t="s">
        <v>4087</v>
      </c>
      <c r="B1664" s="6">
        <v>13284</v>
      </c>
      <c r="C1664" s="6" t="s">
        <v>4088</v>
      </c>
      <c r="D1664" s="7" t="s">
        <v>7578</v>
      </c>
      <c r="E1664" s="6" t="s">
        <v>156</v>
      </c>
      <c r="F1664" s="6" t="s">
        <v>8240</v>
      </c>
      <c r="G1664" s="8">
        <v>46037</v>
      </c>
      <c r="H1664" s="6">
        <v>23.66</v>
      </c>
      <c r="I1664" s="6" cm="1">
        <f t="array" ref="I1664">IFERROR(VALUE(TRIM(LEFT(E1664,MIN(FIND({" ";"g";"k";"m";"o"},E1664&amp;" gkmo"))-1))),0)</f>
        <v>500</v>
      </c>
      <c r="J1664" s="6" t="str" cm="1">
        <f t="array" ref="J1664">IFERROR(TRIM(MID(E1664,MIN(FIND({" ";"g";"k";"m";"o"},E1664&amp;" gkmo")),10)),"unknown")</f>
        <v>g</v>
      </c>
      <c r="K1664" s="6" t="str">
        <f t="shared" si="100"/>
        <v>g</v>
      </c>
      <c r="L1664" s="6" t="str">
        <f t="shared" si="101"/>
        <v>Gullà³N</v>
      </c>
      <c r="M1664" s="6" t="str">
        <f t="shared" si="102"/>
        <v>Mega Duo Doble Cacao</v>
      </c>
      <c r="N1664" s="6" t="str">
        <f t="shared" si="103"/>
        <v>Algeria, Morocco, Spain, France, France</v>
      </c>
    </row>
    <row r="1665" spans="1:14" x14ac:dyDescent="0.25">
      <c r="A1665" s="6" t="s">
        <v>4089</v>
      </c>
      <c r="B1665" s="6">
        <v>5480</v>
      </c>
      <c r="C1665" s="6" t="s">
        <v>4090</v>
      </c>
      <c r="D1665" s="7" t="s">
        <v>1355</v>
      </c>
      <c r="E1665" s="6" t="s">
        <v>4091</v>
      </c>
      <c r="F1665" s="6" t="s">
        <v>4092</v>
      </c>
      <c r="G1665" s="8">
        <v>45727</v>
      </c>
      <c r="H1665" s="6">
        <v>8.6999999999999993</v>
      </c>
      <c r="I1665" s="6" cm="1">
        <f t="array" ref="I1665">IFERROR(VALUE(TRIM(LEFT(E1665,MIN(FIND({" ";"g";"k";"m";"o"},E1665&amp;" gkmo"))-1))),0)</f>
        <v>150</v>
      </c>
      <c r="J1665" s="6" t="str" cm="1">
        <f t="array" ref="J1665">IFERROR(TRIM(MID(E1665,MIN(FIND({" ";"g";"k";"m";"o"},E1665&amp;" gkmo")),10)),"unknown")</f>
        <v>gram</v>
      </c>
      <c r="K1665" s="6" t="str">
        <f t="shared" si="100"/>
        <v>g</v>
      </c>
      <c r="L1665" s="6" t="str">
        <f t="shared" si="101"/>
        <v>Lay'S</v>
      </c>
      <c r="M1665" s="6" t="str">
        <f t="shared" si="102"/>
        <v>Lays Oven Baked Roasted Paprika</v>
      </c>
      <c r="N1665" s="6" t="str">
        <f t="shared" si="103"/>
        <v>Belgium,France,Netherlands</v>
      </c>
    </row>
    <row r="1666" spans="1:14" x14ac:dyDescent="0.25">
      <c r="A1666" s="6" t="s">
        <v>4093</v>
      </c>
      <c r="B1666" s="6">
        <v>10142</v>
      </c>
      <c r="C1666" s="6" t="s">
        <v>7757</v>
      </c>
      <c r="D1666" s="7" t="s">
        <v>7275</v>
      </c>
      <c r="E1666" s="6" t="s">
        <v>4094</v>
      </c>
      <c r="F1666" s="6" t="s">
        <v>3914</v>
      </c>
      <c r="G1666" s="8">
        <v>45816</v>
      </c>
      <c r="H1666" s="6">
        <v>16.86</v>
      </c>
      <c r="I1666" s="6" cm="1">
        <f t="array" ref="I1666">IFERROR(VALUE(TRIM(LEFT(E1666,MIN(FIND({" ";"g";"k";"m";"o"},E1666&amp;" gkmo"))-1))),0)</f>
        <v>340</v>
      </c>
      <c r="J1666" s="6" t="str" cm="1">
        <f t="array" ref="J1666">IFERROR(TRIM(MID(E1666,MIN(FIND({" ";"g";"k";"m";"o"},E1666&amp;" gkmo")),10)),"unknown")</f>
        <v>g</v>
      </c>
      <c r="K1666" s="6" t="str">
        <f t="shared" si="100"/>
        <v>g</v>
      </c>
      <c r="L1666" s="6" t="str">
        <f t="shared" si="101"/>
        <v>Saveurs De Nos Régions</v>
      </c>
      <c r="M1666" s="6" t="str">
        <f t="shared" si="102"/>
        <v>Karamelovà¡ Pomazà¡Nka V Lednici</v>
      </c>
      <c r="N1666" s="6" t="str">
        <f t="shared" si="103"/>
        <v>Frankreich, Germany</v>
      </c>
    </row>
    <row r="1667" spans="1:14" x14ac:dyDescent="0.25">
      <c r="A1667" s="6" t="s">
        <v>4095</v>
      </c>
      <c r="B1667" s="6">
        <v>9537</v>
      </c>
      <c r="C1667" s="6" t="s">
        <v>4096</v>
      </c>
      <c r="D1667" s="7" t="s">
        <v>4097</v>
      </c>
      <c r="E1667" s="6" t="s">
        <v>528</v>
      </c>
      <c r="F1667" s="6" t="s">
        <v>139</v>
      </c>
      <c r="G1667" s="8">
        <v>45773</v>
      </c>
      <c r="H1667" s="6">
        <v>20.88</v>
      </c>
      <c r="I1667" s="6" cm="1">
        <f t="array" ref="I1667">IFERROR(VALUE(TRIM(LEFT(E1667,MIN(FIND({" ";"g";"k";"m";"o"},E1667&amp;" gkmo"))-1))),0)</f>
        <v>200</v>
      </c>
      <c r="J1667" s="6" t="str" cm="1">
        <f t="array" ref="J1667">IFERROR(TRIM(MID(E1667,MIN(FIND({" ";"g";"k";"m";"o"},E1667&amp;" gkmo")),10)),"unknown")</f>
        <v>g</v>
      </c>
      <c r="K1667" s="6" t="str">
        <f t="shared" ref="K1667:K1730" si="104">IF(E1667="","unknown",IF(OR(J1667="g",LEFT(J1667,1)="g"),"g",IF(OR(LEFT(J1667,2)="kg",LEFT(J1667,2)="ki"),"kg",IF(OR(LEFT(J1667,2)="ml",LEFT(J1667,1)="m"),"ml",IF(LEFT(J1667,1)="l","l",IF(ISNUMBER(SEARCH("g",E1667)),"g",IF(ISNUMBER(SEARCH("kg",E1667)),"kg",IF(ISNUMBER(SEARCH("ml",E1667)),"ml","unknown"))))))))</f>
        <v>g</v>
      </c>
      <c r="L1667" s="6" t="str">
        <f t="shared" ref="L1667:L1730" si="105">IF(D1667="","Unknown",PROPER(TRIM(D1667)))</f>
        <v>Lidl</v>
      </c>
      <c r="M1667" s="6" t="str">
        <f t="shared" ref="M1667:M1730" si="106">IF(C1667="Unknown","Unknown",PROPER(TRIM(C1667)))</f>
        <v>Fig Rolls</v>
      </c>
      <c r="N1667" s="6" t="str">
        <f t="shared" ref="N1667:N1730" si="107">IF(F1667="","Unknown",PROPER(TRIM(F1667)))</f>
        <v>France</v>
      </c>
    </row>
    <row r="1668" spans="1:14" x14ac:dyDescent="0.25">
      <c r="A1668" s="6" t="s">
        <v>4098</v>
      </c>
      <c r="B1668" s="6">
        <v>9479</v>
      </c>
      <c r="C1668" s="6" t="s">
        <v>4099</v>
      </c>
      <c r="D1668" s="7" t="s">
        <v>248</v>
      </c>
      <c r="E1668" s="6"/>
      <c r="F1668" s="6" t="s">
        <v>7972</v>
      </c>
      <c r="G1668" s="8">
        <v>45363</v>
      </c>
      <c r="H1668" s="6">
        <v>13.16</v>
      </c>
      <c r="I1668" s="6" cm="1">
        <f t="array" ref="I1668">IFERROR(VALUE(TRIM(LEFT(E1668,MIN(FIND({" ";"g";"k";"m";"o"},E1668&amp;" gkmo"))-1))),0)</f>
        <v>0</v>
      </c>
      <c r="J1668" s="6" t="str" cm="1">
        <f t="array" ref="J1668">IFERROR(TRIM(MID(E1668,MIN(FIND({" ";"g";"k";"m";"o"},E1668&amp;" gkmo")),10)),"unknown")</f>
        <v/>
      </c>
      <c r="K1668" s="6" t="str">
        <f t="shared" si="104"/>
        <v>unknown</v>
      </c>
      <c r="L1668" s="6" t="str">
        <f t="shared" si="105"/>
        <v>Tesco</v>
      </c>
      <c r="M1668" s="6" t="str">
        <f t="shared" si="106"/>
        <v>Tesco Finest All Butter Croissant 4 Pack</v>
      </c>
      <c r="N1668" s="6" t="str">
        <f t="shared" si="107"/>
        <v>United States, United-Kingdom</v>
      </c>
    </row>
    <row r="1669" spans="1:14" x14ac:dyDescent="0.25">
      <c r="A1669" s="6" t="s">
        <v>4100</v>
      </c>
      <c r="B1669" s="6">
        <v>6751</v>
      </c>
      <c r="C1669" s="6" t="s">
        <v>4101</v>
      </c>
      <c r="D1669" s="7" t="s">
        <v>7578</v>
      </c>
      <c r="E1669" s="6" t="s">
        <v>352</v>
      </c>
      <c r="F1669" s="6" t="s">
        <v>8241</v>
      </c>
      <c r="G1669" s="8">
        <v>45799</v>
      </c>
      <c r="H1669" s="6">
        <v>13.37</v>
      </c>
      <c r="I1669" s="6" cm="1">
        <f t="array" ref="I1669">IFERROR(VALUE(TRIM(LEFT(E1669,MIN(FIND({" ";"g";"k";"m";"o"},E1669&amp;" gkmo"))-1))),0)</f>
        <v>170</v>
      </c>
      <c r="J1669" s="6" t="str" cm="1">
        <f t="array" ref="J1669">IFERROR(TRIM(MID(E1669,MIN(FIND({" ";"g";"k";"m";"o"},E1669&amp;" gkmo")),10)),"unknown")</f>
        <v>g</v>
      </c>
      <c r="K1669" s="6" t="str">
        <f t="shared" si="104"/>
        <v>g</v>
      </c>
      <c r="L1669" s="6" t="str">
        <f t="shared" si="105"/>
        <v>Gullà³N</v>
      </c>
      <c r="M1669" s="6" t="str">
        <f t="shared" si="106"/>
        <v>Bio Organic</v>
      </c>
      <c r="N1669" s="6" t="str">
        <f t="shared" si="107"/>
        <v>Bulgaria,France,Marruecos,Rumania,Espaà±A</v>
      </c>
    </row>
    <row r="1670" spans="1:14" x14ac:dyDescent="0.25">
      <c r="A1670" s="6" t="s">
        <v>4102</v>
      </c>
      <c r="B1670" s="6">
        <v>5077</v>
      </c>
      <c r="C1670" s="6" t="s">
        <v>4103</v>
      </c>
      <c r="D1670" s="7" t="s">
        <v>3442</v>
      </c>
      <c r="E1670" s="6" t="s">
        <v>855</v>
      </c>
      <c r="F1670" s="6" t="s">
        <v>4104</v>
      </c>
      <c r="G1670" s="8">
        <v>45889</v>
      </c>
      <c r="H1670" s="6">
        <v>11.83</v>
      </c>
      <c r="I1670" s="6" cm="1">
        <f t="array" ref="I1670">IFERROR(VALUE(TRIM(LEFT(E1670,MIN(FIND({" ";"g";"k";"m";"o"},E1670&amp;" gkmo"))-1))),0)</f>
        <v>80</v>
      </c>
      <c r="J1670" s="6" t="str" cm="1">
        <f t="array" ref="J1670">IFERROR(TRIM(MID(E1670,MIN(FIND({" ";"g";"k";"m";"o"},E1670&amp;" gkmo")),10)),"unknown")</f>
        <v>g</v>
      </c>
      <c r="K1670" s="6" t="str">
        <f t="shared" si="104"/>
        <v>g</v>
      </c>
      <c r="L1670" s="6" t="str">
        <f t="shared" si="105"/>
        <v>Chio</v>
      </c>
      <c r="M1670" s="6" t="str">
        <f t="shared" si="106"/>
        <v>Micro Popcorn Sare</v>
      </c>
      <c r="N1670" s="6" t="str">
        <f t="shared" si="107"/>
        <v>Ð¤Ñ€Ð°Ð½Ñ†Ð¸Ñ,Ð Ñƒð¼Ñšð½Ð¸Ñ,Ð‘Ñšð»Ð³Ð°Ñ€Ð¸Ñ</v>
      </c>
    </row>
    <row r="1671" spans="1:14" x14ac:dyDescent="0.25">
      <c r="A1671" s="6" t="s">
        <v>4105</v>
      </c>
      <c r="B1671" s="6">
        <v>10061</v>
      </c>
      <c r="C1671" s="6" t="s">
        <v>2743</v>
      </c>
      <c r="D1671" s="7" t="s">
        <v>618</v>
      </c>
      <c r="E1671" s="6" t="s">
        <v>4106</v>
      </c>
      <c r="F1671" s="6" t="s">
        <v>2973</v>
      </c>
      <c r="G1671" s="8">
        <v>45559</v>
      </c>
      <c r="H1671" s="6">
        <v>19.97</v>
      </c>
      <c r="I1671" s="6" cm="1">
        <f t="array" ref="I1671">IFERROR(VALUE(TRIM(LEFT(E1671,MIN(FIND({" ";"g";"k";"m";"o"},E1671&amp;" gkmo"))-1))),0)</f>
        <v>6</v>
      </c>
      <c r="J1671" s="6" t="str" cm="1">
        <f t="array" ref="J1671">IFERROR(TRIM(MID(E1671,MIN(FIND({" ";"g";"k";"m";"o"},E1671&amp;" gkmo")),10)),"unknown")</f>
        <v>x 25 g</v>
      </c>
      <c r="K1671" s="6" t="str">
        <f t="shared" si="104"/>
        <v>g</v>
      </c>
      <c r="L1671" s="6" t="str">
        <f t="shared" si="105"/>
        <v>By Sainsbury'S</v>
      </c>
      <c r="M1671" s="6" t="str">
        <f t="shared" si="106"/>
        <v>Ready Salted Crisps</v>
      </c>
      <c r="N1671" s="6" t="str">
        <f t="shared" si="107"/>
        <v>Gb</v>
      </c>
    </row>
    <row r="1672" spans="1:14" x14ac:dyDescent="0.25">
      <c r="A1672" s="6" t="s">
        <v>4107</v>
      </c>
      <c r="B1672" s="6">
        <v>12349</v>
      </c>
      <c r="C1672" s="6" t="s">
        <v>4108</v>
      </c>
      <c r="D1672" s="7" t="s">
        <v>7017</v>
      </c>
      <c r="E1672" s="6"/>
      <c r="F1672" s="6" t="s">
        <v>177</v>
      </c>
      <c r="G1672" s="8">
        <v>45488</v>
      </c>
      <c r="H1672" s="6">
        <v>1.47</v>
      </c>
      <c r="I1672" s="6" cm="1">
        <f t="array" ref="I1672">IFERROR(VALUE(TRIM(LEFT(E1672,MIN(FIND({" ";"g";"k";"m";"o"},E1672&amp;" gkmo"))-1))),0)</f>
        <v>0</v>
      </c>
      <c r="J1672" s="6" t="str" cm="1">
        <f t="array" ref="J1672">IFERROR(TRIM(MID(E1672,MIN(FIND({" ";"g";"k";"m";"o"},E1672&amp;" gkmo")),10)),"unknown")</f>
        <v/>
      </c>
      <c r="K1672" s="6" t="str">
        <f t="shared" si="104"/>
        <v>unknown</v>
      </c>
      <c r="L1672" s="6" t="str">
        <f t="shared" si="105"/>
        <v>Unknown</v>
      </c>
      <c r="M1672" s="6" t="str">
        <f t="shared" si="106"/>
        <v>Fruit &amp; Seed Oatcakes On The Go</v>
      </c>
      <c r="N1672" s="6" t="str">
        <f t="shared" si="107"/>
        <v>United Kingdom</v>
      </c>
    </row>
    <row r="1673" spans="1:14" x14ac:dyDescent="0.25">
      <c r="A1673" s="6" t="s">
        <v>4109</v>
      </c>
      <c r="B1673" s="6">
        <v>8120</v>
      </c>
      <c r="C1673" s="6" t="s">
        <v>4110</v>
      </c>
      <c r="D1673" s="7" t="s">
        <v>4111</v>
      </c>
      <c r="E1673" s="6" t="s">
        <v>4112</v>
      </c>
      <c r="F1673" s="6" t="s">
        <v>4113</v>
      </c>
      <c r="G1673" s="8">
        <v>46010</v>
      </c>
      <c r="H1673" s="6">
        <v>13.16</v>
      </c>
      <c r="I1673" s="6" cm="1">
        <f t="array" ref="I1673">IFERROR(VALUE(TRIM(LEFT(E1673,MIN(FIND({" ";"g";"k";"m";"o"},E1673&amp;" gkmo"))-1))),0)</f>
        <v>0.8</v>
      </c>
      <c r="J1673" s="6" t="str" cm="1">
        <f t="array" ref="J1673">IFERROR(TRIM(MID(E1673,MIN(FIND({" ";"g";"k";"m";"o"},E1673&amp;" gkmo")),10)),"unknown")</f>
        <v>oz (22.7</v>
      </c>
      <c r="K1673" s="6" t="str">
        <f t="shared" si="104"/>
        <v>g</v>
      </c>
      <c r="L1673" s="6" t="str">
        <f t="shared" si="105"/>
        <v>Welch'S</v>
      </c>
      <c r="M1673" s="6" t="str">
        <f t="shared" si="106"/>
        <v>Fruit Snack</v>
      </c>
      <c r="N1673" s="6" t="str">
        <f t="shared" si="107"/>
        <v>Andorra,United States</v>
      </c>
    </row>
    <row r="1674" spans="1:14" x14ac:dyDescent="0.25">
      <c r="A1674" s="6" t="s">
        <v>4114</v>
      </c>
      <c r="B1674" s="6">
        <v>14606</v>
      </c>
      <c r="C1674" s="6" t="s">
        <v>4115</v>
      </c>
      <c r="D1674" s="7" t="s">
        <v>1142</v>
      </c>
      <c r="E1674" s="6" t="s">
        <v>10</v>
      </c>
      <c r="F1674" s="6" t="s">
        <v>8088</v>
      </c>
      <c r="G1674" s="8">
        <v>45634</v>
      </c>
      <c r="H1674" s="6">
        <v>9.7100000000000009</v>
      </c>
      <c r="I1674" s="6" cm="1">
        <f t="array" ref="I1674">IFERROR(VALUE(TRIM(LEFT(E1674,MIN(FIND({" ";"g";"k";"m";"o"},E1674&amp;" gkmo"))-1))),0)</f>
        <v>100</v>
      </c>
      <c r="J1674" s="6" t="str" cm="1">
        <f t="array" ref="J1674">IFERROR(TRIM(MID(E1674,MIN(FIND({" ";"g";"k";"m";"o"},E1674&amp;" gkmo")),10)),"unknown")</f>
        <v>g</v>
      </c>
      <c r="K1674" s="6" t="str">
        <f t="shared" si="104"/>
        <v>g</v>
      </c>
      <c r="L1674" s="6" t="str">
        <f t="shared" si="105"/>
        <v>J.D. Gross, Lidl</v>
      </c>
      <c r="M1674" s="6" t="str">
        <f t="shared" si="106"/>
        <v>Grenada</v>
      </c>
      <c r="N1674" s="6" t="str">
        <f t="shared" si="107"/>
        <v>Deutschland,Vereinigtes Kà¶Nigreich,Germany</v>
      </c>
    </row>
    <row r="1675" spans="1:14" x14ac:dyDescent="0.25">
      <c r="A1675" s="6" t="s">
        <v>4116</v>
      </c>
      <c r="B1675" s="6">
        <v>8868</v>
      </c>
      <c r="C1675" s="6" t="s">
        <v>7276</v>
      </c>
      <c r="D1675" s="7" t="s">
        <v>1742</v>
      </c>
      <c r="E1675" s="6" t="s">
        <v>4117</v>
      </c>
      <c r="F1675" s="6" t="s">
        <v>8040</v>
      </c>
      <c r="G1675" s="8">
        <v>45436</v>
      </c>
      <c r="H1675" s="6">
        <v>17.170000000000002</v>
      </c>
      <c r="I1675" s="6" cm="1">
        <f t="array" ref="I1675">IFERROR(VALUE(TRIM(LEFT(E1675,MIN(FIND({" ";"g";"k";"m";"o"},E1675&amp;" gkmo"))-1))),0)</f>
        <v>252</v>
      </c>
      <c r="J1675" s="6" t="str" cm="1">
        <f t="array" ref="J1675">IFERROR(TRIM(MID(E1675,MIN(FIND({" ";"g";"k";"m";"o"},E1675&amp;" gkmo")),10)),"unknown")</f>
        <v>g (6 x 42</v>
      </c>
      <c r="K1675" s="6" t="str">
        <f t="shared" si="104"/>
        <v>g</v>
      </c>
      <c r="L1675" s="6" t="str">
        <f t="shared" si="105"/>
        <v>Crownfield</v>
      </c>
      <c r="M1675" s="6" t="str">
        <f t="shared" si="106"/>
        <v>Barres Granola Au Sirop D'Érable</v>
      </c>
      <c r="N1675" s="6" t="str">
        <f t="shared" si="107"/>
        <v>United Kingdom, France</v>
      </c>
    </row>
    <row r="1676" spans="1:14" x14ac:dyDescent="0.25">
      <c r="A1676" s="6" t="s">
        <v>4118</v>
      </c>
      <c r="B1676" s="6">
        <v>7964</v>
      </c>
      <c r="C1676" s="6" t="s">
        <v>4119</v>
      </c>
      <c r="D1676" s="7" t="s">
        <v>4120</v>
      </c>
      <c r="E1676" s="6" t="s">
        <v>39</v>
      </c>
      <c r="F1676" s="6" t="s">
        <v>177</v>
      </c>
      <c r="G1676" s="8">
        <v>45573</v>
      </c>
      <c r="H1676" s="6">
        <v>13.16</v>
      </c>
      <c r="I1676" s="6" cm="1">
        <f t="array" ref="I1676">IFERROR(VALUE(TRIM(LEFT(E1676,MIN(FIND({" ";"g";"k";"m";"o"},E1676&amp;" gkmo"))-1))),0)</f>
        <v>150</v>
      </c>
      <c r="J1676" s="6" t="str" cm="1">
        <f t="array" ref="J1676">IFERROR(TRIM(MID(E1676,MIN(FIND({" ";"g";"k";"m";"o"},E1676&amp;" gkmo")),10)),"unknown")</f>
        <v>g</v>
      </c>
      <c r="K1676" s="6" t="str">
        <f t="shared" si="104"/>
        <v>g</v>
      </c>
      <c r="L1676" s="6" t="str">
        <f t="shared" si="105"/>
        <v>Aldi Specially Selected</v>
      </c>
      <c r="M1676" s="6" t="str">
        <f t="shared" si="106"/>
        <v>Sea Salt &amp; Chardonny Vinegar</v>
      </c>
      <c r="N1676" s="6" t="str">
        <f t="shared" si="107"/>
        <v>United Kingdom</v>
      </c>
    </row>
    <row r="1677" spans="1:14" x14ac:dyDescent="0.25">
      <c r="A1677" s="6" t="s">
        <v>4121</v>
      </c>
      <c r="B1677" s="6">
        <v>13664</v>
      </c>
      <c r="C1677" s="6" t="s">
        <v>4122</v>
      </c>
      <c r="D1677" s="7" t="s">
        <v>452</v>
      </c>
      <c r="E1677" s="6" t="s">
        <v>10</v>
      </c>
      <c r="F1677" s="6" t="s">
        <v>7599</v>
      </c>
      <c r="G1677" s="8">
        <v>45419</v>
      </c>
      <c r="H1677" s="6">
        <v>14.23</v>
      </c>
      <c r="I1677" s="6" cm="1">
        <f t="array" ref="I1677">IFERROR(VALUE(TRIM(LEFT(E1677,MIN(FIND({" ";"g";"k";"m";"o"},E1677&amp;" gkmo"))-1))),0)</f>
        <v>100</v>
      </c>
      <c r="J1677" s="6" t="str" cm="1">
        <f t="array" ref="J1677">IFERROR(TRIM(MID(E1677,MIN(FIND({" ";"g";"k";"m";"o"},E1677&amp;" gkmo")),10)),"unknown")</f>
        <v>g</v>
      </c>
      <c r="K1677" s="6" t="str">
        <f t="shared" si="104"/>
        <v>g</v>
      </c>
      <c r="L1677" s="6" t="str">
        <f t="shared" si="105"/>
        <v>Hacendado</v>
      </c>
      <c r="M1677" s="6" t="str">
        <f t="shared" si="106"/>
        <v>Chicles Hierbabuena</v>
      </c>
      <c r="N1677" s="6" t="str">
        <f t="shared" si="107"/>
        <v>Marruecos,Espaà±A</v>
      </c>
    </row>
    <row r="1678" spans="1:14" x14ac:dyDescent="0.25">
      <c r="A1678" s="6" t="s">
        <v>4123</v>
      </c>
      <c r="B1678" s="6">
        <v>5511</v>
      </c>
      <c r="C1678" s="6" t="s">
        <v>7758</v>
      </c>
      <c r="D1678" s="7" t="s">
        <v>4124</v>
      </c>
      <c r="E1678" s="6" t="s">
        <v>1312</v>
      </c>
      <c r="F1678" s="6" t="s">
        <v>8089</v>
      </c>
      <c r="G1678" s="8">
        <v>45696</v>
      </c>
      <c r="H1678" s="6">
        <v>21.26</v>
      </c>
      <c r="I1678" s="6" cm="1">
        <f t="array" ref="I1678">IFERROR(VALUE(TRIM(LEFT(E1678,MIN(FIND({" ";"g";"k";"m";"o"},E1678&amp;" gkmo"))-1))),0)</f>
        <v>50</v>
      </c>
      <c r="J1678" s="6" t="str" cm="1">
        <f t="array" ref="J1678">IFERROR(TRIM(MID(E1678,MIN(FIND({" ";"g";"k";"m";"o"},E1678&amp;" gkmo")),10)),"unknown")</f>
        <v>g</v>
      </c>
      <c r="K1678" s="6" t="str">
        <f t="shared" si="104"/>
        <v>g</v>
      </c>
      <c r="L1678" s="6" t="str">
        <f t="shared" si="105"/>
        <v>Suzi Wan</v>
      </c>
      <c r="M1678" s="6" t="str">
        <f t="shared" si="106"/>
        <v>Chips À  La Crevette</v>
      </c>
      <c r="N1678" s="6" t="str">
        <f t="shared" si="107"/>
        <v>France, Italy</v>
      </c>
    </row>
    <row r="1679" spans="1:14" x14ac:dyDescent="0.25">
      <c r="A1679" s="6" t="s">
        <v>4125</v>
      </c>
      <c r="B1679" s="6">
        <v>11417</v>
      </c>
      <c r="C1679" s="6" t="s">
        <v>7759</v>
      </c>
      <c r="D1679" s="7" t="s">
        <v>4054</v>
      </c>
      <c r="E1679" s="6" t="s">
        <v>64</v>
      </c>
      <c r="F1679" s="6" t="s">
        <v>5759</v>
      </c>
      <c r="G1679" s="8">
        <v>45539</v>
      </c>
      <c r="H1679" s="6">
        <v>2.7</v>
      </c>
      <c r="I1679" s="6" cm="1">
        <f t="array" ref="I1679">IFERROR(VALUE(TRIM(LEFT(E1679,MIN(FIND({" ";"g";"k";"m";"o"},E1679&amp;" gkmo"))-1))),0)</f>
        <v>150</v>
      </c>
      <c r="J1679" s="6" t="str" cm="1">
        <f t="array" ref="J1679">IFERROR(TRIM(MID(E1679,MIN(FIND({" ";"g";"k";"m";"o"},E1679&amp;" gkmo")),10)),"unknown")</f>
        <v>g</v>
      </c>
      <c r="K1679" s="6" t="str">
        <f t="shared" si="104"/>
        <v>g</v>
      </c>
      <c r="L1679" s="6" t="str">
        <f t="shared" si="105"/>
        <v>Intersnack, Vico</v>
      </c>
      <c r="M1679" s="6" t="str">
        <f t="shared" si="106"/>
        <v>Monster Munch Crazy Goà»T Crème Oignon</v>
      </c>
      <c r="N1679" s="6" t="str">
        <f t="shared" si="107"/>
        <v>Fr</v>
      </c>
    </row>
    <row r="1680" spans="1:14" x14ac:dyDescent="0.25">
      <c r="A1680" s="6" t="s">
        <v>4126</v>
      </c>
      <c r="B1680" s="6">
        <v>6280</v>
      </c>
      <c r="C1680" s="6" t="s">
        <v>1192</v>
      </c>
      <c r="D1680" s="7" t="s">
        <v>726</v>
      </c>
      <c r="E1680" s="6" t="s">
        <v>4127</v>
      </c>
      <c r="F1680" s="6" t="s">
        <v>177</v>
      </c>
      <c r="G1680" s="8">
        <v>45965</v>
      </c>
      <c r="H1680" s="6">
        <v>6.32</v>
      </c>
      <c r="I1680" s="6" cm="1">
        <f t="array" ref="I1680">IFERROR(VALUE(TRIM(LEFT(E1680,MIN(FIND({" ";"g";"k";"m";"o"},E1680&amp;" gkmo"))-1))),0)</f>
        <v>0</v>
      </c>
      <c r="J1680" s="6" t="str" cm="1">
        <f t="array" ref="J1680">IFERROR(TRIM(MID(E1680,MIN(FIND({" ";"g";"k";"m";"o"},E1680&amp;" gkmo")),10)),"unknown")</f>
        <v>g</v>
      </c>
      <c r="K1680" s="6" t="str">
        <f t="shared" si="104"/>
        <v>g</v>
      </c>
      <c r="L1680" s="6" t="str">
        <f t="shared" si="105"/>
        <v>Walkers</v>
      </c>
      <c r="M1680" s="6" t="str">
        <f t="shared" si="106"/>
        <v>Baked Sea Salt</v>
      </c>
      <c r="N1680" s="6" t="str">
        <f t="shared" si="107"/>
        <v>United Kingdom</v>
      </c>
    </row>
    <row r="1681" spans="1:14" x14ac:dyDescent="0.25">
      <c r="A1681" s="6" t="s">
        <v>4128</v>
      </c>
      <c r="B1681" s="6">
        <v>5560</v>
      </c>
      <c r="C1681" s="6" t="s">
        <v>4129</v>
      </c>
      <c r="D1681" s="7" t="s">
        <v>7017</v>
      </c>
      <c r="E1681" s="6"/>
      <c r="F1681" s="6" t="s">
        <v>48</v>
      </c>
      <c r="G1681" s="8">
        <v>45656</v>
      </c>
      <c r="H1681" s="6">
        <v>16.57</v>
      </c>
      <c r="I1681" s="6" cm="1">
        <f t="array" ref="I1681">IFERROR(VALUE(TRIM(LEFT(E1681,MIN(FIND({" ";"g";"k";"m";"o"},E1681&amp;" gkmo"))-1))),0)</f>
        <v>0</v>
      </c>
      <c r="J1681" s="6" t="str" cm="1">
        <f t="array" ref="J1681">IFERROR(TRIM(MID(E1681,MIN(FIND({" ";"g";"k";"m";"o"},E1681&amp;" gkmo")),10)),"unknown")</f>
        <v/>
      </c>
      <c r="K1681" s="6" t="str">
        <f t="shared" si="104"/>
        <v>unknown</v>
      </c>
      <c r="L1681" s="6" t="str">
        <f t="shared" si="105"/>
        <v>Unknown</v>
      </c>
      <c r="M1681" s="6" t="str">
        <f t="shared" si="106"/>
        <v>Muffins</v>
      </c>
      <c r="N1681" s="6" t="str">
        <f t="shared" si="107"/>
        <v>Morocco</v>
      </c>
    </row>
    <row r="1682" spans="1:14" x14ac:dyDescent="0.25">
      <c r="A1682" s="6" t="s">
        <v>4130</v>
      </c>
      <c r="B1682" s="6">
        <v>10067</v>
      </c>
      <c r="C1682" s="6" t="s">
        <v>7277</v>
      </c>
      <c r="D1682" s="7" t="s">
        <v>4131</v>
      </c>
      <c r="E1682" s="6" t="s">
        <v>2081</v>
      </c>
      <c r="F1682" s="6" t="s">
        <v>442</v>
      </c>
      <c r="G1682" s="8">
        <v>45526</v>
      </c>
      <c r="H1682" s="6">
        <v>7.93</v>
      </c>
      <c r="I1682" s="6" cm="1">
        <f t="array" ref="I1682">IFERROR(VALUE(TRIM(LEFT(E1682,MIN(FIND({" ";"g";"k";"m";"o"},E1682&amp;" gkmo"))-1))),0)</f>
        <v>120</v>
      </c>
      <c r="J1682" s="6" t="str" cm="1">
        <f t="array" ref="J1682">IFERROR(TRIM(MID(E1682,MIN(FIND({" ";"g";"k";"m";"o"},E1682&amp;" gkmo")),10)),"unknown")</f>
        <v>g</v>
      </c>
      <c r="K1682" s="6" t="str">
        <f t="shared" si="104"/>
        <v>g</v>
      </c>
      <c r="L1682" s="6" t="str">
        <f t="shared" si="105"/>
        <v>Lay'S, Lays</v>
      </c>
      <c r="M1682" s="6" t="str">
        <f t="shared" si="106"/>
        <v>Lay'S Paysanne Saveur Oignons De Roscoff Caramélisé</v>
      </c>
      <c r="N1682" s="6" t="str">
        <f t="shared" si="107"/>
        <v>Frankreich</v>
      </c>
    </row>
    <row r="1683" spans="1:14" x14ac:dyDescent="0.25">
      <c r="A1683" s="6" t="s">
        <v>4132</v>
      </c>
      <c r="B1683" s="6">
        <v>13314</v>
      </c>
      <c r="C1683" s="6" t="s">
        <v>4133</v>
      </c>
      <c r="D1683" s="7" t="s">
        <v>112</v>
      </c>
      <c r="E1683" s="6" t="s">
        <v>1265</v>
      </c>
      <c r="F1683" s="6" t="s">
        <v>8090</v>
      </c>
      <c r="G1683" s="8">
        <v>45597</v>
      </c>
      <c r="H1683" s="6">
        <v>10.68</v>
      </c>
      <c r="I1683" s="6" cm="1">
        <f t="array" ref="I1683">IFERROR(VALUE(TRIM(LEFT(E1683,MIN(FIND({" ";"g";"k";"m";"o"},E1683&amp;" gkmo"))-1))),0)</f>
        <v>185</v>
      </c>
      <c r="J1683" s="6" t="str" cm="1">
        <f t="array" ref="J1683">IFERROR(TRIM(MID(E1683,MIN(FIND({" ";"g";"k";"m";"o"},E1683&amp;" gkmo")),10)),"unknown")</f>
        <v>g</v>
      </c>
      <c r="K1683" s="6" t="str">
        <f t="shared" si="104"/>
        <v>g</v>
      </c>
      <c r="L1683" s="6" t="str">
        <f t="shared" si="105"/>
        <v>Pringles</v>
      </c>
      <c r="M1683" s="6" t="str">
        <f t="shared" si="106"/>
        <v>Paprika</v>
      </c>
      <c r="N1683" s="6" t="str">
        <f t="shared" si="107"/>
        <v>Spain, United Kingdom, Italy</v>
      </c>
    </row>
    <row r="1684" spans="1:14" x14ac:dyDescent="0.25">
      <c r="A1684" s="6" t="s">
        <v>4134</v>
      </c>
      <c r="B1684" s="6">
        <v>12396</v>
      </c>
      <c r="C1684" s="6" t="s">
        <v>7278</v>
      </c>
      <c r="D1684" s="7" t="s">
        <v>7017</v>
      </c>
      <c r="E1684" s="6" t="s">
        <v>10</v>
      </c>
      <c r="F1684" s="6" t="s">
        <v>139</v>
      </c>
      <c r="G1684" s="8">
        <v>45723</v>
      </c>
      <c r="H1684" s="6">
        <v>12.36</v>
      </c>
      <c r="I1684" s="6" cm="1">
        <f t="array" ref="I1684">IFERROR(VALUE(TRIM(LEFT(E1684,MIN(FIND({" ";"g";"k";"m";"o"},E1684&amp;" gkmo"))-1))),0)</f>
        <v>100</v>
      </c>
      <c r="J1684" s="6" t="str" cm="1">
        <f t="array" ref="J1684">IFERROR(TRIM(MID(E1684,MIN(FIND({" ";"g";"k";"m";"o"},E1684&amp;" gkmo")),10)),"unknown")</f>
        <v>g</v>
      </c>
      <c r="K1684" s="6" t="str">
        <f t="shared" si="104"/>
        <v>g</v>
      </c>
      <c r="L1684" s="6" t="str">
        <f t="shared" si="105"/>
        <v>Unknown</v>
      </c>
      <c r="M1684" s="6" t="str">
        <f t="shared" si="106"/>
        <v>Tablette De Chocolat Noir Excellence Pailleté Dentelle</v>
      </c>
      <c r="N1684" s="6" t="str">
        <f t="shared" si="107"/>
        <v>France</v>
      </c>
    </row>
    <row r="1685" spans="1:14" x14ac:dyDescent="0.25">
      <c r="A1685" s="6" t="s">
        <v>4135</v>
      </c>
      <c r="B1685" s="6">
        <v>12277</v>
      </c>
      <c r="C1685" s="6" t="s">
        <v>4136</v>
      </c>
      <c r="D1685" s="7" t="s">
        <v>4137</v>
      </c>
      <c r="E1685" s="6" t="s">
        <v>284</v>
      </c>
      <c r="F1685" s="6" t="s">
        <v>139</v>
      </c>
      <c r="G1685" s="8">
        <v>45899</v>
      </c>
      <c r="H1685" s="6">
        <v>13.16</v>
      </c>
      <c r="I1685" s="6" cm="1">
        <f t="array" ref="I1685">IFERROR(VALUE(TRIM(LEFT(E1685,MIN(FIND({" ";"g";"k";"m";"o"},E1685&amp;" gkmo"))-1))),0)</f>
        <v>180</v>
      </c>
      <c r="J1685" s="6" t="str" cm="1">
        <f t="array" ref="J1685">IFERROR(TRIM(MID(E1685,MIN(FIND({" ";"g";"k";"m";"o"},E1685&amp;" gkmo")),10)),"unknown")</f>
        <v>g</v>
      </c>
      <c r="K1685" s="6" t="str">
        <f t="shared" si="104"/>
        <v>g</v>
      </c>
      <c r="L1685" s="6" t="str">
        <f t="shared" si="105"/>
        <v>Monoprix</v>
      </c>
      <c r="M1685" s="6" t="str">
        <f t="shared" si="106"/>
        <v>Barres Au Son D'Avoine</v>
      </c>
      <c r="N1685" s="6" t="str">
        <f t="shared" si="107"/>
        <v>France</v>
      </c>
    </row>
    <row r="1686" spans="1:14" x14ac:dyDescent="0.25">
      <c r="A1686" s="6" t="s">
        <v>4138</v>
      </c>
      <c r="B1686" s="6">
        <v>11871</v>
      </c>
      <c r="C1686" s="6" t="s">
        <v>7902</v>
      </c>
      <c r="D1686" s="7" t="s">
        <v>7030</v>
      </c>
      <c r="E1686" s="6" t="s">
        <v>4139</v>
      </c>
      <c r="F1686" s="6" t="s">
        <v>139</v>
      </c>
      <c r="G1686" s="8">
        <v>45357</v>
      </c>
      <c r="H1686" s="6">
        <v>11.31</v>
      </c>
      <c r="I1686" s="6" cm="1">
        <f t="array" ref="I1686">IFERROR(VALUE(TRIM(LEFT(E1686,MIN(FIND({" ";"g";"k";"m";"o"},E1686&amp;" gkmo"))-1))),0)</f>
        <v>132</v>
      </c>
      <c r="J1686" s="6" t="str" cm="1">
        <f t="array" ref="J1686">IFERROR(TRIM(MID(E1686,MIN(FIND({" ";"g";"k";"m";"o"},E1686&amp;" gkmo")),10)),"unknown")</f>
        <v>g (3 sach</v>
      </c>
      <c r="K1686" s="6" t="str">
        <f t="shared" si="104"/>
        <v>g</v>
      </c>
      <c r="L1686" s="6" t="str">
        <f t="shared" si="105"/>
        <v>Gerblé</v>
      </c>
      <c r="M1686" s="6" t="str">
        <f t="shared" si="106"/>
        <v>Petit Dej' Pepites De Chocolat &amp; Miel</v>
      </c>
      <c r="N1686" s="6" t="str">
        <f t="shared" si="107"/>
        <v>France</v>
      </c>
    </row>
    <row r="1687" spans="1:14" x14ac:dyDescent="0.25">
      <c r="A1687" s="6" t="s">
        <v>4140</v>
      </c>
      <c r="B1687" s="6">
        <v>6398</v>
      </c>
      <c r="C1687" s="6" t="s">
        <v>4141</v>
      </c>
      <c r="D1687" s="7" t="s">
        <v>1167</v>
      </c>
      <c r="E1687" s="6" t="s">
        <v>2638</v>
      </c>
      <c r="F1687" s="6" t="s">
        <v>1181</v>
      </c>
      <c r="G1687" s="8">
        <v>45800</v>
      </c>
      <c r="H1687" s="6">
        <v>19.84</v>
      </c>
      <c r="I1687" s="6" cm="1">
        <f t="array" ref="I1687">IFERROR(VALUE(TRIM(LEFT(E1687,MIN(FIND({" ";"g";"k";"m";"o"},E1687&amp;" gkmo"))-1))),0)</f>
        <v>6</v>
      </c>
      <c r="J1687" s="6" t="str" cm="1">
        <f t="array" ref="J1687">IFERROR(TRIM(MID(E1687,MIN(FIND({" ";"g";"k";"m";"o"},E1687&amp;" gkmo")),10)),"unknown")</f>
        <v>x 30 g</v>
      </c>
      <c r="K1687" s="6" t="str">
        <f t="shared" si="104"/>
        <v>g</v>
      </c>
      <c r="L1687" s="6" t="str">
        <f t="shared" si="105"/>
        <v>Lidl</v>
      </c>
      <c r="M1687" s="6" t="str">
        <f t="shared" si="106"/>
        <v>Chocolat Noir 70% Cacao</v>
      </c>
      <c r="N1687" s="6" t="str">
        <f t="shared" si="107"/>
        <v>France,Switzerland</v>
      </c>
    </row>
    <row r="1688" spans="1:14" x14ac:dyDescent="0.25">
      <c r="A1688" s="6" t="s">
        <v>4142</v>
      </c>
      <c r="B1688" s="6">
        <v>8641</v>
      </c>
      <c r="C1688" s="6" t="s">
        <v>4143</v>
      </c>
      <c r="D1688" s="7" t="s">
        <v>4144</v>
      </c>
      <c r="E1688" s="6" t="s">
        <v>528</v>
      </c>
      <c r="F1688" s="6" t="s">
        <v>177</v>
      </c>
      <c r="G1688" s="8">
        <v>45410</v>
      </c>
      <c r="H1688" s="6">
        <v>19.760000000000002</v>
      </c>
      <c r="I1688" s="6" cm="1">
        <f t="array" ref="I1688">IFERROR(VALUE(TRIM(LEFT(E1688,MIN(FIND({" ";"g";"k";"m";"o"},E1688&amp;" gkmo"))-1))),0)</f>
        <v>200</v>
      </c>
      <c r="J1688" s="6" t="str" cm="1">
        <f t="array" ref="J1688">IFERROR(TRIM(MID(E1688,MIN(FIND({" ";"g";"k";"m";"o"},E1688&amp;" gkmo")),10)),"unknown")</f>
        <v>g</v>
      </c>
      <c r="K1688" s="6" t="str">
        <f t="shared" si="104"/>
        <v>g</v>
      </c>
      <c r="L1688" s="6" t="str">
        <f t="shared" si="105"/>
        <v>The Foodie Market, Aldi, Aldi The Foodie Market</v>
      </c>
      <c r="M1688" s="6" t="str">
        <f t="shared" si="106"/>
        <v>Roasted Pistachios</v>
      </c>
      <c r="N1688" s="6" t="str">
        <f t="shared" si="107"/>
        <v>United Kingdom</v>
      </c>
    </row>
    <row r="1689" spans="1:14" x14ac:dyDescent="0.25">
      <c r="A1689" s="6" t="s">
        <v>4145</v>
      </c>
      <c r="B1689" s="6">
        <v>13666</v>
      </c>
      <c r="C1689" s="6" t="s">
        <v>4146</v>
      </c>
      <c r="D1689" s="7" t="s">
        <v>4147</v>
      </c>
      <c r="E1689" s="6" t="s">
        <v>476</v>
      </c>
      <c r="F1689" s="6" t="s">
        <v>8091</v>
      </c>
      <c r="G1689" s="8">
        <v>45383</v>
      </c>
      <c r="H1689" s="6">
        <v>15.12</v>
      </c>
      <c r="I1689" s="6" cm="1">
        <f t="array" ref="I1689">IFERROR(VALUE(TRIM(LEFT(E1689,MIN(FIND({" ";"g";"k";"m";"o"},E1689&amp;" gkmo"))-1))),0)</f>
        <v>45</v>
      </c>
      <c r="J1689" s="6" t="str" cm="1">
        <f t="array" ref="J1689">IFERROR(TRIM(MID(E1689,MIN(FIND({" ";"g";"k";"m";"o"},E1689&amp;" gkmo")),10)),"unknown")</f>
        <v>g</v>
      </c>
      <c r="K1689" s="6" t="str">
        <f t="shared" si="104"/>
        <v>g</v>
      </c>
      <c r="L1689" s="6" t="str">
        <f t="shared" si="105"/>
        <v>NäKd, Nakd</v>
      </c>
      <c r="M1689" s="6" t="str">
        <f t="shared" si="106"/>
        <v>Protein Bar Caramel</v>
      </c>
      <c r="N1689" s="6" t="str">
        <f t="shared" si="107"/>
        <v>United Kingdom, Netherlands</v>
      </c>
    </row>
    <row r="1690" spans="1:14" x14ac:dyDescent="0.25">
      <c r="A1690" s="6" t="s">
        <v>4148</v>
      </c>
      <c r="B1690" s="6">
        <v>11578</v>
      </c>
      <c r="C1690" s="6" t="s">
        <v>4149</v>
      </c>
      <c r="D1690" s="7" t="s">
        <v>2338</v>
      </c>
      <c r="E1690" s="6" t="s">
        <v>423</v>
      </c>
      <c r="F1690" s="6" t="s">
        <v>177</v>
      </c>
      <c r="G1690" s="8">
        <v>45815</v>
      </c>
      <c r="H1690" s="6">
        <v>7.74</v>
      </c>
      <c r="I1690" s="6" cm="1">
        <f t="array" ref="I1690">IFERROR(VALUE(TRIM(LEFT(E1690,MIN(FIND({" ";"g";"k";"m";"o"},E1690&amp;" gkmo"))-1))),0)</f>
        <v>125</v>
      </c>
      <c r="J1690" s="6" t="str" cm="1">
        <f t="array" ref="J1690">IFERROR(TRIM(MID(E1690,MIN(FIND({" ";"g";"k";"m";"o"},E1690&amp;" gkmo")),10)),"unknown")</f>
        <v>g</v>
      </c>
      <c r="K1690" s="6" t="str">
        <f t="shared" si="104"/>
        <v>g</v>
      </c>
      <c r="L1690" s="6" t="str">
        <f t="shared" si="105"/>
        <v>Rivercote</v>
      </c>
      <c r="M1690" s="6" t="str">
        <f t="shared" si="106"/>
        <v>Rosemary &amp; Sea Salt Flatbread Thins</v>
      </c>
      <c r="N1690" s="6" t="str">
        <f t="shared" si="107"/>
        <v>United Kingdom</v>
      </c>
    </row>
    <row r="1691" spans="1:14" x14ac:dyDescent="0.25">
      <c r="A1691" s="6" t="s">
        <v>4150</v>
      </c>
      <c r="B1691" s="6">
        <v>14633</v>
      </c>
      <c r="C1691" s="6" t="s">
        <v>4151</v>
      </c>
      <c r="D1691" s="7" t="s">
        <v>4152</v>
      </c>
      <c r="E1691" s="6" t="s">
        <v>345</v>
      </c>
      <c r="F1691" s="6" t="s">
        <v>48</v>
      </c>
      <c r="G1691" s="8">
        <v>45704</v>
      </c>
      <c r="H1691" s="6">
        <v>8.4</v>
      </c>
      <c r="I1691" s="6" cm="1">
        <f t="array" ref="I1691">IFERROR(VALUE(TRIM(LEFT(E1691,MIN(FIND({" ";"g";"k";"m";"o"},E1691&amp;" gkmo"))-1))),0)</f>
        <v>52</v>
      </c>
      <c r="J1691" s="6" t="str" cm="1">
        <f t="array" ref="J1691">IFERROR(TRIM(MID(E1691,MIN(FIND({" ";"g";"k";"m";"o"},E1691&amp;" gkmo")),10)),"unknown")</f>
        <v>g</v>
      </c>
      <c r="K1691" s="6" t="str">
        <f t="shared" si="104"/>
        <v>g</v>
      </c>
      <c r="L1691" s="6" t="str">
        <f t="shared" si="105"/>
        <v>It</v>
      </c>
      <c r="M1691" s="6" t="str">
        <f t="shared" si="106"/>
        <v>P'Tit Gouter</v>
      </c>
      <c r="N1691" s="6" t="str">
        <f t="shared" si="107"/>
        <v>Morocco</v>
      </c>
    </row>
    <row r="1692" spans="1:14" x14ac:dyDescent="0.25">
      <c r="A1692" s="6" t="s">
        <v>4153</v>
      </c>
      <c r="B1692" s="6">
        <v>5686</v>
      </c>
      <c r="C1692" s="6" t="s">
        <v>7017</v>
      </c>
      <c r="D1692" s="7" t="s">
        <v>4154</v>
      </c>
      <c r="E1692" s="6" t="s">
        <v>4155</v>
      </c>
      <c r="F1692" s="6" t="s">
        <v>4156</v>
      </c>
      <c r="G1692" s="8">
        <v>45779</v>
      </c>
      <c r="H1692" s="6">
        <v>13.16</v>
      </c>
      <c r="I1692" s="6" cm="1">
        <f t="array" ref="I1692">IFERROR(VALUE(TRIM(LEFT(E1692,MIN(FIND({" ";"g";"k";"m";"o"},E1692&amp;" gkmo"))-1))),0)</f>
        <v>0</v>
      </c>
      <c r="J1692" s="6" t="str" cm="1">
        <f t="array" ref="J1692">IFERROR(TRIM(MID(E1692,MIN(FIND({" ";"g";"k";"m";"o"},E1692&amp;" gkmo")),10)),"unknown")</f>
        <v>g</v>
      </c>
      <c r="K1692" s="6" t="str">
        <f t="shared" si="104"/>
        <v>g</v>
      </c>
      <c r="L1692" s="6" t="str">
        <f t="shared" si="105"/>
        <v>Twix</v>
      </c>
      <c r="M1692" s="6" t="str">
        <f t="shared" si="106"/>
        <v>Unknown</v>
      </c>
      <c r="N1692" s="6" t="str">
        <f t="shared" si="107"/>
        <v>Morocco,South Africa</v>
      </c>
    </row>
    <row r="1693" spans="1:14" x14ac:dyDescent="0.25">
      <c r="A1693" s="6" t="s">
        <v>4157</v>
      </c>
      <c r="B1693" s="6">
        <v>10067</v>
      </c>
      <c r="C1693" s="6" t="s">
        <v>4158</v>
      </c>
      <c r="D1693" s="7" t="s">
        <v>7760</v>
      </c>
      <c r="E1693" s="6" t="s">
        <v>284</v>
      </c>
      <c r="F1693" s="6" t="s">
        <v>4159</v>
      </c>
      <c r="G1693" s="8">
        <v>45884</v>
      </c>
      <c r="H1693" s="6">
        <v>2.59</v>
      </c>
      <c r="I1693" s="6" cm="1">
        <f t="array" ref="I1693">IFERROR(VALUE(TRIM(LEFT(E1693,MIN(FIND({" ";"g";"k";"m";"o"},E1693&amp;" gkmo"))-1))),0)</f>
        <v>180</v>
      </c>
      <c r="J1693" s="6" t="str" cm="1">
        <f t="array" ref="J1693">IFERROR(TRIM(MID(E1693,MIN(FIND({" ";"g";"k";"m";"o"},E1693&amp;" gkmo")),10)),"unknown")</f>
        <v>g</v>
      </c>
      <c r="K1693" s="6" t="str">
        <f t="shared" si="104"/>
        <v>g</v>
      </c>
      <c r="L1693" s="6" t="str">
        <f t="shared" si="105"/>
        <v>Shà¤R Gluten-Free</v>
      </c>
      <c r="M1693" s="6" t="str">
        <f t="shared" si="106"/>
        <v>Chocolate And Hazelnut Cake</v>
      </c>
      <c r="N1693" s="6" t="str">
        <f t="shared" si="107"/>
        <v>France,Monaco</v>
      </c>
    </row>
    <row r="1694" spans="1:14" x14ac:dyDescent="0.25">
      <c r="A1694" s="6" t="s">
        <v>4160</v>
      </c>
      <c r="B1694" s="6">
        <v>14299</v>
      </c>
      <c r="C1694" s="6" t="s">
        <v>4161</v>
      </c>
      <c r="D1694" s="7" t="s">
        <v>1434</v>
      </c>
      <c r="E1694" s="6" t="s">
        <v>4162</v>
      </c>
      <c r="F1694" s="6" t="s">
        <v>4163</v>
      </c>
      <c r="G1694" s="8">
        <v>45526</v>
      </c>
      <c r="H1694" s="6">
        <v>13.16</v>
      </c>
      <c r="I1694" s="6" cm="1">
        <f t="array" ref="I1694">IFERROR(VALUE(TRIM(LEFT(E1694,MIN(FIND({" ";"g";"k";"m";"o"},E1694&amp;" gkmo"))-1))),0)</f>
        <v>1</v>
      </c>
      <c r="J1694" s="6" t="str" cm="1">
        <f t="array" ref="J1694">IFERROR(TRIM(MID(E1694,MIN(FIND({" ";"g";"k";"m";"o"},E1694&amp;" gkmo")),10)),"unknown")</f>
        <v>oz (28.3</v>
      </c>
      <c r="K1694" s="6" t="str">
        <f t="shared" si="104"/>
        <v>g</v>
      </c>
      <c r="L1694" s="6" t="str">
        <f t="shared" si="105"/>
        <v>Doritos</v>
      </c>
      <c r="M1694" s="6" t="str">
        <f t="shared" si="106"/>
        <v>Nacho Cheese Flavored Tortilla Chips</v>
      </c>
      <c r="N1694" s="6" t="str">
        <f t="shared" si="107"/>
        <v>Bolivia,Estados Unidos</v>
      </c>
    </row>
    <row r="1695" spans="1:14" x14ac:dyDescent="0.25">
      <c r="A1695" s="6" t="s">
        <v>4164</v>
      </c>
      <c r="B1695" s="6">
        <v>8703</v>
      </c>
      <c r="C1695" s="6" t="s">
        <v>4165</v>
      </c>
      <c r="D1695" s="7" t="s">
        <v>7017</v>
      </c>
      <c r="E1695" s="6" t="s">
        <v>1886</v>
      </c>
      <c r="F1695" s="6" t="s">
        <v>220</v>
      </c>
      <c r="G1695" s="8">
        <v>45738</v>
      </c>
      <c r="H1695" s="6">
        <v>12.88</v>
      </c>
      <c r="I1695" s="6" cm="1">
        <f t="array" ref="I1695">IFERROR(VALUE(TRIM(LEFT(E1695,MIN(FIND({" ";"g";"k";"m";"o"},E1695&amp;" gkmo"))-1))),0)</f>
        <v>140</v>
      </c>
      <c r="J1695" s="6" t="str" cm="1">
        <f t="array" ref="J1695">IFERROR(TRIM(MID(E1695,MIN(FIND({" ";"g";"k";"m";"o"},E1695&amp;" gkmo")),10)),"unknown")</f>
        <v>g</v>
      </c>
      <c r="K1695" s="6" t="str">
        <f t="shared" si="104"/>
        <v>g</v>
      </c>
      <c r="L1695" s="6" t="str">
        <f t="shared" si="105"/>
        <v>Unknown</v>
      </c>
      <c r="M1695" s="6" t="str">
        <f t="shared" si="106"/>
        <v>Jammie Dodgers Raspberry Flavour</v>
      </c>
      <c r="N1695" s="6" t="str">
        <f t="shared" si="107"/>
        <v>France, United Kingdom</v>
      </c>
    </row>
    <row r="1696" spans="1:14" x14ac:dyDescent="0.25">
      <c r="A1696" s="6" t="s">
        <v>4166</v>
      </c>
      <c r="B1696" s="6">
        <v>13511</v>
      </c>
      <c r="C1696" s="6" t="s">
        <v>7761</v>
      </c>
      <c r="D1696" s="7" t="s">
        <v>7017</v>
      </c>
      <c r="E1696" s="6" t="s">
        <v>1845</v>
      </c>
      <c r="F1696" s="6" t="s">
        <v>139</v>
      </c>
      <c r="G1696" s="8">
        <v>45807</v>
      </c>
      <c r="H1696" s="6">
        <v>10.91</v>
      </c>
      <c r="I1696" s="6" cm="1">
        <f t="array" ref="I1696">IFERROR(VALUE(TRIM(LEFT(E1696,MIN(FIND({" ";"g";"k";"m";"o"},E1696&amp;" gkmo"))-1))),0)</f>
        <v>800</v>
      </c>
      <c r="J1696" s="6" t="str" cm="1">
        <f t="array" ref="J1696">IFERROR(TRIM(MID(E1696,MIN(FIND({" ";"g";"k";"m";"o"},E1696&amp;" gkmo")),10)),"unknown")</f>
        <v>g</v>
      </c>
      <c r="K1696" s="6" t="str">
        <f t="shared" si="104"/>
        <v>g</v>
      </c>
      <c r="L1696" s="6" t="str">
        <f t="shared" si="105"/>
        <v>Unknown</v>
      </c>
      <c r="M1696" s="6" t="str">
        <f t="shared" si="106"/>
        <v>Barre Pà¢Tissière Aux Å“Ufs Frais</v>
      </c>
      <c r="N1696" s="6" t="str">
        <f t="shared" si="107"/>
        <v>France</v>
      </c>
    </row>
    <row r="1697" spans="1:14" x14ac:dyDescent="0.25">
      <c r="A1697" s="6" t="s">
        <v>4167</v>
      </c>
      <c r="B1697" s="6">
        <v>9539</v>
      </c>
      <c r="C1697" s="6" t="s">
        <v>4168</v>
      </c>
      <c r="D1697" s="7" t="s">
        <v>60</v>
      </c>
      <c r="E1697" s="6"/>
      <c r="F1697" s="6" t="s">
        <v>8379</v>
      </c>
      <c r="G1697" s="8">
        <v>45651</v>
      </c>
      <c r="H1697" s="6">
        <v>11.08</v>
      </c>
      <c r="I1697" s="6" cm="1">
        <f t="array" ref="I1697">IFERROR(VALUE(TRIM(LEFT(E1697,MIN(FIND({" ";"g";"k";"m";"o"},E1697&amp;" gkmo"))-1))),0)</f>
        <v>0</v>
      </c>
      <c r="J1697" s="6" t="str" cm="1">
        <f t="array" ref="J1697">IFERROR(TRIM(MID(E1697,MIN(FIND({" ";"g";"k";"m";"o"},E1697&amp;" gkmo")),10)),"unknown")</f>
        <v/>
      </c>
      <c r="K1697" s="6" t="str">
        <f t="shared" si="104"/>
        <v>unknown</v>
      </c>
      <c r="L1697" s="6" t="str">
        <f t="shared" si="105"/>
        <v>Lindt</v>
      </c>
      <c r="M1697" s="6" t="str">
        <f t="shared" si="106"/>
        <v>Excellence Milk Sea Salt Caramel</v>
      </c>
      <c r="N1697" s="6" t="str">
        <f t="shared" si="107"/>
        <v>Australie,France,United Kingdom</v>
      </c>
    </row>
    <row r="1698" spans="1:14" x14ac:dyDescent="0.25">
      <c r="A1698" s="6" t="s">
        <v>4169</v>
      </c>
      <c r="B1698" s="6">
        <v>12802</v>
      </c>
      <c r="C1698" s="6" t="s">
        <v>4170</v>
      </c>
      <c r="D1698" s="7" t="s">
        <v>1345</v>
      </c>
      <c r="E1698" s="6" t="s">
        <v>1309</v>
      </c>
      <c r="F1698" s="6" t="s">
        <v>1181</v>
      </c>
      <c r="G1698" s="8">
        <v>45745</v>
      </c>
      <c r="H1698" s="6">
        <v>3.18</v>
      </c>
      <c r="I1698" s="6" cm="1">
        <f t="array" ref="I1698">IFERROR(VALUE(TRIM(LEFT(E1698,MIN(FIND({" ";"g";"k";"m";"o"},E1698&amp;" gkmo"))-1))),0)</f>
        <v>300</v>
      </c>
      <c r="J1698" s="6" t="str" cm="1">
        <f t="array" ref="J1698">IFERROR(TRIM(MID(E1698,MIN(FIND({" ";"g";"k";"m";"o"},E1698&amp;" gkmo")),10)),"unknown")</f>
        <v>g</v>
      </c>
      <c r="K1698" s="6" t="str">
        <f t="shared" si="104"/>
        <v>g</v>
      </c>
      <c r="L1698" s="6" t="str">
        <f t="shared" si="105"/>
        <v>Haribo</v>
      </c>
      <c r="M1698" s="6" t="str">
        <f t="shared" si="106"/>
        <v>Rotella</v>
      </c>
      <c r="N1698" s="6" t="str">
        <f t="shared" si="107"/>
        <v>France,Switzerland</v>
      </c>
    </row>
    <row r="1699" spans="1:14" x14ac:dyDescent="0.25">
      <c r="A1699" s="6" t="s">
        <v>4171</v>
      </c>
      <c r="B1699" s="6">
        <v>11259</v>
      </c>
      <c r="C1699" s="6" t="s">
        <v>4172</v>
      </c>
      <c r="D1699" s="7" t="s">
        <v>310</v>
      </c>
      <c r="E1699" s="6" t="s">
        <v>4173</v>
      </c>
      <c r="F1699" s="6" t="s">
        <v>139</v>
      </c>
      <c r="G1699" s="8">
        <v>45508</v>
      </c>
      <c r="H1699" s="6">
        <v>6.25</v>
      </c>
      <c r="I1699" s="6" cm="1">
        <f t="array" ref="I1699">IFERROR(VALUE(TRIM(LEFT(E1699,MIN(FIND({" ";"g";"k";"m";"o"},E1699&amp;" gkmo"))-1))),0)</f>
        <v>520</v>
      </c>
      <c r="J1699" s="6" t="str" cm="1">
        <f t="array" ref="J1699">IFERROR(TRIM(MID(E1699,MIN(FIND({" ";"g";"k";"m";"o"},E1699&amp;" gkmo")),10)),"unknown")</f>
        <v>g</v>
      </c>
      <c r="K1699" s="6" t="str">
        <f t="shared" si="104"/>
        <v>g</v>
      </c>
      <c r="L1699" s="6" t="str">
        <f t="shared" si="105"/>
        <v>St Michel</v>
      </c>
      <c r="M1699" s="6" t="str">
        <f t="shared" si="106"/>
        <v>Galettes Au Bon Beurre</v>
      </c>
      <c r="N1699" s="6" t="str">
        <f t="shared" si="107"/>
        <v>France</v>
      </c>
    </row>
    <row r="1700" spans="1:14" x14ac:dyDescent="0.25">
      <c r="A1700" s="6" t="s">
        <v>4174</v>
      </c>
      <c r="B1700" s="6">
        <v>6733</v>
      </c>
      <c r="C1700" s="6" t="s">
        <v>4175</v>
      </c>
      <c r="D1700" s="7" t="s">
        <v>72</v>
      </c>
      <c r="E1700" s="6" t="s">
        <v>73</v>
      </c>
      <c r="F1700" s="6" t="s">
        <v>139</v>
      </c>
      <c r="G1700" s="8">
        <v>45577</v>
      </c>
      <c r="H1700" s="6">
        <v>10.37</v>
      </c>
      <c r="I1700" s="6" cm="1">
        <f t="array" ref="I1700">IFERROR(VALUE(TRIM(LEFT(E1700,MIN(FIND({" ";"g";"k";"m";"o"},E1700&amp;" gkmo"))-1))),0)</f>
        <v>225</v>
      </c>
      <c r="J1700" s="6" t="str" cm="1">
        <f t="array" ref="J1700">IFERROR(TRIM(MID(E1700,MIN(FIND({" ";"g";"k";"m";"o"},E1700&amp;" gkmo")),10)),"unknown")</f>
        <v>g</v>
      </c>
      <c r="K1700" s="6" t="str">
        <f t="shared" si="104"/>
        <v>g</v>
      </c>
      <c r="L1700" s="6" t="str">
        <f t="shared" si="105"/>
        <v>Bjorg</v>
      </c>
      <c r="M1700" s="6" t="str">
        <f t="shared" si="106"/>
        <v>La Madeleine Bio</v>
      </c>
      <c r="N1700" s="6" t="str">
        <f t="shared" si="107"/>
        <v>France</v>
      </c>
    </row>
    <row r="1701" spans="1:14" x14ac:dyDescent="0.25">
      <c r="A1701" s="6" t="s">
        <v>4176</v>
      </c>
      <c r="B1701" s="6">
        <v>7499</v>
      </c>
      <c r="C1701" s="6" t="s">
        <v>7279</v>
      </c>
      <c r="D1701" s="7" t="s">
        <v>7017</v>
      </c>
      <c r="E1701" s="6" t="s">
        <v>840</v>
      </c>
      <c r="F1701" s="6" t="s">
        <v>139</v>
      </c>
      <c r="G1701" s="8">
        <v>45802</v>
      </c>
      <c r="H1701" s="6">
        <v>6.35</v>
      </c>
      <c r="I1701" s="6" cm="1">
        <f t="array" ref="I1701">IFERROR(VALUE(TRIM(LEFT(E1701,MIN(FIND({" ";"g";"k";"m";"o"},E1701&amp;" gkmo"))-1))),0)</f>
        <v>175</v>
      </c>
      <c r="J1701" s="6" t="str" cm="1">
        <f t="array" ref="J1701">IFERROR(TRIM(MID(E1701,MIN(FIND({" ";"g";"k";"m";"o"},E1701&amp;" gkmo")),10)),"unknown")</f>
        <v>g</v>
      </c>
      <c r="K1701" s="6" t="str">
        <f t="shared" si="104"/>
        <v>g</v>
      </c>
      <c r="L1701" s="6" t="str">
        <f t="shared" si="105"/>
        <v>Unknown</v>
      </c>
      <c r="M1701" s="6" t="str">
        <f t="shared" si="106"/>
        <v>Cookies Bio Quinoa Pépites Chocolat Paquet De 175G</v>
      </c>
      <c r="N1701" s="6" t="str">
        <f t="shared" si="107"/>
        <v>France</v>
      </c>
    </row>
    <row r="1702" spans="1:14" x14ac:dyDescent="0.25">
      <c r="A1702" s="6" t="s">
        <v>4177</v>
      </c>
      <c r="B1702" s="6">
        <v>10206</v>
      </c>
      <c r="C1702" s="6" t="s">
        <v>7280</v>
      </c>
      <c r="D1702" s="7" t="s">
        <v>7495</v>
      </c>
      <c r="E1702" s="6" t="s">
        <v>1845</v>
      </c>
      <c r="F1702" s="6" t="s">
        <v>139</v>
      </c>
      <c r="G1702" s="8">
        <v>45806</v>
      </c>
      <c r="H1702" s="6">
        <v>3.56</v>
      </c>
      <c r="I1702" s="6" cm="1">
        <f t="array" ref="I1702">IFERROR(VALUE(TRIM(LEFT(E1702,MIN(FIND({" ";"g";"k";"m";"o"},E1702&amp;" gkmo"))-1))),0)</f>
        <v>800</v>
      </c>
      <c r="J1702" s="6" t="str" cm="1">
        <f t="array" ref="J1702">IFERROR(TRIM(MID(E1702,MIN(FIND({" ";"g";"k";"m";"o"},E1702&amp;" gkmo")),10)),"unknown")</f>
        <v>g</v>
      </c>
      <c r="K1702" s="6" t="str">
        <f t="shared" si="104"/>
        <v>g</v>
      </c>
      <c r="L1702" s="6" t="str">
        <f t="shared" si="105"/>
        <v>La Boulangère</v>
      </c>
      <c r="M1702" s="6" t="str">
        <f t="shared" si="106"/>
        <v>Brioche Tressée Pur Beurre 800G</v>
      </c>
      <c r="N1702" s="6" t="str">
        <f t="shared" si="107"/>
        <v>France</v>
      </c>
    </row>
    <row r="1703" spans="1:14" x14ac:dyDescent="0.25">
      <c r="A1703" s="6" t="s">
        <v>4178</v>
      </c>
      <c r="B1703" s="6">
        <v>9477</v>
      </c>
      <c r="C1703" s="6" t="s">
        <v>4179</v>
      </c>
      <c r="D1703" s="7" t="s">
        <v>7493</v>
      </c>
      <c r="E1703" s="6" t="s">
        <v>39</v>
      </c>
      <c r="F1703" s="6" t="s">
        <v>8451</v>
      </c>
      <c r="G1703" s="8">
        <v>45897</v>
      </c>
      <c r="H1703" s="6">
        <v>13.38</v>
      </c>
      <c r="I1703" s="6" cm="1">
        <f t="array" ref="I1703">IFERROR(VALUE(TRIM(LEFT(E1703,MIN(FIND({" ";"g";"k";"m";"o"},E1703&amp;" gkmo"))-1))),0)</f>
        <v>150</v>
      </c>
      <c r="J1703" s="6" t="str" cm="1">
        <f t="array" ref="J1703">IFERROR(TRIM(MID(E1703,MIN(FIND({" ";"g";"k";"m";"o"},E1703&amp;" gkmo")),10)),"unknown")</f>
        <v>g</v>
      </c>
      <c r="K1703" s="6" t="str">
        <f t="shared" si="104"/>
        <v>g</v>
      </c>
      <c r="L1703" s="6" t="str">
        <f t="shared" si="105"/>
        <v>Marque Repère, Pom'Lisse</v>
      </c>
      <c r="M1703" s="6" t="str">
        <f t="shared" si="106"/>
        <v>Chips Paysannes Nature</v>
      </c>
      <c r="N1703" s="6" t="str">
        <f t="shared" si="107"/>
        <v>Frankrijk,Reunion</v>
      </c>
    </row>
    <row r="1704" spans="1:14" x14ac:dyDescent="0.25">
      <c r="A1704" s="6" t="s">
        <v>4180</v>
      </c>
      <c r="B1704" s="6">
        <v>11840</v>
      </c>
      <c r="C1704" s="6" t="s">
        <v>4181</v>
      </c>
      <c r="D1704" s="7" t="s">
        <v>4182</v>
      </c>
      <c r="E1704" s="6" t="s">
        <v>39</v>
      </c>
      <c r="F1704" s="6" t="s">
        <v>139</v>
      </c>
      <c r="G1704" s="8">
        <v>45518</v>
      </c>
      <c r="H1704" s="6">
        <v>19.309999999999999</v>
      </c>
      <c r="I1704" s="6" cm="1">
        <f t="array" ref="I1704">IFERROR(VALUE(TRIM(LEFT(E1704,MIN(FIND({" ";"g";"k";"m";"o"},E1704&amp;" gkmo"))-1))),0)</f>
        <v>150</v>
      </c>
      <c r="J1704" s="6" t="str" cm="1">
        <f t="array" ref="J1704">IFERROR(TRIM(MID(E1704,MIN(FIND({" ";"g";"k";"m";"o"},E1704&amp;" gkmo")),10)),"unknown")</f>
        <v>g</v>
      </c>
      <c r="K1704" s="6" t="str">
        <f t="shared" si="104"/>
        <v>g</v>
      </c>
      <c r="L1704" s="6" t="str">
        <f t="shared" si="105"/>
        <v>Bisson</v>
      </c>
      <c r="M1704" s="6" t="str">
        <f t="shared" si="106"/>
        <v>Petit Beurre Nature</v>
      </c>
      <c r="N1704" s="6" t="str">
        <f t="shared" si="107"/>
        <v>France</v>
      </c>
    </row>
    <row r="1705" spans="1:14" x14ac:dyDescent="0.25">
      <c r="A1705" s="6" t="s">
        <v>4183</v>
      </c>
      <c r="B1705" s="6">
        <v>5798</v>
      </c>
      <c r="C1705" s="6" t="s">
        <v>4184</v>
      </c>
      <c r="D1705" s="7" t="s">
        <v>4185</v>
      </c>
      <c r="E1705" s="6" t="s">
        <v>10</v>
      </c>
      <c r="F1705" s="6" t="s">
        <v>139</v>
      </c>
      <c r="G1705" s="8">
        <v>45695</v>
      </c>
      <c r="H1705" s="6">
        <v>13.89</v>
      </c>
      <c r="I1705" s="6" cm="1">
        <f t="array" ref="I1705">IFERROR(VALUE(TRIM(LEFT(E1705,MIN(FIND({" ";"g";"k";"m";"o"},E1705&amp;" gkmo"))-1))),0)</f>
        <v>100</v>
      </c>
      <c r="J1705" s="6" t="str" cm="1">
        <f t="array" ref="J1705">IFERROR(TRIM(MID(E1705,MIN(FIND({" ";"g";"k";"m";"o"},E1705&amp;" gkmo")),10)),"unknown")</f>
        <v>g</v>
      </c>
      <c r="K1705" s="6" t="str">
        <f t="shared" si="104"/>
        <v>g</v>
      </c>
      <c r="L1705" s="6" t="str">
        <f t="shared" si="105"/>
        <v>Ethiquable</v>
      </c>
      <c r="M1705" s="6" t="str">
        <f t="shared" si="106"/>
        <v>Chocolat Noir Gingembre Confit</v>
      </c>
      <c r="N1705" s="6" t="str">
        <f t="shared" si="107"/>
        <v>France</v>
      </c>
    </row>
    <row r="1706" spans="1:14" x14ac:dyDescent="0.25">
      <c r="A1706" s="6" t="s">
        <v>4186</v>
      </c>
      <c r="B1706" s="6">
        <v>6227</v>
      </c>
      <c r="C1706" s="6" t="s">
        <v>4187</v>
      </c>
      <c r="D1706" s="7" t="s">
        <v>538</v>
      </c>
      <c r="E1706" s="6" t="s">
        <v>4188</v>
      </c>
      <c r="F1706" s="6" t="s">
        <v>7762</v>
      </c>
      <c r="G1706" s="8">
        <v>46010</v>
      </c>
      <c r="H1706" s="6">
        <v>14.87</v>
      </c>
      <c r="I1706" s="6" cm="1">
        <f t="array" ref="I1706">IFERROR(VALUE(TRIM(LEFT(E1706,MIN(FIND({" ";"g";"k";"m";"o"},E1706&amp;" gkmo"))-1))),0)</f>
        <v>140</v>
      </c>
      <c r="J1706" s="6" t="str" cm="1">
        <f t="array" ref="J1706">IFERROR(TRIM(MID(E1706,MIN(FIND({" ";"g";"k";"m";"o"},E1706&amp;" gkmo")),10)),"unknown")</f>
        <v>g (5x28g)</v>
      </c>
      <c r="K1706" s="6" t="str">
        <f t="shared" si="104"/>
        <v>g</v>
      </c>
      <c r="L1706" s="6" t="str">
        <f t="shared" si="105"/>
        <v>Kinder, Ferrero</v>
      </c>
      <c r="M1706" s="6" t="str">
        <f t="shared" si="106"/>
        <v>Milchschnitte</v>
      </c>
      <c r="N1706" s="6" t="str">
        <f t="shared" si="107"/>
        <v>À–Sterreich,Deutschland,Ungarn,Rumà¤Nien,Schweiz</v>
      </c>
    </row>
    <row r="1707" spans="1:14" x14ac:dyDescent="0.25">
      <c r="A1707" s="6" t="s">
        <v>4189</v>
      </c>
      <c r="B1707" s="6">
        <v>13380</v>
      </c>
      <c r="C1707" s="6" t="s">
        <v>4001</v>
      </c>
      <c r="D1707" s="7" t="s">
        <v>4190</v>
      </c>
      <c r="E1707" s="6"/>
      <c r="F1707" s="6" t="s">
        <v>241</v>
      </c>
      <c r="G1707" s="8">
        <v>45507</v>
      </c>
      <c r="H1707" s="6">
        <v>13.16</v>
      </c>
      <c r="I1707" s="6" cm="1">
        <f t="array" ref="I1707">IFERROR(VALUE(TRIM(LEFT(E1707,MIN(FIND({" ";"g";"k";"m";"o"},E1707&amp;" gkmo"))-1))),0)</f>
        <v>0</v>
      </c>
      <c r="J1707" s="6" t="str" cm="1">
        <f t="array" ref="J1707">IFERROR(TRIM(MID(E1707,MIN(FIND({" ";"g";"k";"m";"o"},E1707&amp;" gkmo")),10)),"unknown")</f>
        <v/>
      </c>
      <c r="K1707" s="6" t="str">
        <f t="shared" si="104"/>
        <v>unknown</v>
      </c>
      <c r="L1707" s="6" t="str">
        <f t="shared" si="105"/>
        <v>Lorenz</v>
      </c>
      <c r="M1707" s="6" t="str">
        <f t="shared" si="106"/>
        <v>Crunchips Paprika</v>
      </c>
      <c r="N1707" s="6" t="str">
        <f t="shared" si="107"/>
        <v>Germany</v>
      </c>
    </row>
    <row r="1708" spans="1:14" x14ac:dyDescent="0.25">
      <c r="A1708" s="6" t="s">
        <v>4191</v>
      </c>
      <c r="B1708" s="6">
        <v>12186</v>
      </c>
      <c r="C1708" s="6" t="s">
        <v>4192</v>
      </c>
      <c r="D1708" s="7" t="s">
        <v>4193</v>
      </c>
      <c r="E1708" s="6"/>
      <c r="F1708" s="6" t="s">
        <v>8092</v>
      </c>
      <c r="G1708" s="8">
        <v>46016</v>
      </c>
      <c r="H1708" s="6">
        <v>15.89</v>
      </c>
      <c r="I1708" s="6" cm="1">
        <f t="array" ref="I1708">IFERROR(VALUE(TRIM(LEFT(E1708,MIN(FIND({" ";"g";"k";"m";"o"},E1708&amp;" gkmo"))-1))),0)</f>
        <v>0</v>
      </c>
      <c r="J1708" s="6" t="str" cm="1">
        <f t="array" ref="J1708">IFERROR(TRIM(MID(E1708,MIN(FIND({" ";"g";"k";"m";"o"},E1708&amp;" gkmo")),10)),"unknown")</f>
        <v/>
      </c>
      <c r="K1708" s="6" t="str">
        <f t="shared" si="104"/>
        <v>unknown</v>
      </c>
      <c r="L1708" s="6" t="str">
        <f t="shared" si="105"/>
        <v>Mars Norge As</v>
      </c>
      <c r="M1708" s="6" t="str">
        <f t="shared" si="106"/>
        <v>38G Skittles Sachet</v>
      </c>
      <c r="N1708" s="6" t="str">
        <f t="shared" si="107"/>
        <v>Bulgaria, France, Germany, Romania, Ukraine</v>
      </c>
    </row>
    <row r="1709" spans="1:14" x14ac:dyDescent="0.25">
      <c r="A1709" s="6" t="s">
        <v>4194</v>
      </c>
      <c r="B1709" s="6">
        <v>8348</v>
      </c>
      <c r="C1709" s="6" t="s">
        <v>4195</v>
      </c>
      <c r="D1709" s="7" t="s">
        <v>7017</v>
      </c>
      <c r="E1709" s="6" t="s">
        <v>120</v>
      </c>
      <c r="F1709" s="6" t="s">
        <v>7926</v>
      </c>
      <c r="G1709" s="8">
        <v>45590</v>
      </c>
      <c r="H1709" s="6">
        <v>11.8</v>
      </c>
      <c r="I1709" s="6" cm="1">
        <f t="array" ref="I1709">IFERROR(VALUE(TRIM(LEFT(E1709,MIN(FIND({" ";"g";"k";"m";"o"},E1709&amp;" gkmo"))-1))),0)</f>
        <v>210</v>
      </c>
      <c r="J1709" s="6" t="str" cm="1">
        <f t="array" ref="J1709">IFERROR(TRIM(MID(E1709,MIN(FIND({" ";"g";"k";"m";"o"},E1709&amp;" gkmo")),10)),"unknown")</f>
        <v>g</v>
      </c>
      <c r="K1709" s="6" t="str">
        <f t="shared" si="104"/>
        <v>g</v>
      </c>
      <c r="L1709" s="6" t="str">
        <f t="shared" si="105"/>
        <v>Unknown</v>
      </c>
      <c r="M1709" s="6" t="str">
        <f t="shared" si="106"/>
        <v>Fruit &amp; Oat Bakes Apple</v>
      </c>
      <c r="N1709" s="6" t="str">
        <f t="shared" si="107"/>
        <v>France, United-Kingdom</v>
      </c>
    </row>
    <row r="1710" spans="1:14" x14ac:dyDescent="0.25">
      <c r="A1710" s="6" t="s">
        <v>4196</v>
      </c>
      <c r="B1710" s="6">
        <v>14734</v>
      </c>
      <c r="C1710" s="6" t="s">
        <v>4197</v>
      </c>
      <c r="D1710" s="7" t="s">
        <v>726</v>
      </c>
      <c r="E1710" s="6" t="s">
        <v>4106</v>
      </c>
      <c r="F1710" s="6" t="s">
        <v>7926</v>
      </c>
      <c r="G1710" s="8">
        <v>45898</v>
      </c>
      <c r="H1710" s="6">
        <v>9.89</v>
      </c>
      <c r="I1710" s="6" cm="1">
        <f t="array" ref="I1710">IFERROR(VALUE(TRIM(LEFT(E1710,MIN(FIND({" ";"g";"k";"m";"o"},E1710&amp;" gkmo"))-1))),0)</f>
        <v>6</v>
      </c>
      <c r="J1710" s="6" t="str" cm="1">
        <f t="array" ref="J1710">IFERROR(TRIM(MID(E1710,MIN(FIND({" ";"g";"k";"m";"o"},E1710&amp;" gkmo")),10)),"unknown")</f>
        <v>x 25 g</v>
      </c>
      <c r="K1710" s="6" t="str">
        <f t="shared" si="104"/>
        <v>g</v>
      </c>
      <c r="L1710" s="6" t="str">
        <f t="shared" si="105"/>
        <v>Walkers</v>
      </c>
      <c r="M1710" s="6" t="str">
        <f t="shared" si="106"/>
        <v>Walkers Salt &amp; Vinegar Crisps 6 Pack - Outer Packaging Only</v>
      </c>
      <c r="N1710" s="6" t="str">
        <f t="shared" si="107"/>
        <v>France, United-Kingdom</v>
      </c>
    </row>
    <row r="1711" spans="1:14" x14ac:dyDescent="0.25">
      <c r="A1711" s="6" t="s">
        <v>4198</v>
      </c>
      <c r="B1711" s="6">
        <v>14667</v>
      </c>
      <c r="C1711" s="6" t="s">
        <v>7017</v>
      </c>
      <c r="D1711" s="7" t="s">
        <v>1273</v>
      </c>
      <c r="E1711" s="6"/>
      <c r="F1711" s="6" t="s">
        <v>8370</v>
      </c>
      <c r="G1711" s="8">
        <v>45812</v>
      </c>
      <c r="H1711" s="6">
        <v>13.16</v>
      </c>
      <c r="I1711" s="6" cm="1">
        <f t="array" ref="I1711">IFERROR(VALUE(TRIM(LEFT(E1711,MIN(FIND({" ";"g";"k";"m";"o"},E1711&amp;" gkmo"))-1))),0)</f>
        <v>0</v>
      </c>
      <c r="J1711" s="6" t="str" cm="1">
        <f t="array" ref="J1711">IFERROR(TRIM(MID(E1711,MIN(FIND({" ";"g";"k";"m";"o"},E1711&amp;" gkmo")),10)),"unknown")</f>
        <v/>
      </c>
      <c r="K1711" s="6" t="str">
        <f t="shared" si="104"/>
        <v>unknown</v>
      </c>
      <c r="L1711" s="6" t="str">
        <f t="shared" si="105"/>
        <v>Eat Real</v>
      </c>
      <c r="M1711" s="6" t="str">
        <f t="shared" si="106"/>
        <v>Unknown</v>
      </c>
      <c r="N1711" s="6" t="str">
        <f t="shared" si="107"/>
        <v>France,Morocco,United Kingdom</v>
      </c>
    </row>
    <row r="1712" spans="1:14" x14ac:dyDescent="0.25">
      <c r="A1712" s="6" t="s">
        <v>4199</v>
      </c>
      <c r="B1712" s="6">
        <v>5267</v>
      </c>
      <c r="C1712" s="6" t="s">
        <v>4200</v>
      </c>
      <c r="D1712" s="7" t="s">
        <v>4201</v>
      </c>
      <c r="E1712" s="6" t="s">
        <v>649</v>
      </c>
      <c r="F1712" s="6" t="s">
        <v>7926</v>
      </c>
      <c r="G1712" s="8">
        <v>45542</v>
      </c>
      <c r="H1712" s="6">
        <v>23.99</v>
      </c>
      <c r="I1712" s="6" cm="1">
        <f t="array" ref="I1712">IFERROR(VALUE(TRIM(LEFT(E1712,MIN(FIND({" ";"g";"k";"m";"o"},E1712&amp;" gkmo"))-1))),0)</f>
        <v>35</v>
      </c>
      <c r="J1712" s="6" t="str" cm="1">
        <f t="array" ref="J1712">IFERROR(TRIM(MID(E1712,MIN(FIND({" ";"g";"k";"m";"o"},E1712&amp;" gkmo")),10)),"unknown")</f>
        <v>g</v>
      </c>
      <c r="K1712" s="6" t="str">
        <f t="shared" si="104"/>
        <v>g</v>
      </c>
      <c r="L1712" s="6" t="str">
        <f t="shared" si="105"/>
        <v>Smashing Strawberry</v>
      </c>
      <c r="M1712" s="6" t="str">
        <f t="shared" si="106"/>
        <v>Urban Fruit Snack Pack Strawberry</v>
      </c>
      <c r="N1712" s="6" t="str">
        <f t="shared" si="107"/>
        <v>France, United-Kingdom</v>
      </c>
    </row>
    <row r="1713" spans="1:14" x14ac:dyDescent="0.25">
      <c r="A1713" s="6" t="s">
        <v>4202</v>
      </c>
      <c r="B1713" s="6">
        <v>13108</v>
      </c>
      <c r="C1713" s="6" t="s">
        <v>4203</v>
      </c>
      <c r="D1713" s="7" t="s">
        <v>7763</v>
      </c>
      <c r="E1713" s="6" t="s">
        <v>335</v>
      </c>
      <c r="F1713" s="6" t="s">
        <v>8424</v>
      </c>
      <c r="G1713" s="8">
        <v>45412</v>
      </c>
      <c r="H1713" s="6">
        <v>22.71</v>
      </c>
      <c r="I1713" s="6" cm="1">
        <f t="array" ref="I1713">IFERROR(VALUE(TRIM(LEFT(E1713,MIN(FIND({" ";"g";"k";"m";"o"},E1713&amp;" gkmo"))-1))),0)</f>
        <v>250</v>
      </c>
      <c r="J1713" s="6" t="str" cm="1">
        <f t="array" ref="J1713">IFERROR(TRIM(MID(E1713,MIN(FIND({" ";"g";"k";"m";"o"},E1713&amp;" gkmo")),10)),"unknown")</f>
        <v>g</v>
      </c>
      <c r="K1713" s="6" t="str">
        <f t="shared" si="104"/>
        <v>g</v>
      </c>
      <c r="L1713" s="6" t="str">
        <f t="shared" si="105"/>
        <v>Saà¯Da</v>
      </c>
      <c r="M1713" s="6" t="str">
        <f t="shared" si="106"/>
        <v>Start</v>
      </c>
      <c r="N1713" s="6" t="str">
        <f t="shared" si="107"/>
        <v>France,Tunisia</v>
      </c>
    </row>
    <row r="1714" spans="1:14" x14ac:dyDescent="0.25">
      <c r="A1714" s="6" t="s">
        <v>4204</v>
      </c>
      <c r="B1714" s="6">
        <v>8496</v>
      </c>
      <c r="C1714" s="6" t="s">
        <v>4205</v>
      </c>
      <c r="D1714" s="7" t="s">
        <v>7033</v>
      </c>
      <c r="E1714" s="6"/>
      <c r="F1714" s="6" t="s">
        <v>400</v>
      </c>
      <c r="G1714" s="8">
        <v>45504</v>
      </c>
      <c r="H1714" s="6">
        <v>19.8</v>
      </c>
      <c r="I1714" s="6" cm="1">
        <f t="array" ref="I1714">IFERROR(VALUE(TRIM(LEFT(E1714,MIN(FIND({" ";"g";"k";"m";"o"},E1714&amp;" gkmo"))-1))),0)</f>
        <v>0</v>
      </c>
      <c r="J1714" s="6" t="str" cm="1">
        <f t="array" ref="J1714">IFERROR(TRIM(MID(E1714,MIN(FIND({" ";"g";"k";"m";"o"},E1714&amp;" gkmo")),10)),"unknown")</f>
        <v/>
      </c>
      <c r="K1714" s="6" t="str">
        <f t="shared" si="104"/>
        <v>unknown</v>
      </c>
      <c r="L1714" s="6" t="str">
        <f t="shared" si="105"/>
        <v>Nestlé</v>
      </c>
      <c r="M1714" s="6" t="str">
        <f t="shared" si="106"/>
        <v>Kit Kat 2 Finger Milk Chocolate Biscuit Bars</v>
      </c>
      <c r="N1714" s="6" t="str">
        <f t="shared" si="107"/>
        <v>France,United Kingdom</v>
      </c>
    </row>
    <row r="1715" spans="1:14" x14ac:dyDescent="0.25">
      <c r="A1715" s="6" t="s">
        <v>4206</v>
      </c>
      <c r="B1715" s="6">
        <v>6087</v>
      </c>
      <c r="C1715" s="6" t="s">
        <v>4207</v>
      </c>
      <c r="D1715" s="7" t="s">
        <v>135</v>
      </c>
      <c r="E1715" s="6" t="s">
        <v>4208</v>
      </c>
      <c r="F1715" s="6" t="s">
        <v>139</v>
      </c>
      <c r="G1715" s="8">
        <v>45871</v>
      </c>
      <c r="H1715" s="6">
        <v>11.41</v>
      </c>
      <c r="I1715" s="6" cm="1">
        <f t="array" ref="I1715">IFERROR(VALUE(TRIM(LEFT(E1715,MIN(FIND({" ";"g";"k";"m";"o"},E1715&amp;" gkmo"))-1))),0)</f>
        <v>3</v>
      </c>
      <c r="J1715" s="6" t="str" cm="1">
        <f t="array" ref="J1715">IFERROR(TRIM(MID(E1715,MIN(FIND({" ";"g";"k";"m";"o"},E1715&amp;" gkmo")),10)),"unknown")</f>
        <v>x 100g</v>
      </c>
      <c r="K1715" s="6" t="str">
        <f t="shared" si="104"/>
        <v>g</v>
      </c>
      <c r="L1715" s="6" t="str">
        <f t="shared" si="105"/>
        <v>Milka</v>
      </c>
      <c r="M1715" s="6" t="str">
        <f t="shared" si="106"/>
        <v>Milka Au Lait Du Pays Alpin</v>
      </c>
      <c r="N1715" s="6" t="str">
        <f t="shared" si="107"/>
        <v>France</v>
      </c>
    </row>
    <row r="1716" spans="1:14" x14ac:dyDescent="0.25">
      <c r="A1716" s="6" t="s">
        <v>4209</v>
      </c>
      <c r="B1716" s="6">
        <v>14151</v>
      </c>
      <c r="C1716" s="6" t="s">
        <v>4210</v>
      </c>
      <c r="D1716" s="7" t="s">
        <v>2466</v>
      </c>
      <c r="E1716" s="6" t="s">
        <v>228</v>
      </c>
      <c r="F1716" s="6" t="s">
        <v>1174</v>
      </c>
      <c r="G1716" s="8">
        <v>45796</v>
      </c>
      <c r="H1716" s="6">
        <v>24.15</v>
      </c>
      <c r="I1716" s="6" cm="1">
        <f t="array" ref="I1716">IFERROR(VALUE(TRIM(LEFT(E1716,MIN(FIND({" ";"g";"k";"m";"o"},E1716&amp;" gkmo"))-1))),0)</f>
        <v>350</v>
      </c>
      <c r="J1716" s="6" t="str" cm="1">
        <f t="array" ref="J1716">IFERROR(TRIM(MID(E1716,MIN(FIND({" ";"g";"k";"m";"o"},E1716&amp;" gkmo")),10)),"unknown")</f>
        <v>g</v>
      </c>
      <c r="K1716" s="6" t="str">
        <f t="shared" si="104"/>
        <v>g</v>
      </c>
      <c r="L1716" s="6" t="str">
        <f t="shared" si="105"/>
        <v>Misura</v>
      </c>
      <c r="M1716" s="6" t="str">
        <f t="shared" si="106"/>
        <v>Crackers Cereali Antichi</v>
      </c>
      <c r="N1716" s="6" t="str">
        <f t="shared" si="107"/>
        <v>France,Italie</v>
      </c>
    </row>
    <row r="1717" spans="1:14" x14ac:dyDescent="0.25">
      <c r="A1717" s="6" t="s">
        <v>4211</v>
      </c>
      <c r="B1717" s="6">
        <v>11259</v>
      </c>
      <c r="C1717" s="6" t="s">
        <v>4212</v>
      </c>
      <c r="D1717" s="7" t="s">
        <v>7017</v>
      </c>
      <c r="E1717" s="6" t="s">
        <v>4213</v>
      </c>
      <c r="F1717" s="6" t="s">
        <v>1356</v>
      </c>
      <c r="G1717" s="8">
        <v>45681</v>
      </c>
      <c r="H1717" s="6">
        <v>11.28</v>
      </c>
      <c r="I1717" s="6" cm="1">
        <f t="array" ref="I1717">IFERROR(VALUE(TRIM(LEFT(E1717,MIN(FIND({" ";"g";"k";"m";"o"},E1717&amp;" gkmo"))-1))),0)</f>
        <v>337</v>
      </c>
      <c r="J1717" s="6" t="str" cm="1">
        <f t="array" ref="J1717">IFERROR(TRIM(MID(E1717,MIN(FIND({" ";"g";"k";"m";"o"},E1717&amp;" gkmo")),10)),"unknown")</f>
        <v>g</v>
      </c>
      <c r="K1717" s="6" t="str">
        <f t="shared" si="104"/>
        <v>g</v>
      </c>
      <c r="L1717" s="6" t="str">
        <f t="shared" si="105"/>
        <v>Unknown</v>
      </c>
      <c r="M1717" s="6" t="str">
        <f t="shared" si="106"/>
        <v>Lindor Lait</v>
      </c>
      <c r="N1717" s="6" t="str">
        <f t="shared" si="107"/>
        <v>France,Germany</v>
      </c>
    </row>
    <row r="1718" spans="1:14" x14ac:dyDescent="0.25">
      <c r="A1718" s="6" t="s">
        <v>4214</v>
      </c>
      <c r="B1718" s="6">
        <v>14227</v>
      </c>
      <c r="C1718" s="6" t="s">
        <v>4215</v>
      </c>
      <c r="D1718" s="7" t="s">
        <v>7017</v>
      </c>
      <c r="E1718" s="6" t="s">
        <v>4216</v>
      </c>
      <c r="F1718" s="6" t="s">
        <v>7926</v>
      </c>
      <c r="G1718" s="8">
        <v>45885</v>
      </c>
      <c r="H1718" s="6">
        <v>10</v>
      </c>
      <c r="I1718" s="6" cm="1">
        <f t="array" ref="I1718">IFERROR(VALUE(TRIM(LEFT(E1718,MIN(FIND({" ";"g";"k";"m";"o"},E1718&amp;" gkmo"))-1))),0)</f>
        <v>300</v>
      </c>
      <c r="J1718" s="6" t="str" cm="1">
        <f t="array" ref="J1718">IFERROR(TRIM(MID(E1718,MIN(FIND({" ";"g";"k";"m";"o"},E1718&amp;" gkmo")),10)),"unknown")</f>
        <v>g e</v>
      </c>
      <c r="K1718" s="6" t="str">
        <f t="shared" si="104"/>
        <v>g</v>
      </c>
      <c r="L1718" s="6" t="str">
        <f t="shared" si="105"/>
        <v>Unknown</v>
      </c>
      <c r="M1718" s="6" t="str">
        <f t="shared" si="106"/>
        <v>Tortilla Nachips</v>
      </c>
      <c r="N1718" s="6" t="str">
        <f t="shared" si="107"/>
        <v>France, United-Kingdom</v>
      </c>
    </row>
    <row r="1719" spans="1:14" x14ac:dyDescent="0.25">
      <c r="A1719" s="6" t="s">
        <v>4217</v>
      </c>
      <c r="B1719" s="6">
        <v>12637</v>
      </c>
      <c r="C1719" s="6" t="s">
        <v>4218</v>
      </c>
      <c r="D1719" s="7" t="s">
        <v>2179</v>
      </c>
      <c r="E1719" s="6" t="s">
        <v>352</v>
      </c>
      <c r="F1719" s="6" t="s">
        <v>601</v>
      </c>
      <c r="G1719" s="8">
        <v>45736</v>
      </c>
      <c r="H1719" s="6">
        <v>1.1100000000000001</v>
      </c>
      <c r="I1719" s="6" cm="1">
        <f t="array" ref="I1719">IFERROR(VALUE(TRIM(LEFT(E1719,MIN(FIND({" ";"g";"k";"m";"o"},E1719&amp;" gkmo"))-1))),0)</f>
        <v>170</v>
      </c>
      <c r="J1719" s="6" t="str" cm="1">
        <f t="array" ref="J1719">IFERROR(TRIM(MID(E1719,MIN(FIND({" ";"g";"k";"m";"o"},E1719&amp;" gkmo")),10)),"unknown")</f>
        <v>g</v>
      </c>
      <c r="K1719" s="6" t="str">
        <f t="shared" si="104"/>
        <v>g</v>
      </c>
      <c r="L1719" s="6" t="str">
        <f t="shared" si="105"/>
        <v>Valor</v>
      </c>
      <c r="M1719" s="6" t="str">
        <f t="shared" si="106"/>
        <v>Chocolate Negro 82%</v>
      </c>
      <c r="N1719" s="6" t="str">
        <f t="shared" si="107"/>
        <v>France,Spain</v>
      </c>
    </row>
    <row r="1720" spans="1:14" x14ac:dyDescent="0.25">
      <c r="A1720" s="6" t="s">
        <v>4219</v>
      </c>
      <c r="B1720" s="6">
        <v>7744</v>
      </c>
      <c r="C1720" s="6" t="s">
        <v>4220</v>
      </c>
      <c r="D1720" s="7" t="s">
        <v>7578</v>
      </c>
      <c r="E1720" s="6" t="s">
        <v>36</v>
      </c>
      <c r="F1720" s="6" t="s">
        <v>8093</v>
      </c>
      <c r="G1720" s="8">
        <v>45331</v>
      </c>
      <c r="H1720" s="6">
        <v>1.61</v>
      </c>
      <c r="I1720" s="6" cm="1">
        <f t="array" ref="I1720">IFERROR(VALUE(TRIM(LEFT(E1720,MIN(FIND({" ";"g";"k";"m";"o"},E1720&amp;" gkmo"))-1))),0)</f>
        <v>42</v>
      </c>
      <c r="J1720" s="6" t="str" cm="1">
        <f t="array" ref="J1720">IFERROR(TRIM(MID(E1720,MIN(FIND({" ";"g";"k";"m";"o"},E1720&amp;" gkmo")),10)),"unknown")</f>
        <v>g</v>
      </c>
      <c r="K1720" s="6" t="str">
        <f t="shared" si="104"/>
        <v>g</v>
      </c>
      <c r="L1720" s="6" t="str">
        <f t="shared" si="105"/>
        <v>Gullà³N</v>
      </c>
      <c r="M1720" s="6" t="str">
        <f t="shared" si="106"/>
        <v>Twins Chocolate</v>
      </c>
      <c r="N1720" s="6" t="str">
        <f t="shared" si="107"/>
        <v>Algeria,France,Spain, Morocco</v>
      </c>
    </row>
    <row r="1721" spans="1:14" x14ac:dyDescent="0.25">
      <c r="A1721" s="6" t="s">
        <v>4221</v>
      </c>
      <c r="B1721" s="6">
        <v>13136</v>
      </c>
      <c r="C1721" s="6" t="s">
        <v>4222</v>
      </c>
      <c r="D1721" s="7" t="s">
        <v>310</v>
      </c>
      <c r="E1721" s="6" t="s">
        <v>444</v>
      </c>
      <c r="F1721" s="6" t="s">
        <v>511</v>
      </c>
      <c r="G1721" s="8">
        <v>46033</v>
      </c>
      <c r="H1721" s="6">
        <v>11.27</v>
      </c>
      <c r="I1721" s="6" cm="1">
        <f t="array" ref="I1721">IFERROR(VALUE(TRIM(LEFT(E1721,MIN(FIND({" ";"g";"k";"m";"o"},E1721&amp;" gkmo"))-1))),0)</f>
        <v>121</v>
      </c>
      <c r="J1721" s="6" t="str" cm="1">
        <f t="array" ref="J1721">IFERROR(TRIM(MID(E1721,MIN(FIND({" ";"g";"k";"m";"o"},E1721&amp;" gkmo")),10)),"unknown")</f>
        <v>g</v>
      </c>
      <c r="K1721" s="6" t="str">
        <f t="shared" si="104"/>
        <v>g</v>
      </c>
      <c r="L1721" s="6" t="str">
        <f t="shared" si="105"/>
        <v>St Michel</v>
      </c>
      <c r="M1721" s="6" t="str">
        <f t="shared" si="106"/>
        <v>La Galette Gourmande Chocolat Noir</v>
      </c>
      <c r="N1721" s="6" t="str">
        <f t="shared" si="107"/>
        <v>France,Morocco</v>
      </c>
    </row>
    <row r="1722" spans="1:14" x14ac:dyDescent="0.25">
      <c r="A1722" s="6" t="s">
        <v>4223</v>
      </c>
      <c r="B1722" s="6">
        <v>7278</v>
      </c>
      <c r="C1722" s="6" t="s">
        <v>4224</v>
      </c>
      <c r="D1722" s="7" t="s">
        <v>4225</v>
      </c>
      <c r="E1722" s="6" t="s">
        <v>106</v>
      </c>
      <c r="F1722" s="6" t="s">
        <v>8214</v>
      </c>
      <c r="G1722" s="8">
        <v>45721</v>
      </c>
      <c r="H1722" s="6">
        <v>17.78</v>
      </c>
      <c r="I1722" s="6" cm="1">
        <f t="array" ref="I1722">IFERROR(VALUE(TRIM(LEFT(E1722,MIN(FIND({" ";"g";"k";"m";"o"},E1722&amp;" gkmo"))-1))),0)</f>
        <v>20</v>
      </c>
      <c r="J1722" s="6" t="str" cm="1">
        <f t="array" ref="J1722">IFERROR(TRIM(MID(E1722,MIN(FIND({" ";"g";"k";"m";"o"},E1722&amp;" gkmo")),10)),"unknown")</f>
        <v>g</v>
      </c>
      <c r="K1722" s="6" t="str">
        <f t="shared" si="104"/>
        <v>g</v>
      </c>
      <c r="L1722" s="6" t="str">
        <f t="shared" si="105"/>
        <v>Fritosa,</v>
      </c>
      <c r="M1722" s="6" t="str">
        <f t="shared" si="106"/>
        <v>Tacos</v>
      </c>
      <c r="N1722" s="6" t="str">
        <f t="shared" si="107"/>
        <v>Morocco, Morocco</v>
      </c>
    </row>
    <row r="1723" spans="1:14" x14ac:dyDescent="0.25">
      <c r="A1723" s="6" t="s">
        <v>4226</v>
      </c>
      <c r="B1723" s="6">
        <v>14090</v>
      </c>
      <c r="C1723" s="6" t="s">
        <v>7764</v>
      </c>
      <c r="D1723" s="7" t="s">
        <v>4227</v>
      </c>
      <c r="E1723" s="6" t="s">
        <v>2065</v>
      </c>
      <c r="F1723" s="6" t="s">
        <v>48</v>
      </c>
      <c r="G1723" s="8">
        <v>45507</v>
      </c>
      <c r="H1723" s="6">
        <v>14.61</v>
      </c>
      <c r="I1723" s="6" cm="1">
        <f t="array" ref="I1723">IFERROR(VALUE(TRIM(LEFT(E1723,MIN(FIND({" ";"g";"k";"m";"o"},E1723&amp;" gkmo"))-1))),0)</f>
        <v>30</v>
      </c>
      <c r="J1723" s="6" t="str" cm="1">
        <f t="array" ref="J1723">IFERROR(TRIM(MID(E1723,MIN(FIND({" ";"g";"k";"m";"o"},E1723&amp;" gkmo")),10)),"unknown")</f>
        <v>g</v>
      </c>
      <c r="K1723" s="6" t="str">
        <f t="shared" si="104"/>
        <v>g</v>
      </c>
      <c r="L1723" s="6" t="str">
        <f t="shared" si="105"/>
        <v>Conikos,Leaderfood</v>
      </c>
      <c r="M1723" s="6" t="str">
        <f t="shared" si="106"/>
        <v>Conikos Goà»T Chili</v>
      </c>
      <c r="N1723" s="6" t="str">
        <f t="shared" si="107"/>
        <v>Morocco</v>
      </c>
    </row>
    <row r="1724" spans="1:14" x14ac:dyDescent="0.25">
      <c r="A1724" s="6" t="s">
        <v>4228</v>
      </c>
      <c r="B1724" s="6">
        <v>7276</v>
      </c>
      <c r="C1724" s="6" t="s">
        <v>4229</v>
      </c>
      <c r="D1724" s="7" t="s">
        <v>2853</v>
      </c>
      <c r="E1724" s="6"/>
      <c r="F1724" s="6" t="s">
        <v>4230</v>
      </c>
      <c r="G1724" s="8">
        <v>45566</v>
      </c>
      <c r="H1724" s="6">
        <v>5.01</v>
      </c>
      <c r="I1724" s="6" cm="1">
        <f t="array" ref="I1724">IFERROR(VALUE(TRIM(LEFT(E1724,MIN(FIND({" ";"g";"k";"m";"o"},E1724&amp;" gkmo"))-1))),0)</f>
        <v>0</v>
      </c>
      <c r="J1724" s="6" t="str" cm="1">
        <f t="array" ref="J1724">IFERROR(TRIM(MID(E1724,MIN(FIND({" ";"g";"k";"m";"o"},E1724&amp;" gkmo")),10)),"unknown")</f>
        <v/>
      </c>
      <c r="K1724" s="6" t="str">
        <f t="shared" si="104"/>
        <v>unknown</v>
      </c>
      <c r="L1724" s="6" t="str">
        <f t="shared" si="105"/>
        <v>Sondey,Lidl</v>
      </c>
      <c r="M1724" s="6" t="str">
        <f t="shared" si="106"/>
        <v>Oat Cookies Milk Chocolate</v>
      </c>
      <c r="N1724" s="6" t="str">
        <f t="shared" si="107"/>
        <v>Bulgaria,France,Czech Republic</v>
      </c>
    </row>
    <row r="1725" spans="1:14" x14ac:dyDescent="0.25">
      <c r="A1725" s="6" t="s">
        <v>4231</v>
      </c>
      <c r="B1725" s="6">
        <v>6887</v>
      </c>
      <c r="C1725" s="6" t="s">
        <v>4232</v>
      </c>
      <c r="D1725" s="7" t="s">
        <v>7017</v>
      </c>
      <c r="E1725" s="6" t="s">
        <v>621</v>
      </c>
      <c r="F1725" s="6" t="s">
        <v>177</v>
      </c>
      <c r="G1725" s="8">
        <v>45473</v>
      </c>
      <c r="H1725" s="6">
        <v>10.039999999999999</v>
      </c>
      <c r="I1725" s="6" cm="1">
        <f t="array" ref="I1725">IFERROR(VALUE(TRIM(LEFT(E1725,MIN(FIND({" ";"g";"k";"m";"o"},E1725&amp;" gkmo"))-1))),0)</f>
        <v>160</v>
      </c>
      <c r="J1725" s="6" t="str" cm="1">
        <f t="array" ref="J1725">IFERROR(TRIM(MID(E1725,MIN(FIND({" ";"g";"k";"m";"o"},E1725&amp;" gkmo")),10)),"unknown")</f>
        <v>g</v>
      </c>
      <c r="K1725" s="6" t="str">
        <f t="shared" si="104"/>
        <v>g</v>
      </c>
      <c r="L1725" s="6" t="str">
        <f t="shared" si="105"/>
        <v>Unknown</v>
      </c>
      <c r="M1725" s="6" t="str">
        <f t="shared" si="106"/>
        <v>Gluten Free Oaties Syrupy &amp; Crumbly</v>
      </c>
      <c r="N1725" s="6" t="str">
        <f t="shared" si="107"/>
        <v>United Kingdom</v>
      </c>
    </row>
    <row r="1726" spans="1:14" x14ac:dyDescent="0.25">
      <c r="A1726" s="6" t="s">
        <v>4233</v>
      </c>
      <c r="B1726" s="6">
        <v>8041</v>
      </c>
      <c r="C1726" s="6" t="s">
        <v>4234</v>
      </c>
      <c r="D1726" s="7" t="s">
        <v>7017</v>
      </c>
      <c r="E1726" s="6" t="s">
        <v>4235</v>
      </c>
      <c r="F1726" s="6" t="s">
        <v>139</v>
      </c>
      <c r="G1726" s="8">
        <v>45583</v>
      </c>
      <c r="H1726" s="6">
        <v>24.39</v>
      </c>
      <c r="I1726" s="6" cm="1">
        <f t="array" ref="I1726">IFERROR(VALUE(TRIM(LEFT(E1726,MIN(FIND({" ";"g";"k";"m";"o"},E1726&amp;" gkmo"))-1))),0)</f>
        <v>60</v>
      </c>
      <c r="J1726" s="6" t="str" cm="1">
        <f t="array" ref="J1726">IFERROR(TRIM(MID(E1726,MIN(FIND({" ";"g";"k";"m";"o"},E1726&amp;" gkmo")),10)),"unknown")</f>
        <v>gram</v>
      </c>
      <c r="K1726" s="6" t="str">
        <f t="shared" si="104"/>
        <v>g</v>
      </c>
      <c r="L1726" s="6" t="str">
        <f t="shared" si="105"/>
        <v>Unknown</v>
      </c>
      <c r="M1726" s="6" t="str">
        <f t="shared" si="106"/>
        <v>Protein Bar - Muscle Mass - Caramel Cookie Flavor</v>
      </c>
      <c r="N1726" s="6" t="str">
        <f t="shared" si="107"/>
        <v>France</v>
      </c>
    </row>
    <row r="1727" spans="1:14" x14ac:dyDescent="0.25">
      <c r="A1727" s="6" t="s">
        <v>4236</v>
      </c>
      <c r="B1727" s="6">
        <v>13382</v>
      </c>
      <c r="C1727" s="6" t="s">
        <v>7765</v>
      </c>
      <c r="D1727" s="7" t="s">
        <v>4237</v>
      </c>
      <c r="E1727" s="6" t="s">
        <v>276</v>
      </c>
      <c r="F1727" s="6" t="s">
        <v>7766</v>
      </c>
      <c r="G1727" s="8">
        <v>45931</v>
      </c>
      <c r="H1727" s="6">
        <v>19.68</v>
      </c>
      <c r="I1727" s="6" cm="1">
        <f t="array" ref="I1727">IFERROR(VALUE(TRIM(LEFT(E1727,MIN(FIND({" ";"g";"k";"m";"o"},E1727&amp;" gkmo"))-1))),0)</f>
        <v>40</v>
      </c>
      <c r="J1727" s="6" t="str" cm="1">
        <f t="array" ref="J1727">IFERROR(TRIM(MID(E1727,MIN(FIND({" ";"g";"k";"m";"o"},E1727&amp;" gkmo")),10)),"unknown")</f>
        <v>g</v>
      </c>
      <c r="K1727" s="6" t="str">
        <f t="shared" si="104"/>
        <v>g</v>
      </c>
      <c r="L1727" s="6" t="str">
        <f t="shared" si="105"/>
        <v>Milbona, Pilos</v>
      </c>
      <c r="M1727" s="6" t="str">
        <f t="shared" si="106"/>
        <v>Tvarohovà¡ TyäInka Protein</v>
      </c>
      <c r="N1727" s="6" t="str">
        <f t="shared" si="107"/>
        <v>Horvà¡Torszà¡G,Németorszà¡G,Litvà¡Nia,Magyarorszà¡G</v>
      </c>
    </row>
    <row r="1728" spans="1:14" x14ac:dyDescent="0.25">
      <c r="A1728" s="6" t="s">
        <v>4238</v>
      </c>
      <c r="B1728" s="6">
        <v>10268</v>
      </c>
      <c r="C1728" s="6" t="s">
        <v>4239</v>
      </c>
      <c r="D1728" s="7" t="s">
        <v>7017</v>
      </c>
      <c r="E1728" s="6"/>
      <c r="F1728" s="6" t="s">
        <v>8094</v>
      </c>
      <c r="G1728" s="8">
        <v>45968</v>
      </c>
      <c r="H1728" s="6">
        <v>9.61</v>
      </c>
      <c r="I1728" s="6" cm="1">
        <f t="array" ref="I1728">IFERROR(VALUE(TRIM(LEFT(E1728,MIN(FIND({" ";"g";"k";"m";"o"},E1728&amp;" gkmo"))-1))),0)</f>
        <v>0</v>
      </c>
      <c r="J1728" s="6" t="str" cm="1">
        <f t="array" ref="J1728">IFERROR(TRIM(MID(E1728,MIN(FIND({" ";"g";"k";"m";"o"},E1728&amp;" gkmo")),10)),"unknown")</f>
        <v/>
      </c>
      <c r="K1728" s="6" t="str">
        <f t="shared" si="104"/>
        <v>unknown</v>
      </c>
      <c r="L1728" s="6" t="str">
        <f t="shared" si="105"/>
        <v>Unknown</v>
      </c>
      <c r="M1728" s="6" t="str">
        <f t="shared" si="106"/>
        <v>Lays Paprika</v>
      </c>
      <c r="N1728" s="6" t="str">
        <f t="shared" si="107"/>
        <v>Belgium, Netherlands</v>
      </c>
    </row>
    <row r="1729" spans="1:14" x14ac:dyDescent="0.25">
      <c r="A1729" s="6" t="s">
        <v>4240</v>
      </c>
      <c r="B1729" s="6">
        <v>13091</v>
      </c>
      <c r="C1729" s="6" t="s">
        <v>4241</v>
      </c>
      <c r="D1729" s="7" t="s">
        <v>4242</v>
      </c>
      <c r="E1729" s="6" t="s">
        <v>4243</v>
      </c>
      <c r="F1729" s="6" t="s">
        <v>177</v>
      </c>
      <c r="G1729" s="8">
        <v>45348</v>
      </c>
      <c r="H1729" s="6">
        <v>21.72</v>
      </c>
      <c r="I1729" s="6" cm="1">
        <f t="array" ref="I1729">IFERROR(VALUE(TRIM(LEFT(E1729,MIN(FIND({" ";"g";"k";"m";"o"},E1729&amp;" gkmo"))-1))),0)</f>
        <v>102</v>
      </c>
      <c r="J1729" s="6" t="str" cm="1">
        <f t="array" ref="J1729">IFERROR(TRIM(MID(E1729,MIN(FIND({" ";"g";"k";"m";"o"},E1729&amp;" gkmo")),10)),"unknown")</f>
        <v>g</v>
      </c>
      <c r="K1729" s="6" t="str">
        <f t="shared" si="104"/>
        <v>g</v>
      </c>
      <c r="L1729" s="6" t="str">
        <f t="shared" si="105"/>
        <v>Maltesers</v>
      </c>
      <c r="M1729" s="6" t="str">
        <f t="shared" si="106"/>
        <v>Maltesers</v>
      </c>
      <c r="N1729" s="6" t="str">
        <f t="shared" si="107"/>
        <v>United Kingdom</v>
      </c>
    </row>
    <row r="1730" spans="1:14" x14ac:dyDescent="0.25">
      <c r="A1730" s="6" t="s">
        <v>4244</v>
      </c>
      <c r="B1730" s="6">
        <v>9963</v>
      </c>
      <c r="C1730" s="6" t="s">
        <v>4245</v>
      </c>
      <c r="D1730" s="7" t="s">
        <v>7017</v>
      </c>
      <c r="E1730" s="6"/>
      <c r="F1730" s="6" t="s">
        <v>8095</v>
      </c>
      <c r="G1730" s="8">
        <v>46002</v>
      </c>
      <c r="H1730" s="6">
        <v>7.04</v>
      </c>
      <c r="I1730" s="6" cm="1">
        <f t="array" ref="I1730">IFERROR(VALUE(TRIM(LEFT(E1730,MIN(FIND({" ";"g";"k";"m";"o"},E1730&amp;" gkmo"))-1))),0)</f>
        <v>0</v>
      </c>
      <c r="J1730" s="6" t="str" cm="1">
        <f t="array" ref="J1730">IFERROR(TRIM(MID(E1730,MIN(FIND({" ";"g";"k";"m";"o"},E1730&amp;" gkmo")),10)),"unknown")</f>
        <v/>
      </c>
      <c r="K1730" s="6" t="str">
        <f t="shared" si="104"/>
        <v>unknown</v>
      </c>
      <c r="L1730" s="6" t="str">
        <f t="shared" si="105"/>
        <v>Unknown</v>
      </c>
      <c r="M1730" s="6" t="str">
        <f t="shared" si="106"/>
        <v>Strawberry</v>
      </c>
      <c r="N1730" s="6" t="str">
        <f t="shared" si="107"/>
        <v>Bosnia And Herzegovina, Bulgaria, Croatia, Montenegro, Romania, Serbia, Slovenia, Morocco</v>
      </c>
    </row>
    <row r="1731" spans="1:14" x14ac:dyDescent="0.25">
      <c r="A1731" s="6" t="s">
        <v>4246</v>
      </c>
      <c r="B1731" s="6">
        <v>11678</v>
      </c>
      <c r="C1731" s="6" t="s">
        <v>4247</v>
      </c>
      <c r="D1731" s="7" t="s">
        <v>150</v>
      </c>
      <c r="E1731" s="6" t="s">
        <v>2417</v>
      </c>
      <c r="F1731" s="6" t="s">
        <v>8096</v>
      </c>
      <c r="G1731" s="8">
        <v>45396</v>
      </c>
      <c r="H1731" s="6">
        <v>8.58</v>
      </c>
      <c r="I1731" s="6" cm="1">
        <f t="array" ref="I1731">IFERROR(VALUE(TRIM(LEFT(E1731,MIN(FIND({" ";"g";"k";"m";"o"},E1731&amp;" gkmo"))-1))),0)</f>
        <v>250</v>
      </c>
      <c r="J1731" s="6" t="str" cm="1">
        <f t="array" ref="J1731">IFERROR(TRIM(MID(E1731,MIN(FIND({" ";"g";"k";"m";"o"},E1731&amp;" gkmo")),10)),"unknown")</f>
        <v>g e</v>
      </c>
      <c r="K1731" s="6" t="str">
        <f t="shared" ref="K1731:K1793" si="108">IF(E1731="","unknown",IF(OR(J1731="g",LEFT(J1731,1)="g"),"g",IF(OR(LEFT(J1731,2)="kg",LEFT(J1731,2)="ki"),"kg",IF(OR(LEFT(J1731,2)="ml",LEFT(J1731,1)="m"),"ml",IF(LEFT(J1731,1)="l","l",IF(ISNUMBER(SEARCH("g",E1731)),"g",IF(ISNUMBER(SEARCH("kg",E1731)),"kg",IF(ISNUMBER(SEARCH("ml",E1731)),"ml","unknown"))))))))</f>
        <v>g</v>
      </c>
      <c r="L1731" s="6" t="str">
        <f t="shared" ref="L1731:L1793" si="109">IF(D1731="","Unknown",PROPER(TRIM(D1731)))</f>
        <v>Alesto</v>
      </c>
      <c r="M1731" s="6" t="str">
        <f t="shared" ref="M1731:M1793" si="110">IF(C1731="Unknown","Unknown",PROPER(TRIM(C1731)))</f>
        <v>Cranberries Dried &amp; Sweetened</v>
      </c>
      <c r="N1731" s="6" t="str">
        <f t="shared" ref="N1731:N1794" si="111">IF(F1731="","Unknown",PROPER(TRIM(F1731)))</f>
        <v>France, Romania</v>
      </c>
    </row>
    <row r="1732" spans="1:14" x14ac:dyDescent="0.25">
      <c r="A1732" s="6" t="s">
        <v>4248</v>
      </c>
      <c r="B1732" s="6">
        <v>5732</v>
      </c>
      <c r="C1732" s="6" t="s">
        <v>7017</v>
      </c>
      <c r="D1732" s="7" t="s">
        <v>4249</v>
      </c>
      <c r="E1732" s="6"/>
      <c r="F1732" s="6" t="s">
        <v>8097</v>
      </c>
      <c r="G1732" s="8">
        <v>45648</v>
      </c>
      <c r="H1732" s="6">
        <v>13.16</v>
      </c>
      <c r="I1732" s="6" cm="1">
        <f t="array" ref="I1732">IFERROR(VALUE(TRIM(LEFT(E1732,MIN(FIND({" ";"g";"k";"m";"o"},E1732&amp;" gkmo"))-1))),0)</f>
        <v>0</v>
      </c>
      <c r="J1732" s="6" t="str" cm="1">
        <f t="array" ref="J1732">IFERROR(TRIM(MID(E1732,MIN(FIND({" ";"g";"k";"m";"o"},E1732&amp;" gkmo")),10)),"unknown")</f>
        <v/>
      </c>
      <c r="K1732" s="6" t="str">
        <f t="shared" si="108"/>
        <v>unknown</v>
      </c>
      <c r="L1732" s="6" t="str">
        <f t="shared" si="109"/>
        <v>Be-Kind</v>
      </c>
      <c r="M1732" s="6" t="str">
        <f t="shared" si="110"/>
        <v>Unknown</v>
      </c>
      <c r="N1732" s="6" t="str">
        <f t="shared" si="111"/>
        <v>France, Germany, Switzerland, Belgium</v>
      </c>
    </row>
    <row r="1733" spans="1:14" x14ac:dyDescent="0.25">
      <c r="A1733" s="6" t="s">
        <v>4250</v>
      </c>
      <c r="B1733" s="6">
        <v>11965</v>
      </c>
      <c r="C1733" s="6" t="s">
        <v>4251</v>
      </c>
      <c r="D1733" s="7" t="s">
        <v>2750</v>
      </c>
      <c r="E1733" s="6" t="s">
        <v>786</v>
      </c>
      <c r="F1733" s="6" t="s">
        <v>177</v>
      </c>
      <c r="G1733" s="8">
        <v>45568</v>
      </c>
      <c r="H1733" s="6">
        <v>16.14</v>
      </c>
      <c r="I1733" s="6" cm="1">
        <f t="array" ref="I1733">IFERROR(VALUE(TRIM(LEFT(E1733,MIN(FIND({" ";"g";"k";"m";"o"},E1733&amp;" gkmo"))-1))),0)</f>
        <v>130</v>
      </c>
      <c r="J1733" s="6" t="str" cm="1">
        <f t="array" ref="J1733">IFERROR(TRIM(MID(E1733,MIN(FIND({" ";"g";"k";"m";"o"},E1733&amp;" gkmo")),10)),"unknown")</f>
        <v>g</v>
      </c>
      <c r="K1733" s="6" t="str">
        <f t="shared" si="108"/>
        <v>g</v>
      </c>
      <c r="L1733" s="6" t="str">
        <f t="shared" si="109"/>
        <v>M&amp;S</v>
      </c>
      <c r="M1733" s="6" t="str">
        <f t="shared" si="110"/>
        <v>Rye Sourdough Crackers</v>
      </c>
      <c r="N1733" s="6" t="str">
        <f t="shared" si="111"/>
        <v>United Kingdom</v>
      </c>
    </row>
    <row r="1734" spans="1:14" x14ac:dyDescent="0.25">
      <c r="A1734" s="6" t="s">
        <v>4252</v>
      </c>
      <c r="B1734" s="6">
        <v>5758</v>
      </c>
      <c r="C1734" s="6" t="s">
        <v>4253</v>
      </c>
      <c r="D1734" s="7" t="s">
        <v>7017</v>
      </c>
      <c r="E1734" s="6"/>
      <c r="F1734" s="6" t="s">
        <v>860</v>
      </c>
      <c r="G1734" s="8">
        <v>45556</v>
      </c>
      <c r="H1734" s="6">
        <v>8.7200000000000006</v>
      </c>
      <c r="I1734" s="6" cm="1">
        <f t="array" ref="I1734">IFERROR(VALUE(TRIM(LEFT(E1734,MIN(FIND({" ";"g";"k";"m";"o"},E1734&amp;" gkmo"))-1))),0)</f>
        <v>0</v>
      </c>
      <c r="J1734" s="6" t="str" cm="1">
        <f t="array" ref="J1734">IFERROR(TRIM(MID(E1734,MIN(FIND({" ";"g";"k";"m";"o"},E1734&amp;" gkmo")),10)),"unknown")</f>
        <v/>
      </c>
      <c r="K1734" s="6" t="str">
        <f t="shared" si="108"/>
        <v>unknown</v>
      </c>
      <c r="L1734" s="6" t="str">
        <f t="shared" si="109"/>
        <v>Unknown</v>
      </c>
      <c r="M1734" s="6" t="str">
        <f t="shared" si="110"/>
        <v>Cracks</v>
      </c>
      <c r="N1734" s="6" t="str">
        <f t="shared" si="111"/>
        <v>Ma</v>
      </c>
    </row>
    <row r="1735" spans="1:14" x14ac:dyDescent="0.25">
      <c r="A1735" s="6" t="s">
        <v>4254</v>
      </c>
      <c r="B1735" s="6">
        <v>10673</v>
      </c>
      <c r="C1735" s="6" t="s">
        <v>7281</v>
      </c>
      <c r="D1735" s="7" t="s">
        <v>4255</v>
      </c>
      <c r="E1735" s="6" t="s">
        <v>14</v>
      </c>
      <c r="F1735" s="6" t="s">
        <v>139</v>
      </c>
      <c r="G1735" s="8">
        <v>45415</v>
      </c>
      <c r="H1735" s="6">
        <v>14.3</v>
      </c>
      <c r="I1735" s="6" cm="1">
        <f t="array" ref="I1735">IFERROR(VALUE(TRIM(LEFT(E1735,MIN(FIND({" ";"g";"k";"m";"o"},E1735&amp;" gkmo"))-1))),0)</f>
        <v>300</v>
      </c>
      <c r="J1735" s="6" t="str" cm="1">
        <f t="array" ref="J1735">IFERROR(TRIM(MID(E1735,MIN(FIND({" ";"g";"k";"m";"o"},E1735&amp;" gkmo")),10)),"unknown")</f>
        <v>g</v>
      </c>
      <c r="K1735" s="6" t="str">
        <f t="shared" si="108"/>
        <v>g</v>
      </c>
      <c r="L1735" s="6" t="str">
        <f t="shared" si="109"/>
        <v>Pitch</v>
      </c>
      <c r="M1735" s="6" t="str">
        <f t="shared" si="110"/>
        <v>Brioche Pépites De Chocolat</v>
      </c>
      <c r="N1735" s="6" t="str">
        <f t="shared" si="111"/>
        <v>France</v>
      </c>
    </row>
    <row r="1736" spans="1:14" x14ac:dyDescent="0.25">
      <c r="A1736" s="6" t="s">
        <v>4256</v>
      </c>
      <c r="B1736" s="6">
        <v>7216</v>
      </c>
      <c r="C1736" s="6" t="s">
        <v>4257</v>
      </c>
      <c r="D1736" s="7" t="s">
        <v>116</v>
      </c>
      <c r="E1736" s="6" t="s">
        <v>4258</v>
      </c>
      <c r="F1736" s="6" t="s">
        <v>4259</v>
      </c>
      <c r="G1736" s="8">
        <v>45770</v>
      </c>
      <c r="H1736" s="6">
        <v>23.87</v>
      </c>
      <c r="I1736" s="6" cm="1">
        <f t="array" ref="I1736">IFERROR(VALUE(TRIM(LEFT(E1736,MIN(FIND({" ";"g";"k";"m";"o"},E1736&amp;" gkmo"))-1))),0)</f>
        <v>8</v>
      </c>
      <c r="J1736" s="6" t="str" cm="1">
        <f t="array" ref="J1736">IFERROR(TRIM(MID(E1736,MIN(FIND({" ";"g";"k";"m";"o"},E1736&amp;" gkmo")),10)),"unknown")</f>
        <v>x 20 g</v>
      </c>
      <c r="K1736" s="6" t="str">
        <f t="shared" si="108"/>
        <v>g</v>
      </c>
      <c r="L1736" s="6" t="str">
        <f t="shared" si="109"/>
        <v>Nature Valley</v>
      </c>
      <c r="M1736" s="6" t="str">
        <f t="shared" si="110"/>
        <v>Crunchy Chocolat Ðÿ« Au Lait Ðÿ¥›Ðÿ„</v>
      </c>
      <c r="N1736" s="6" t="str">
        <f t="shared" si="111"/>
        <v>France,Poland</v>
      </c>
    </row>
    <row r="1737" spans="1:14" x14ac:dyDescent="0.25">
      <c r="A1737" s="6" t="s">
        <v>4260</v>
      </c>
      <c r="B1737" s="6">
        <v>11972</v>
      </c>
      <c r="C1737" s="6" t="s">
        <v>1946</v>
      </c>
      <c r="D1737" s="7" t="s">
        <v>1947</v>
      </c>
      <c r="E1737" s="6" t="s">
        <v>4261</v>
      </c>
      <c r="F1737" s="6" t="s">
        <v>2973</v>
      </c>
      <c r="G1737" s="8">
        <v>45901</v>
      </c>
      <c r="H1737" s="6">
        <v>15.36</v>
      </c>
      <c r="I1737" s="6" cm="1">
        <f t="array" ref="I1737">IFERROR(VALUE(TRIM(LEFT(E1737,MIN(FIND({" ";"g";"k";"m";"o"},E1737&amp;" gkmo"))-1))),0)</f>
        <v>5</v>
      </c>
      <c r="J1737" s="6" t="str" cm="1">
        <f t="array" ref="J1737">IFERROR(TRIM(MID(E1737,MIN(FIND({" ";"g";"k";"m";"o"},E1737&amp;" gkmo")),10)),"unknown")</f>
        <v>x 15g</v>
      </c>
      <c r="K1737" s="6" t="str">
        <f t="shared" si="108"/>
        <v>g</v>
      </c>
      <c r="L1737" s="6" t="str">
        <f t="shared" si="109"/>
        <v>Snackrite</v>
      </c>
      <c r="M1737" s="6" t="str">
        <f t="shared" si="110"/>
        <v>Lentil Chips</v>
      </c>
      <c r="N1737" s="6" t="str">
        <f t="shared" si="111"/>
        <v>Gb</v>
      </c>
    </row>
    <row r="1738" spans="1:14" x14ac:dyDescent="0.25">
      <c r="A1738" s="6" t="s">
        <v>4262</v>
      </c>
      <c r="B1738" s="6">
        <v>12076</v>
      </c>
      <c r="C1738" s="6" t="s">
        <v>4263</v>
      </c>
      <c r="D1738" s="7" t="s">
        <v>2466</v>
      </c>
      <c r="E1738" s="6"/>
      <c r="F1738" s="6" t="s">
        <v>8030</v>
      </c>
      <c r="G1738" s="8">
        <v>45717</v>
      </c>
      <c r="H1738" s="6">
        <v>14.01</v>
      </c>
      <c r="I1738" s="6" cm="1">
        <f t="array" ref="I1738">IFERROR(VALUE(TRIM(LEFT(E1738,MIN(FIND({" ";"g";"k";"m";"o"},E1738&amp;" gkmo"))-1))),0)</f>
        <v>0</v>
      </c>
      <c r="J1738" s="6" t="str" cm="1">
        <f t="array" ref="J1738">IFERROR(TRIM(MID(E1738,MIN(FIND({" ";"g";"k";"m";"o"},E1738&amp;" gkmo")),10)),"unknown")</f>
        <v/>
      </c>
      <c r="K1738" s="6" t="str">
        <f t="shared" si="108"/>
        <v>unknown</v>
      </c>
      <c r="L1738" s="6" t="str">
        <f t="shared" si="109"/>
        <v>Misura</v>
      </c>
      <c r="M1738" s="6" t="str">
        <f t="shared" si="110"/>
        <v>Privolat</v>
      </c>
      <c r="N1738" s="6" t="str">
        <f t="shared" si="111"/>
        <v>It</v>
      </c>
    </row>
    <row r="1739" spans="1:14" x14ac:dyDescent="0.25">
      <c r="A1739" s="6" t="s">
        <v>4264</v>
      </c>
      <c r="B1739" s="6">
        <v>10565</v>
      </c>
      <c r="C1739" s="6" t="s">
        <v>4265</v>
      </c>
      <c r="D1739" s="7" t="s">
        <v>116</v>
      </c>
      <c r="E1739" s="6"/>
      <c r="F1739" s="6" t="s">
        <v>8400</v>
      </c>
      <c r="G1739" s="8">
        <v>45387</v>
      </c>
      <c r="H1739" s="6">
        <v>8.07</v>
      </c>
      <c r="I1739" s="6" cm="1">
        <f t="array" ref="I1739">IFERROR(VALUE(TRIM(LEFT(E1739,MIN(FIND({" ";"g";"k";"m";"o"},E1739&amp;" gkmo"))-1))),0)</f>
        <v>0</v>
      </c>
      <c r="J1739" s="6" t="str" cm="1">
        <f t="array" ref="J1739">IFERROR(TRIM(MID(E1739,MIN(FIND({" ";"g";"k";"m";"o"},E1739&amp;" gkmo")),10)),"unknown")</f>
        <v/>
      </c>
      <c r="K1739" s="6" t="str">
        <f t="shared" si="108"/>
        <v>unknown</v>
      </c>
      <c r="L1739" s="6" t="str">
        <f t="shared" si="109"/>
        <v>Nature Valley</v>
      </c>
      <c r="M1739" s="6" t="str">
        <f t="shared" si="110"/>
        <v>Protein Peanut, Chocolate &amp; Berries</v>
      </c>
      <c r="N1739" s="6" t="str">
        <f t="shared" si="111"/>
        <v>France,Espaà±A,United Kingdom</v>
      </c>
    </row>
    <row r="1740" spans="1:14" x14ac:dyDescent="0.25">
      <c r="A1740" s="6" t="s">
        <v>4266</v>
      </c>
      <c r="B1740" s="6">
        <v>10937</v>
      </c>
      <c r="C1740" s="6" t="s">
        <v>7767</v>
      </c>
      <c r="D1740" s="7" t="s">
        <v>961</v>
      </c>
      <c r="E1740" s="6" t="s">
        <v>10</v>
      </c>
      <c r="F1740" s="6" t="s">
        <v>4267</v>
      </c>
      <c r="G1740" s="8">
        <v>45686</v>
      </c>
      <c r="H1740" s="6">
        <v>14.11</v>
      </c>
      <c r="I1740" s="6" cm="1">
        <f t="array" ref="I1740">IFERROR(VALUE(TRIM(LEFT(E1740,MIN(FIND({" ";"g";"k";"m";"o"},E1740&amp;" gkmo"))-1))),0)</f>
        <v>100</v>
      </c>
      <c r="J1740" s="6" t="str" cm="1">
        <f t="array" ref="J1740">IFERROR(TRIM(MID(E1740,MIN(FIND({" ";"g";"k";"m";"o"},E1740&amp;" gkmo")),10)),"unknown")</f>
        <v>g</v>
      </c>
      <c r="K1740" s="6" t="str">
        <f t="shared" si="108"/>
        <v>g</v>
      </c>
      <c r="L1740" s="6" t="str">
        <f t="shared" si="109"/>
        <v>Sondey</v>
      </c>
      <c r="M1740" s="6" t="str">
        <f t="shared" si="110"/>
        <v>Zartes Blà¤Tterteiggebà¤Ck</v>
      </c>
      <c r="N1740" s="6" t="str">
        <f t="shared" si="111"/>
        <v>Germany,France</v>
      </c>
    </row>
    <row r="1741" spans="1:14" x14ac:dyDescent="0.25">
      <c r="A1741" s="6" t="s">
        <v>4268</v>
      </c>
      <c r="B1741" s="6">
        <v>7467</v>
      </c>
      <c r="C1741" s="6" t="s">
        <v>4269</v>
      </c>
      <c r="D1741" s="7" t="s">
        <v>452</v>
      </c>
      <c r="E1741" s="6" t="s">
        <v>39</v>
      </c>
      <c r="F1741" s="6" t="s">
        <v>7573</v>
      </c>
      <c r="G1741" s="8">
        <v>45879</v>
      </c>
      <c r="H1741" s="6">
        <v>6.63</v>
      </c>
      <c r="I1741" s="6" cm="1">
        <f t="array" ref="I1741">IFERROR(VALUE(TRIM(LEFT(E1741,MIN(FIND({" ";"g";"k";"m";"o"},E1741&amp;" gkmo"))-1))),0)</f>
        <v>150</v>
      </c>
      <c r="J1741" s="6" t="str" cm="1">
        <f t="array" ref="J1741">IFERROR(TRIM(MID(E1741,MIN(FIND({" ";"g";"k";"m";"o"},E1741&amp;" gkmo")),10)),"unknown")</f>
        <v>g</v>
      </c>
      <c r="K1741" s="6" t="str">
        <f t="shared" si="108"/>
        <v>g</v>
      </c>
      <c r="L1741" s="6" t="str">
        <f t="shared" si="109"/>
        <v>Hacendado</v>
      </c>
      <c r="M1741" s="6" t="str">
        <f t="shared" si="110"/>
        <v>Patatas Fritas Extra Crunch</v>
      </c>
      <c r="N1741" s="6" t="str">
        <f t="shared" si="111"/>
        <v>Portugal,Espaà±A</v>
      </c>
    </row>
    <row r="1742" spans="1:14" x14ac:dyDescent="0.25">
      <c r="A1742" s="6" t="s">
        <v>4270</v>
      </c>
      <c r="B1742" s="6">
        <v>8745</v>
      </c>
      <c r="C1742" s="6" t="s">
        <v>4271</v>
      </c>
      <c r="D1742" s="7" t="s">
        <v>1105</v>
      </c>
      <c r="E1742" s="6" t="s">
        <v>84</v>
      </c>
      <c r="F1742" s="6" t="s">
        <v>139</v>
      </c>
      <c r="G1742" s="8">
        <v>45871</v>
      </c>
      <c r="H1742" s="6">
        <v>2.92</v>
      </c>
      <c r="I1742" s="6" cm="1">
        <f t="array" ref="I1742">IFERROR(VALUE(TRIM(LEFT(E1742,MIN(FIND({" ";"g";"k";"m";"o"},E1742&amp;" gkmo"))-1))),0)</f>
        <v>85</v>
      </c>
      <c r="J1742" s="6" t="str" cm="1">
        <f t="array" ref="J1742">IFERROR(TRIM(MID(E1742,MIN(FIND({" ";"g";"k";"m";"o"},E1742&amp;" gkmo")),10)),"unknown")</f>
        <v>g</v>
      </c>
      <c r="K1742" s="6" t="str">
        <f t="shared" si="108"/>
        <v>g</v>
      </c>
      <c r="L1742" s="6" t="str">
        <f t="shared" si="109"/>
        <v>Vico</v>
      </c>
      <c r="M1742" s="6" t="str">
        <f t="shared" si="110"/>
        <v>Chips De Lentilles</v>
      </c>
      <c r="N1742" s="6" t="str">
        <f t="shared" si="111"/>
        <v>France</v>
      </c>
    </row>
    <row r="1743" spans="1:14" x14ac:dyDescent="0.25">
      <c r="A1743" s="6" t="s">
        <v>4272</v>
      </c>
      <c r="B1743" s="6">
        <v>13648</v>
      </c>
      <c r="C1743" s="6" t="s">
        <v>7017</v>
      </c>
      <c r="D1743" s="7" t="s">
        <v>2664</v>
      </c>
      <c r="E1743" s="6"/>
      <c r="F1743" s="6" t="s">
        <v>177</v>
      </c>
      <c r="G1743" s="8">
        <v>45935</v>
      </c>
      <c r="H1743" s="6">
        <v>13.16</v>
      </c>
      <c r="I1743" s="6" cm="1">
        <f t="array" ref="I1743">IFERROR(VALUE(TRIM(LEFT(E1743,MIN(FIND({" ";"g";"k";"m";"o"},E1743&amp;" gkmo"))-1))),0)</f>
        <v>0</v>
      </c>
      <c r="J1743" s="6" t="str" cm="1">
        <f t="array" ref="J1743">IFERROR(TRIM(MID(E1743,MIN(FIND({" ";"g";"k";"m";"o"},E1743&amp;" gkmo")),10)),"unknown")</f>
        <v/>
      </c>
      <c r="K1743" s="6" t="str">
        <f t="shared" si="108"/>
        <v>unknown</v>
      </c>
      <c r="L1743" s="6" t="str">
        <f t="shared" si="109"/>
        <v>Mcvities</v>
      </c>
      <c r="M1743" s="6" t="str">
        <f t="shared" si="110"/>
        <v>Unknown</v>
      </c>
      <c r="N1743" s="6" t="str">
        <f t="shared" si="111"/>
        <v>United Kingdom</v>
      </c>
    </row>
    <row r="1744" spans="1:14" x14ac:dyDescent="0.25">
      <c r="A1744" s="6" t="s">
        <v>4273</v>
      </c>
      <c r="B1744" s="6">
        <v>13441</v>
      </c>
      <c r="C1744" s="6" t="s">
        <v>7017</v>
      </c>
      <c r="D1744" s="7" t="s">
        <v>452</v>
      </c>
      <c r="E1744" s="6" t="s">
        <v>528</v>
      </c>
      <c r="F1744" s="6" t="s">
        <v>7595</v>
      </c>
      <c r="G1744" s="8">
        <v>46039</v>
      </c>
      <c r="H1744" s="6">
        <v>13.16</v>
      </c>
      <c r="I1744" s="6" cm="1">
        <f t="array" ref="I1744">IFERROR(VALUE(TRIM(LEFT(E1744,MIN(FIND({" ";"g";"k";"m";"o"},E1744&amp;" gkmo"))-1))),0)</f>
        <v>200</v>
      </c>
      <c r="J1744" s="6" t="str" cm="1">
        <f t="array" ref="J1744">IFERROR(TRIM(MID(E1744,MIN(FIND({" ";"g";"k";"m";"o"},E1744&amp;" gkmo")),10)),"unknown")</f>
        <v>g</v>
      </c>
      <c r="K1744" s="6" t="str">
        <f t="shared" si="108"/>
        <v>g</v>
      </c>
      <c r="L1744" s="6" t="str">
        <f t="shared" si="109"/>
        <v>Hacendado</v>
      </c>
      <c r="M1744" s="6" t="str">
        <f t="shared" si="110"/>
        <v>Unknown</v>
      </c>
      <c r="N1744" s="6" t="str">
        <f t="shared" si="111"/>
        <v>Espaà±A</v>
      </c>
    </row>
    <row r="1745" spans="1:14" x14ac:dyDescent="0.25">
      <c r="A1745" s="6" t="s">
        <v>4274</v>
      </c>
      <c r="B1745" s="6">
        <v>8949</v>
      </c>
      <c r="C1745" s="6" t="s">
        <v>7017</v>
      </c>
      <c r="D1745" s="7" t="s">
        <v>7017</v>
      </c>
      <c r="E1745" s="6"/>
      <c r="F1745" s="6" t="s">
        <v>7949</v>
      </c>
      <c r="G1745" s="8">
        <v>45374</v>
      </c>
      <c r="H1745" s="6">
        <v>13.16</v>
      </c>
      <c r="I1745" s="6" cm="1">
        <f t="array" ref="I1745">IFERROR(VALUE(TRIM(LEFT(E1745,MIN(FIND({" ";"g";"k";"m";"o"},E1745&amp;" gkmo"))-1))),0)</f>
        <v>0</v>
      </c>
      <c r="J1745" s="6" t="str" cm="1">
        <f t="array" ref="J1745">IFERROR(TRIM(MID(E1745,MIN(FIND({" ";"g";"k";"m";"o"},E1745&amp;" gkmo")),10)),"unknown")</f>
        <v/>
      </c>
      <c r="K1745" s="6" t="str">
        <f t="shared" si="108"/>
        <v>unknown</v>
      </c>
      <c r="L1745" s="6" t="str">
        <f t="shared" si="109"/>
        <v>Unknown</v>
      </c>
      <c r="M1745" s="6" t="str">
        <f t="shared" si="110"/>
        <v>Unknown</v>
      </c>
      <c r="N1745" s="6" t="str">
        <f t="shared" si="111"/>
        <v>Morocco</v>
      </c>
    </row>
    <row r="1746" spans="1:14" x14ac:dyDescent="0.25">
      <c r="A1746" s="6" t="s">
        <v>4275</v>
      </c>
      <c r="B1746" s="6">
        <v>7057</v>
      </c>
      <c r="C1746" s="6" t="s">
        <v>7768</v>
      </c>
      <c r="D1746" s="7" t="s">
        <v>7456</v>
      </c>
      <c r="E1746" s="6" t="s">
        <v>138</v>
      </c>
      <c r="F1746" s="6" t="s">
        <v>139</v>
      </c>
      <c r="G1746" s="8">
        <v>45541</v>
      </c>
      <c r="H1746" s="6">
        <v>6.39</v>
      </c>
      <c r="I1746" s="6" cm="1">
        <f t="array" ref="I1746">IFERROR(VALUE(TRIM(LEFT(E1746,MIN(FIND({" ";"g";"k";"m";"o"},E1746&amp;" gkmo"))-1))),0)</f>
        <v>400</v>
      </c>
      <c r="J1746" s="6" t="str" cm="1">
        <f t="array" ref="J1746">IFERROR(TRIM(MID(E1746,MIN(FIND({" ";"g";"k";"m";"o"},E1746&amp;" gkmo")),10)),"unknown")</f>
        <v>g</v>
      </c>
      <c r="K1746" s="6" t="str">
        <f t="shared" si="108"/>
        <v>g</v>
      </c>
      <c r="L1746" s="6" t="str">
        <f t="shared" si="109"/>
        <v>La Boulangère</v>
      </c>
      <c r="M1746" s="6" t="str">
        <f t="shared" si="110"/>
        <v>Gà¢Che Tranchée Pur Beurre 400G</v>
      </c>
      <c r="N1746" s="6" t="str">
        <f t="shared" si="111"/>
        <v>France</v>
      </c>
    </row>
    <row r="1747" spans="1:14" x14ac:dyDescent="0.25">
      <c r="A1747" s="6" t="s">
        <v>4276</v>
      </c>
      <c r="B1747" s="6">
        <v>12630</v>
      </c>
      <c r="C1747" s="6" t="s">
        <v>4277</v>
      </c>
      <c r="D1747" s="7" t="s">
        <v>4278</v>
      </c>
      <c r="E1747" s="6" t="s">
        <v>4279</v>
      </c>
      <c r="F1747" s="6" t="s">
        <v>4280</v>
      </c>
      <c r="G1747" s="8">
        <v>45798</v>
      </c>
      <c r="H1747" s="6">
        <v>8.61</v>
      </c>
      <c r="I1747" s="6" cm="1">
        <f t="array" ref="I1747">IFERROR(VALUE(TRIM(LEFT(E1747,MIN(FIND({" ";"g";"k";"m";"o"},E1747&amp;" gkmo"))-1))),0)</f>
        <v>30</v>
      </c>
      <c r="J1747" s="6" t="str" cm="1">
        <f t="array" ref="J1747">IFERROR(TRIM(MID(E1747,MIN(FIND({" ";"g";"k";"m";"o"},E1747&amp;" gkmo")),10)),"unknown")</f>
        <v>oz</v>
      </c>
      <c r="K1747" s="6" t="str">
        <f t="shared" si="108"/>
        <v>unknown</v>
      </c>
      <c r="L1747" s="6" t="str">
        <f t="shared" si="109"/>
        <v>Universal Bakery</v>
      </c>
      <c r="M1747" s="6" t="str">
        <f t="shared" si="110"/>
        <v>Aussie Bites</v>
      </c>
      <c r="N1747" s="6" t="str">
        <f t="shared" si="111"/>
        <v>Canada,United States</v>
      </c>
    </row>
    <row r="1748" spans="1:14" x14ac:dyDescent="0.25">
      <c r="A1748" s="6" t="s">
        <v>4281</v>
      </c>
      <c r="B1748" s="6">
        <v>9141</v>
      </c>
      <c r="C1748" s="6" t="s">
        <v>4282</v>
      </c>
      <c r="D1748" s="7" t="s">
        <v>7017</v>
      </c>
      <c r="E1748" s="6" t="s">
        <v>28</v>
      </c>
      <c r="F1748" s="6" t="s">
        <v>7560</v>
      </c>
      <c r="G1748" s="8">
        <v>45762</v>
      </c>
      <c r="H1748" s="6">
        <v>15.71</v>
      </c>
      <c r="I1748" s="6" cm="1">
        <f t="array" ref="I1748">IFERROR(VALUE(TRIM(LEFT(E1748,MIN(FIND({" ";"g";"k";"m";"o"},E1748&amp;" gkmo"))-1))),0)</f>
        <v>125</v>
      </c>
      <c r="J1748" s="6" t="str" cm="1">
        <f t="array" ref="J1748">IFERROR(TRIM(MID(E1748,MIN(FIND({" ";"g";"k";"m";"o"},E1748&amp;" gkmo")),10)),"unknown")</f>
        <v>g</v>
      </c>
      <c r="K1748" s="6" t="str">
        <f t="shared" si="108"/>
        <v>g</v>
      </c>
      <c r="L1748" s="6" t="str">
        <f t="shared" si="109"/>
        <v>Unknown</v>
      </c>
      <c r="M1748" s="6" t="str">
        <f t="shared" si="110"/>
        <v>Schokobutterkeks Zartbitter</v>
      </c>
      <c r="N1748" s="6" t="str">
        <f t="shared" si="111"/>
        <v>Finland,Frankrijk,Duitsland,Italië,Nederland,Verenigd Koninkrijk</v>
      </c>
    </row>
    <row r="1749" spans="1:14" x14ac:dyDescent="0.25">
      <c r="A1749" s="6" t="s">
        <v>4283</v>
      </c>
      <c r="B1749" s="6">
        <v>12952</v>
      </c>
      <c r="C1749" s="6" t="s">
        <v>4284</v>
      </c>
      <c r="D1749" s="7" t="s">
        <v>7769</v>
      </c>
      <c r="E1749" s="6" t="s">
        <v>10</v>
      </c>
      <c r="F1749" s="6" t="s">
        <v>8419</v>
      </c>
      <c r="G1749" s="8">
        <v>45544</v>
      </c>
      <c r="H1749" s="6">
        <v>9.94</v>
      </c>
      <c r="I1749" s="6" cm="1">
        <f t="array" ref="I1749">IFERROR(VALUE(TRIM(LEFT(E1749,MIN(FIND({" ";"g";"k";"m";"o"},E1749&amp;" gkmo"))-1))),0)</f>
        <v>100</v>
      </c>
      <c r="J1749" s="6" t="str" cm="1">
        <f t="array" ref="J1749">IFERROR(TRIM(MID(E1749,MIN(FIND({" ";"g";"k";"m";"o"},E1749&amp;" gkmo")),10)),"unknown")</f>
        <v>g</v>
      </c>
      <c r="K1749" s="6" t="str">
        <f t="shared" si="108"/>
        <v>g</v>
      </c>
      <c r="L1749" s="6" t="str">
        <f t="shared" si="109"/>
        <v>Lindt&amp;Sprà¼Ngli</v>
      </c>
      <c r="M1749" s="6" t="str">
        <f t="shared" si="110"/>
        <v>Lindt Chocolate Negro Limon Con Gengibre Con Amandes</v>
      </c>
      <c r="N1749" s="6" t="str">
        <f t="shared" si="111"/>
        <v>France,Germany,Morocco,Netherlands,Switzerland</v>
      </c>
    </row>
    <row r="1750" spans="1:14" x14ac:dyDescent="0.25">
      <c r="A1750" s="6" t="s">
        <v>4285</v>
      </c>
      <c r="B1750" s="6">
        <v>11364</v>
      </c>
      <c r="C1750" s="6" t="s">
        <v>4286</v>
      </c>
      <c r="D1750" s="7" t="s">
        <v>7030</v>
      </c>
      <c r="E1750" s="6" t="s">
        <v>423</v>
      </c>
      <c r="F1750" s="6" t="s">
        <v>139</v>
      </c>
      <c r="G1750" s="8">
        <v>45734</v>
      </c>
      <c r="H1750" s="6">
        <v>17.46</v>
      </c>
      <c r="I1750" s="6" cm="1">
        <f t="array" ref="I1750">IFERROR(VALUE(TRIM(LEFT(E1750,MIN(FIND({" ";"g";"k";"m";"o"},E1750&amp;" gkmo"))-1))),0)</f>
        <v>125</v>
      </c>
      <c r="J1750" s="6" t="str" cm="1">
        <f t="array" ref="J1750">IFERROR(TRIM(MID(E1750,MIN(FIND({" ";"g";"k";"m";"o"},E1750&amp;" gkmo")),10)),"unknown")</f>
        <v>g</v>
      </c>
      <c r="K1750" s="6" t="str">
        <f t="shared" si="108"/>
        <v>g</v>
      </c>
      <c r="L1750" s="6" t="str">
        <f t="shared" si="109"/>
        <v>Gerblé</v>
      </c>
      <c r="M1750" s="6" t="str">
        <f t="shared" si="110"/>
        <v>Biscuit Crousti Pause Choco Noisette Ss Gluten</v>
      </c>
      <c r="N1750" s="6" t="str">
        <f t="shared" si="111"/>
        <v>France</v>
      </c>
    </row>
    <row r="1751" spans="1:14" x14ac:dyDescent="0.25">
      <c r="A1751" s="6" t="s">
        <v>4287</v>
      </c>
      <c r="B1751" s="6">
        <v>5507</v>
      </c>
      <c r="C1751" s="6" t="s">
        <v>4288</v>
      </c>
      <c r="D1751" s="7" t="s">
        <v>4289</v>
      </c>
      <c r="E1751" s="6" t="s">
        <v>423</v>
      </c>
      <c r="F1751" s="6" t="s">
        <v>139</v>
      </c>
      <c r="G1751" s="8">
        <v>45590</v>
      </c>
      <c r="H1751" s="6">
        <v>18.350000000000001</v>
      </c>
      <c r="I1751" s="6" cm="1">
        <f t="array" ref="I1751">IFERROR(VALUE(TRIM(LEFT(E1751,MIN(FIND({" ";"g";"k";"m";"o"},E1751&amp;" gkmo"))-1))),0)</f>
        <v>125</v>
      </c>
      <c r="J1751" s="6" t="str" cm="1">
        <f t="array" ref="J1751">IFERROR(TRIM(MID(E1751,MIN(FIND({" ";"g";"k";"m";"o"},E1751&amp;" gkmo")),10)),"unknown")</f>
        <v>g</v>
      </c>
      <c r="K1751" s="6" t="str">
        <f t="shared" si="108"/>
        <v>g</v>
      </c>
      <c r="L1751" s="6" t="str">
        <f t="shared" si="109"/>
        <v>U,U Bio</v>
      </c>
      <c r="M1751" s="6" t="str">
        <f t="shared" si="110"/>
        <v>Biscuits Galettes Pur Beurre Bio , 125G</v>
      </c>
      <c r="N1751" s="6" t="str">
        <f t="shared" si="111"/>
        <v>France</v>
      </c>
    </row>
    <row r="1752" spans="1:14" x14ac:dyDescent="0.25">
      <c r="A1752" s="6" t="s">
        <v>4290</v>
      </c>
      <c r="B1752" s="6">
        <v>9255</v>
      </c>
      <c r="C1752" s="6" t="s">
        <v>7282</v>
      </c>
      <c r="D1752" s="7" t="s">
        <v>2199</v>
      </c>
      <c r="E1752" s="6"/>
      <c r="F1752" s="6" t="s">
        <v>139</v>
      </c>
      <c r="G1752" s="8">
        <v>45482</v>
      </c>
      <c r="H1752" s="6">
        <v>3.62</v>
      </c>
      <c r="I1752" s="6" cm="1">
        <f t="array" ref="I1752">IFERROR(VALUE(TRIM(LEFT(E1752,MIN(FIND({" ";"g";"k";"m";"o"},E1752&amp;" gkmo"))-1))),0)</f>
        <v>0</v>
      </c>
      <c r="J1752" s="6" t="str" cm="1">
        <f t="array" ref="J1752">IFERROR(TRIM(MID(E1752,MIN(FIND({" ";"g";"k";"m";"o"},E1752&amp;" gkmo")),10)),"unknown")</f>
        <v/>
      </c>
      <c r="K1752" s="6" t="str">
        <f t="shared" si="108"/>
        <v>unknown</v>
      </c>
      <c r="L1752" s="6" t="str">
        <f t="shared" si="109"/>
        <v>U, U Bio</v>
      </c>
      <c r="M1752" s="6" t="str">
        <f t="shared" si="110"/>
        <v>Biscuits Bio Épeautre Et Sésames Paquet De 150G</v>
      </c>
      <c r="N1752" s="6" t="str">
        <f t="shared" si="111"/>
        <v>France</v>
      </c>
    </row>
    <row r="1753" spans="1:14" x14ac:dyDescent="0.25">
      <c r="A1753" s="6" t="s">
        <v>4291</v>
      </c>
      <c r="B1753" s="6">
        <v>12166</v>
      </c>
      <c r="C1753" s="6" t="s">
        <v>4292</v>
      </c>
      <c r="D1753" s="7" t="s">
        <v>4293</v>
      </c>
      <c r="E1753" s="6" t="s">
        <v>1487</v>
      </c>
      <c r="F1753" s="6" t="s">
        <v>139</v>
      </c>
      <c r="G1753" s="8">
        <v>46004</v>
      </c>
      <c r="H1753" s="6">
        <v>23.42</v>
      </c>
      <c r="I1753" s="6" cm="1">
        <f t="array" ref="I1753">IFERROR(VALUE(TRIM(LEFT(E1753,MIN(FIND({" ";"g";"k";"m";"o"},E1753&amp;" gkmo"))-1))),0)</f>
        <v>320</v>
      </c>
      <c r="J1753" s="6" t="str" cm="1">
        <f t="array" ref="J1753">IFERROR(TRIM(MID(E1753,MIN(FIND({" ";"g";"k";"m";"o"},E1753&amp;" gkmo")),10)),"unknown")</f>
        <v>g</v>
      </c>
      <c r="K1753" s="6" t="str">
        <f t="shared" si="108"/>
        <v>g</v>
      </c>
      <c r="L1753" s="6" t="str">
        <f t="shared" si="109"/>
        <v>Brioche Pasquier,Pasquier</v>
      </c>
      <c r="M1753" s="6" t="str">
        <f t="shared" si="110"/>
        <v>Croissants</v>
      </c>
      <c r="N1753" s="6" t="str">
        <f t="shared" si="111"/>
        <v>France</v>
      </c>
    </row>
    <row r="1754" spans="1:14" x14ac:dyDescent="0.25">
      <c r="A1754" s="6" t="s">
        <v>4294</v>
      </c>
      <c r="B1754" s="6">
        <v>9720</v>
      </c>
      <c r="C1754" s="6" t="s">
        <v>4295</v>
      </c>
      <c r="D1754" s="7" t="s">
        <v>1699</v>
      </c>
      <c r="E1754" s="6" t="s">
        <v>4296</v>
      </c>
      <c r="F1754" s="6" t="s">
        <v>1181</v>
      </c>
      <c r="G1754" s="8">
        <v>45396</v>
      </c>
      <c r="H1754" s="6">
        <v>18.12</v>
      </c>
      <c r="I1754" s="6" cm="1">
        <f t="array" ref="I1754">IFERROR(VALUE(TRIM(LEFT(E1754,MIN(FIND({" ";"g";"k";"m";"o"},E1754&amp;" gkmo"))-1))),0)</f>
        <v>720</v>
      </c>
      <c r="J1754" s="6" t="str" cm="1">
        <f t="array" ref="J1754">IFERROR(TRIM(MID(E1754,MIN(FIND({" ";"g";"k";"m";"o"},E1754&amp;" gkmo")),10)),"unknown")</f>
        <v>g</v>
      </c>
      <c r="K1754" s="6" t="str">
        <f t="shared" si="108"/>
        <v>g</v>
      </c>
      <c r="L1754" s="6" t="str">
        <f t="shared" si="109"/>
        <v>Brioche Pasquier</v>
      </c>
      <c r="M1754" s="6" t="str">
        <f t="shared" si="110"/>
        <v>Pains Au Chocolat Format Familial</v>
      </c>
      <c r="N1754" s="6" t="str">
        <f t="shared" si="111"/>
        <v>France,Switzerland</v>
      </c>
    </row>
    <row r="1755" spans="1:14" x14ac:dyDescent="0.25">
      <c r="A1755" s="6" t="s">
        <v>4297</v>
      </c>
      <c r="B1755" s="6">
        <v>14598</v>
      </c>
      <c r="C1755" s="6" t="s">
        <v>4298</v>
      </c>
      <c r="D1755" s="7" t="s">
        <v>1105</v>
      </c>
      <c r="E1755" s="6" t="s">
        <v>18</v>
      </c>
      <c r="F1755" s="6" t="s">
        <v>139</v>
      </c>
      <c r="G1755" s="8">
        <v>45371</v>
      </c>
      <c r="H1755" s="6">
        <v>17.690000000000001</v>
      </c>
      <c r="I1755" s="6" cm="1">
        <f t="array" ref="I1755">IFERROR(VALUE(TRIM(LEFT(E1755,MIN(FIND({" ";"g";"k";"m";"o"},E1755&amp;" gkmo"))-1))),0)</f>
        <v>100</v>
      </c>
      <c r="J1755" s="6" t="str" cm="1">
        <f t="array" ref="J1755">IFERROR(TRIM(MID(E1755,MIN(FIND({" ";"g";"k";"m";"o"},E1755&amp;" gkmo")),10)),"unknown")</f>
        <v>g</v>
      </c>
      <c r="K1755" s="6" t="str">
        <f t="shared" si="108"/>
        <v>g</v>
      </c>
      <c r="L1755" s="6" t="str">
        <f t="shared" si="109"/>
        <v>Vico</v>
      </c>
      <c r="M1755" s="6" t="str">
        <f t="shared" si="110"/>
        <v>Curly Donuts</v>
      </c>
      <c r="N1755" s="6" t="str">
        <f t="shared" si="111"/>
        <v>France</v>
      </c>
    </row>
    <row r="1756" spans="1:14" x14ac:dyDescent="0.25">
      <c r="A1756" s="6" t="s">
        <v>4299</v>
      </c>
      <c r="B1756" s="6">
        <v>13002</v>
      </c>
      <c r="C1756" s="6" t="s">
        <v>4300</v>
      </c>
      <c r="D1756" s="7" t="s">
        <v>2654</v>
      </c>
      <c r="E1756" s="6" t="s">
        <v>1312</v>
      </c>
      <c r="F1756" s="6" t="s">
        <v>139</v>
      </c>
      <c r="G1756" s="8">
        <v>45797</v>
      </c>
      <c r="H1756" s="6">
        <v>1.4</v>
      </c>
      <c r="I1756" s="6" cm="1">
        <f t="array" ref="I1756">IFERROR(VALUE(TRIM(LEFT(E1756,MIN(FIND({" ";"g";"k";"m";"o"},E1756&amp;" gkmo"))-1))),0)</f>
        <v>50</v>
      </c>
      <c r="J1756" s="6" t="str" cm="1">
        <f t="array" ref="J1756">IFERROR(TRIM(MID(E1756,MIN(FIND({" ";"g";"k";"m";"o"},E1756&amp;" gkmo")),10)),"unknown")</f>
        <v>g</v>
      </c>
      <c r="K1756" s="6" t="str">
        <f t="shared" si="108"/>
        <v>g</v>
      </c>
      <c r="L1756" s="6" t="str">
        <f t="shared" si="109"/>
        <v>Jardin Bio</v>
      </c>
      <c r="M1756" s="6" t="str">
        <f t="shared" si="110"/>
        <v>Chips De Lentilles Aux Petits Oignons</v>
      </c>
      <c r="N1756" s="6" t="str">
        <f t="shared" si="111"/>
        <v>France</v>
      </c>
    </row>
    <row r="1757" spans="1:14" x14ac:dyDescent="0.25">
      <c r="A1757" s="6" t="s">
        <v>4301</v>
      </c>
      <c r="B1757" s="6">
        <v>6826</v>
      </c>
      <c r="C1757" s="6" t="s">
        <v>4302</v>
      </c>
      <c r="D1757" s="7" t="s">
        <v>652</v>
      </c>
      <c r="E1757" s="6" t="s">
        <v>7770</v>
      </c>
      <c r="F1757" s="6" t="s">
        <v>4303</v>
      </c>
      <c r="G1757" s="8">
        <v>46039</v>
      </c>
      <c r="H1757" s="6">
        <v>15.66</v>
      </c>
      <c r="I1757" s="6" cm="1">
        <f t="array" ref="I1757">IFERROR(VALUE(TRIM(LEFT(E1757,MIN(FIND({" ";"g";"k";"m";"o"},E1757&amp;" gkmo"))-1))),0)</f>
        <v>240</v>
      </c>
      <c r="J1757" s="6" t="str" cm="1">
        <f t="array" ref="J1757">IFERROR(TRIM(MID(E1757,MIN(FIND({" ";"g";"k";"m";"o"},E1757&amp;" gkmo")),10)),"unknown")</f>
        <v>g 8 à— 30</v>
      </c>
      <c r="K1757" s="6" t="str">
        <f t="shared" si="108"/>
        <v>g</v>
      </c>
      <c r="L1757" s="6" t="str">
        <f t="shared" si="109"/>
        <v>Brossard</v>
      </c>
      <c r="M1757" s="6" t="str">
        <f t="shared" si="110"/>
        <v>Brossard - Mini Brownie Choco Pepites</v>
      </c>
      <c r="N1757" s="6" t="str">
        <f t="shared" si="111"/>
        <v>Frankreich, Schweiz, Germany</v>
      </c>
    </row>
    <row r="1758" spans="1:14" x14ac:dyDescent="0.25">
      <c r="A1758" s="6" t="s">
        <v>4304</v>
      </c>
      <c r="B1758" s="6">
        <v>14599</v>
      </c>
      <c r="C1758" s="6" t="s">
        <v>4305</v>
      </c>
      <c r="D1758" s="7" t="s">
        <v>7496</v>
      </c>
      <c r="E1758" s="6" t="s">
        <v>151</v>
      </c>
      <c r="F1758" s="6" t="s">
        <v>139</v>
      </c>
      <c r="G1758" s="8">
        <v>45622</v>
      </c>
      <c r="H1758" s="6">
        <v>13.16</v>
      </c>
      <c r="I1758" s="6" cm="1">
        <f t="array" ref="I1758">IFERROR(VALUE(TRIM(LEFT(E1758,MIN(FIND({" ";"g";"k";"m";"o"},E1758&amp;" gkmo"))-1))),0)</f>
        <v>200</v>
      </c>
      <c r="J1758" s="6" t="str" cm="1">
        <f t="array" ref="J1758">IFERROR(TRIM(MID(E1758,MIN(FIND({" ";"g";"k";"m";"o"},E1758&amp;" gkmo")),10)),"unknown")</f>
        <v>g</v>
      </c>
      <c r="K1758" s="6" t="str">
        <f t="shared" si="108"/>
        <v>g</v>
      </c>
      <c r="L1758" s="6" t="str">
        <f t="shared" si="109"/>
        <v>Bio Village, Marque Repère</v>
      </c>
      <c r="M1758" s="6" t="str">
        <f t="shared" si="110"/>
        <v>Crackers Emmental Graines De Courge</v>
      </c>
      <c r="N1758" s="6" t="str">
        <f t="shared" si="111"/>
        <v>France</v>
      </c>
    </row>
    <row r="1759" spans="1:14" x14ac:dyDescent="0.25">
      <c r="A1759" s="6" t="s">
        <v>4306</v>
      </c>
      <c r="B1759" s="6">
        <v>8053</v>
      </c>
      <c r="C1759" s="6" t="s">
        <v>7283</v>
      </c>
      <c r="D1759" s="7" t="s">
        <v>4307</v>
      </c>
      <c r="E1759" s="6" t="s">
        <v>14</v>
      </c>
      <c r="F1759" s="6" t="s">
        <v>8455</v>
      </c>
      <c r="G1759" s="8">
        <v>45638</v>
      </c>
      <c r="H1759" s="6">
        <v>17.39</v>
      </c>
      <c r="I1759" s="6" cm="1">
        <f t="array" ref="I1759">IFERROR(VALUE(TRIM(LEFT(E1759,MIN(FIND({" ";"g";"k";"m";"o"},E1759&amp;" gkmo"))-1))),0)</f>
        <v>300</v>
      </c>
      <c r="J1759" s="6" t="str" cm="1">
        <f t="array" ref="J1759">IFERROR(TRIM(MID(E1759,MIN(FIND({" ";"g";"k";"m";"o"},E1759&amp;" gkmo")),10)),"unknown")</f>
        <v>g</v>
      </c>
      <c r="K1759" s="6" t="str">
        <f t="shared" si="108"/>
        <v>g</v>
      </c>
      <c r="L1759" s="6" t="str">
        <f t="shared" si="109"/>
        <v>Jardin Bio, Jardin Biologique, Lea Nature</v>
      </c>
      <c r="M1759" s="6" t="str">
        <f t="shared" si="110"/>
        <v>Pain D'Épices</v>
      </c>
      <c r="N1759" s="6" t="str">
        <f t="shared" si="111"/>
        <v>France,Reunion</v>
      </c>
    </row>
    <row r="1760" spans="1:14" x14ac:dyDescent="0.25">
      <c r="A1760" s="6" t="s">
        <v>4308</v>
      </c>
      <c r="B1760" s="6">
        <v>5295</v>
      </c>
      <c r="C1760" s="6" t="s">
        <v>4309</v>
      </c>
      <c r="D1760" s="7" t="s">
        <v>4310</v>
      </c>
      <c r="E1760" s="6" t="s">
        <v>580</v>
      </c>
      <c r="F1760" s="6" t="s">
        <v>4311</v>
      </c>
      <c r="G1760" s="8">
        <v>45525</v>
      </c>
      <c r="H1760" s="6">
        <v>11.92</v>
      </c>
      <c r="I1760" s="6" cm="1">
        <f t="array" ref="I1760">IFERROR(VALUE(TRIM(LEFT(E1760,MIN(FIND({" ";"g";"k";"m";"o"},E1760&amp;" gkmo"))-1))),0)</f>
        <v>250</v>
      </c>
      <c r="J1760" s="6" t="str" cm="1">
        <f t="array" ref="J1760">IFERROR(TRIM(MID(E1760,MIN(FIND({" ";"g";"k";"m";"o"},E1760&amp;" gkmo")),10)),"unknown")</f>
        <v>g</v>
      </c>
      <c r="K1760" s="6" t="str">
        <f t="shared" si="108"/>
        <v>g</v>
      </c>
      <c r="L1760" s="6" t="str">
        <f t="shared" si="109"/>
        <v>Merci, Storck</v>
      </c>
      <c r="M1760" s="6" t="str">
        <f t="shared" si="110"/>
        <v>Merci : Milk Chocolate ÑÐ¸Ð½Ð¸Ð¹ ÑÐ¼Ð¾Ñ‚Ðºð°</v>
      </c>
      <c r="N1760" s="6" t="str">
        <f t="shared" si="111"/>
        <v>Ð‘Ð¾Ð»Ð³Ð°Ñ€Ð¸Ñ,Ð¤Ñ€Ð°Ð½Ñ†Ð¸Ñ,Ð“Ðµñ€Ð¼Ð°Ð½Ð¸Ñ,Ð’Ðµð½Ð³Ñ€Ð¸Ñ,Ð Ñƒð¼Ñ‹Ð½Ð¸Ñ,Ð¨Ð²Ðµð¹Ñ†Ð°Ñ€Ð¸Ñ,Ð Ð¾ÑÑÐ¸Ñ</v>
      </c>
    </row>
    <row r="1761" spans="1:14" x14ac:dyDescent="0.25">
      <c r="A1761" s="6" t="s">
        <v>4312</v>
      </c>
      <c r="B1761" s="6">
        <v>14773</v>
      </c>
      <c r="C1761" s="6" t="s">
        <v>4313</v>
      </c>
      <c r="D1761" s="7" t="s">
        <v>4314</v>
      </c>
      <c r="E1761" s="6" t="s">
        <v>528</v>
      </c>
      <c r="F1761" s="6" t="s">
        <v>8331</v>
      </c>
      <c r="G1761" s="8">
        <v>45449</v>
      </c>
      <c r="H1761" s="6">
        <v>7.63</v>
      </c>
      <c r="I1761" s="6" cm="1">
        <f t="array" ref="I1761">IFERROR(VALUE(TRIM(LEFT(E1761,MIN(FIND({" ";"g";"k";"m";"o"},E1761&amp;" gkmo"))-1))),0)</f>
        <v>200</v>
      </c>
      <c r="J1761" s="6" t="str" cm="1">
        <f t="array" ref="J1761">IFERROR(TRIM(MID(E1761,MIN(FIND({" ";"g";"k";"m";"o"},E1761&amp;" gkmo")),10)),"unknown")</f>
        <v>g</v>
      </c>
      <c r="K1761" s="6" t="str">
        <f t="shared" si="108"/>
        <v>g</v>
      </c>
      <c r="L1761" s="6" t="str">
        <f t="shared" si="109"/>
        <v>Nippon</v>
      </c>
      <c r="M1761" s="6" t="str">
        <f t="shared" si="110"/>
        <v>Puffreis Mit Schokolade</v>
      </c>
      <c r="N1761" s="6" t="str">
        <f t="shared" si="111"/>
        <v>France,Germany,Italie,Switzerland</v>
      </c>
    </row>
    <row r="1762" spans="1:14" x14ac:dyDescent="0.25">
      <c r="A1762" s="6" t="s">
        <v>4315</v>
      </c>
      <c r="B1762" s="6">
        <v>14013</v>
      </c>
      <c r="C1762" s="6" t="s">
        <v>4316</v>
      </c>
      <c r="D1762" s="7" t="s">
        <v>1424</v>
      </c>
      <c r="E1762" s="6" t="s">
        <v>151</v>
      </c>
      <c r="F1762" s="6" t="s">
        <v>7771</v>
      </c>
      <c r="G1762" s="8">
        <v>45648</v>
      </c>
      <c r="H1762" s="6">
        <v>9.9600000000000009</v>
      </c>
      <c r="I1762" s="6" cm="1">
        <f t="array" ref="I1762">IFERROR(VALUE(TRIM(LEFT(E1762,MIN(FIND({" ";"g";"k";"m";"o"},E1762&amp;" gkmo"))-1))),0)</f>
        <v>200</v>
      </c>
      <c r="J1762" s="6" t="str" cm="1">
        <f t="array" ref="J1762">IFERROR(TRIM(MID(E1762,MIN(FIND({" ";"g";"k";"m";"o"},E1762&amp;" gkmo")),10)),"unknown")</f>
        <v>g</v>
      </c>
      <c r="K1762" s="6" t="str">
        <f t="shared" si="108"/>
        <v>g</v>
      </c>
      <c r="L1762" s="6" t="str">
        <f t="shared" si="109"/>
        <v>Jacob'S</v>
      </c>
      <c r="M1762" s="6" t="str">
        <f t="shared" si="110"/>
        <v>Cream Crackers Crispy Crackers</v>
      </c>
      <c r="N1762" s="6" t="str">
        <f t="shared" si="111"/>
        <v>Franà§A,Alemanha,Portugal,Espanha</v>
      </c>
    </row>
    <row r="1763" spans="1:14" x14ac:dyDescent="0.25">
      <c r="A1763" s="6" t="s">
        <v>4317</v>
      </c>
      <c r="B1763" s="6">
        <v>6408</v>
      </c>
      <c r="C1763" s="6" t="s">
        <v>4318</v>
      </c>
      <c r="D1763" s="7" t="s">
        <v>112</v>
      </c>
      <c r="E1763" s="6" t="s">
        <v>160</v>
      </c>
      <c r="F1763" s="6" t="s">
        <v>8098</v>
      </c>
      <c r="G1763" s="8">
        <v>45397</v>
      </c>
      <c r="H1763" s="6">
        <v>9.57</v>
      </c>
      <c r="I1763" s="6" cm="1">
        <f t="array" ref="I1763">IFERROR(VALUE(TRIM(LEFT(E1763,MIN(FIND({" ";"g";"k";"m";"o"},E1763&amp;" gkmo"))-1))),0)</f>
        <v>165</v>
      </c>
      <c r="J1763" s="6" t="str" cm="1">
        <f t="array" ref="J1763">IFERROR(TRIM(MID(E1763,MIN(FIND({" ";"g";"k";"m";"o"},E1763&amp;" gkmo")),10)),"unknown")</f>
        <v>g</v>
      </c>
      <c r="K1763" s="6" t="str">
        <f t="shared" si="108"/>
        <v>g</v>
      </c>
      <c r="L1763" s="6" t="str">
        <f t="shared" si="109"/>
        <v>Pringles</v>
      </c>
      <c r="M1763" s="6" t="str">
        <f t="shared" si="110"/>
        <v>Cheese &amp; Onion</v>
      </c>
      <c r="N1763" s="6" t="str">
        <f t="shared" si="111"/>
        <v>Croatia, France, Romania, Morocco</v>
      </c>
    </row>
    <row r="1764" spans="1:14" x14ac:dyDescent="0.25">
      <c r="A1764" s="6" t="s">
        <v>4319</v>
      </c>
      <c r="B1764" s="6">
        <v>11759</v>
      </c>
      <c r="C1764" s="6" t="s">
        <v>4320</v>
      </c>
      <c r="D1764" s="7" t="s">
        <v>1430</v>
      </c>
      <c r="E1764" s="6" t="s">
        <v>123</v>
      </c>
      <c r="F1764" s="6" t="s">
        <v>7926</v>
      </c>
      <c r="G1764" s="8">
        <v>45572</v>
      </c>
      <c r="H1764" s="6">
        <v>10.59</v>
      </c>
      <c r="I1764" s="6" cm="1">
        <f t="array" ref="I1764">IFERROR(VALUE(TRIM(LEFT(E1764,MIN(FIND({" ";"g";"k";"m";"o"},E1764&amp;" gkmo"))-1))),0)</f>
        <v>50</v>
      </c>
      <c r="J1764" s="6" t="str" cm="1">
        <f t="array" ref="J1764">IFERROR(TRIM(MID(E1764,MIN(FIND({" ";"g";"k";"m";"o"},E1764&amp;" gkmo")),10)),"unknown")</f>
        <v>g</v>
      </c>
      <c r="K1764" s="6" t="str">
        <f t="shared" si="108"/>
        <v>g</v>
      </c>
      <c r="L1764" s="6" t="str">
        <f t="shared" si="109"/>
        <v>Deliciously Ella</v>
      </c>
      <c r="M1764" s="6" t="str">
        <f t="shared" si="110"/>
        <v>Cacao &amp; Almond Oat Bar</v>
      </c>
      <c r="N1764" s="6" t="str">
        <f t="shared" si="111"/>
        <v>France, United-Kingdom</v>
      </c>
    </row>
    <row r="1765" spans="1:14" x14ac:dyDescent="0.25">
      <c r="A1765" s="6" t="s">
        <v>4321</v>
      </c>
      <c r="B1765" s="6">
        <v>5751</v>
      </c>
      <c r="C1765" s="6" t="s">
        <v>7497</v>
      </c>
      <c r="D1765" s="7" t="s">
        <v>1084</v>
      </c>
      <c r="E1765" s="6" t="s">
        <v>446</v>
      </c>
      <c r="F1765" s="6" t="s">
        <v>8099</v>
      </c>
      <c r="G1765" s="8">
        <v>45831</v>
      </c>
      <c r="H1765" s="6">
        <v>14.63</v>
      </c>
      <c r="I1765" s="6" cm="1">
        <f t="array" ref="I1765">IFERROR(VALUE(TRIM(LEFT(E1765,MIN(FIND({" ";"g";"k";"m";"o"},E1765&amp;" gkmo"))-1))),0)</f>
        <v>450</v>
      </c>
      <c r="J1765" s="6" t="str" cm="1">
        <f t="array" ref="J1765">IFERROR(TRIM(MID(E1765,MIN(FIND({" ";"g";"k";"m";"o"},E1765&amp;" gkmo")),10)),"unknown")</f>
        <v>g</v>
      </c>
      <c r="K1765" s="6" t="str">
        <f t="shared" si="108"/>
        <v>g</v>
      </c>
      <c r="L1765" s="6" t="str">
        <f t="shared" si="109"/>
        <v>Lotus</v>
      </c>
      <c r="M1765" s="6" t="str">
        <f t="shared" si="110"/>
        <v>Lotus Gaufre De Liège Perles De Sucre Format Familial 450G (10X1P)</v>
      </c>
      <c r="N1765" s="6" t="str">
        <f t="shared" si="111"/>
        <v>France, Lu</v>
      </c>
    </row>
    <row r="1766" spans="1:14" x14ac:dyDescent="0.25">
      <c r="A1766" s="6" t="s">
        <v>4322</v>
      </c>
      <c r="B1766" s="6">
        <v>13275</v>
      </c>
      <c r="C1766" s="6" t="s">
        <v>4323</v>
      </c>
      <c r="D1766" s="7" t="s">
        <v>294</v>
      </c>
      <c r="E1766" s="6"/>
      <c r="F1766" s="6" t="s">
        <v>2673</v>
      </c>
      <c r="G1766" s="8">
        <v>45470</v>
      </c>
      <c r="H1766" s="6">
        <v>8.69</v>
      </c>
      <c r="I1766" s="6" cm="1">
        <f t="array" ref="I1766">IFERROR(VALUE(TRIM(LEFT(E1766,MIN(FIND({" ";"g";"k";"m";"o"},E1766&amp;" gkmo"))-1))),0)</f>
        <v>0</v>
      </c>
      <c r="J1766" s="6" t="str" cm="1">
        <f t="array" ref="J1766">IFERROR(TRIM(MID(E1766,MIN(FIND({" ";"g";"k";"m";"o"},E1766&amp;" gkmo")),10)),"unknown")</f>
        <v/>
      </c>
      <c r="K1766" s="6" t="str">
        <f t="shared" si="108"/>
        <v>unknown</v>
      </c>
      <c r="L1766" s="6" t="str">
        <f t="shared" si="109"/>
        <v>Bimo</v>
      </c>
      <c r="M1766" s="6" t="str">
        <f t="shared" si="110"/>
        <v>Galette Senior</v>
      </c>
      <c r="N1766" s="6" t="str">
        <f t="shared" si="111"/>
        <v>Algeria</v>
      </c>
    </row>
    <row r="1767" spans="1:14" x14ac:dyDescent="0.25">
      <c r="A1767" s="6" t="s">
        <v>4324</v>
      </c>
      <c r="B1767" s="6">
        <v>8612</v>
      </c>
      <c r="C1767" s="6" t="s">
        <v>4325</v>
      </c>
      <c r="D1767" s="7" t="s">
        <v>7685</v>
      </c>
      <c r="E1767" s="6" t="s">
        <v>1466</v>
      </c>
      <c r="F1767" s="6" t="s">
        <v>139</v>
      </c>
      <c r="G1767" s="8">
        <v>45983</v>
      </c>
      <c r="H1767" s="6">
        <v>21.75</v>
      </c>
      <c r="I1767" s="6" cm="1">
        <f t="array" ref="I1767">IFERROR(VALUE(TRIM(LEFT(E1767,MIN(FIND({" ";"g";"k";"m";"o"},E1767&amp;" gkmo"))-1))),0)</f>
        <v>300</v>
      </c>
      <c r="J1767" s="6" t="str" cm="1">
        <f t="array" ref="J1767">IFERROR(TRIM(MID(E1767,MIN(FIND({" ";"g";"k";"m";"o"},E1767&amp;" gkmo")),10)),"unknown")</f>
        <v>g (3 * 10</v>
      </c>
      <c r="K1767" s="6" t="str">
        <f t="shared" si="108"/>
        <v>g</v>
      </c>
      <c r="L1767" s="6" t="str">
        <f t="shared" si="109"/>
        <v>Cà´Te D'Or,Mondelez</v>
      </c>
      <c r="M1767" s="6" t="str">
        <f t="shared" si="110"/>
        <v>L'Original Lait</v>
      </c>
      <c r="N1767" s="6" t="str">
        <f t="shared" si="111"/>
        <v>France</v>
      </c>
    </row>
    <row r="1768" spans="1:14" x14ac:dyDescent="0.25">
      <c r="A1768" s="6" t="s">
        <v>4326</v>
      </c>
      <c r="B1768" s="6">
        <v>7104</v>
      </c>
      <c r="C1768" s="6" t="s">
        <v>7498</v>
      </c>
      <c r="D1768" s="7" t="s">
        <v>4327</v>
      </c>
      <c r="E1768" s="6" t="s">
        <v>946</v>
      </c>
      <c r="F1768" s="6" t="s">
        <v>139</v>
      </c>
      <c r="G1768" s="8">
        <v>45365</v>
      </c>
      <c r="H1768" s="6">
        <v>13.16</v>
      </c>
      <c r="I1768" s="6" cm="1">
        <f t="array" ref="I1768">IFERROR(VALUE(TRIM(LEFT(E1768,MIN(FIND({" ";"g";"k";"m";"o"},E1768&amp;" gkmo"))-1))),0)</f>
        <v>138</v>
      </c>
      <c r="J1768" s="6" t="str" cm="1">
        <f t="array" ref="J1768">IFERROR(TRIM(MID(E1768,MIN(FIND({" ";"g";"k";"m";"o"},E1768&amp;" gkmo")),10)),"unknown")</f>
        <v>g</v>
      </c>
      <c r="K1768" s="6" t="str">
        <f t="shared" si="108"/>
        <v>g</v>
      </c>
      <c r="L1768" s="6" t="str">
        <f t="shared" si="109"/>
        <v>Belin</v>
      </c>
      <c r="M1768" s="6" t="str">
        <f t="shared" si="110"/>
        <v>Croustilles Aux Cacahuètes</v>
      </c>
      <c r="N1768" s="6" t="str">
        <f t="shared" si="111"/>
        <v>France</v>
      </c>
    </row>
    <row r="1769" spans="1:14" x14ac:dyDescent="0.25">
      <c r="A1769" s="6" t="s">
        <v>4328</v>
      </c>
      <c r="B1769" s="6">
        <v>5486</v>
      </c>
      <c r="C1769" s="6" t="s">
        <v>4329</v>
      </c>
      <c r="D1769" s="7" t="s">
        <v>7284</v>
      </c>
      <c r="E1769" s="6" t="s">
        <v>151</v>
      </c>
      <c r="F1769" s="6" t="s">
        <v>139</v>
      </c>
      <c r="G1769" s="8">
        <v>46040</v>
      </c>
      <c r="H1769" s="6">
        <v>16.920000000000002</v>
      </c>
      <c r="I1769" s="6" cm="1">
        <f t="array" ref="I1769">IFERROR(VALUE(TRIM(LEFT(E1769,MIN(FIND({" ";"g";"k";"m";"o"},E1769&amp;" gkmo"))-1))),0)</f>
        <v>200</v>
      </c>
      <c r="J1769" s="6" t="str" cm="1">
        <f t="array" ref="J1769">IFERROR(TRIM(MID(E1769,MIN(FIND({" ";"g";"k";"m";"o"},E1769&amp;" gkmo")),10)),"unknown")</f>
        <v>g</v>
      </c>
      <c r="K1769" s="6" t="str">
        <f t="shared" si="108"/>
        <v>g</v>
      </c>
      <c r="L1769" s="6" t="str">
        <f t="shared" si="109"/>
        <v>Nestlé, Crunch</v>
      </c>
      <c r="M1769" s="6" t="str">
        <f t="shared" si="110"/>
        <v>Crunch (Lot De 2)</v>
      </c>
      <c r="N1769" s="6" t="str">
        <f t="shared" si="111"/>
        <v>France</v>
      </c>
    </row>
    <row r="1770" spans="1:14" x14ac:dyDescent="0.25">
      <c r="A1770" s="6" t="s">
        <v>4330</v>
      </c>
      <c r="B1770" s="6">
        <v>14439</v>
      </c>
      <c r="C1770" s="6" t="s">
        <v>4331</v>
      </c>
      <c r="D1770" s="7" t="s">
        <v>173</v>
      </c>
      <c r="E1770" s="6" t="s">
        <v>14</v>
      </c>
      <c r="F1770" s="6" t="s">
        <v>8100</v>
      </c>
      <c r="G1770" s="8">
        <v>45361</v>
      </c>
      <c r="H1770" s="6">
        <v>24.79</v>
      </c>
      <c r="I1770" s="6" cm="1">
        <f t="array" ref="I1770">IFERROR(VALUE(TRIM(LEFT(E1770,MIN(FIND({" ";"g";"k";"m";"o"},E1770&amp;" gkmo"))-1))),0)</f>
        <v>300</v>
      </c>
      <c r="J1770" s="6" t="str" cm="1">
        <f t="array" ref="J1770">IFERROR(TRIM(MID(E1770,MIN(FIND({" ";"g";"k";"m";"o"},E1770&amp;" gkmo")),10)),"unknown")</f>
        <v>g</v>
      </c>
      <c r="K1770" s="6" t="str">
        <f t="shared" si="108"/>
        <v>g</v>
      </c>
      <c r="L1770" s="6" t="str">
        <f t="shared" si="109"/>
        <v>Kinder</v>
      </c>
      <c r="M1770" s="6" t="str">
        <f t="shared" si="110"/>
        <v>Kinder Schokolade</v>
      </c>
      <c r="N1770" s="6" t="str">
        <f t="shared" si="111"/>
        <v>Austria, Belgium, France, Germany, Italy, Switzerland, Bulgaria</v>
      </c>
    </row>
    <row r="1771" spans="1:14" x14ac:dyDescent="0.25">
      <c r="A1771" s="6" t="s">
        <v>4332</v>
      </c>
      <c r="B1771" s="6">
        <v>6980</v>
      </c>
      <c r="C1771" s="6" t="s">
        <v>4333</v>
      </c>
      <c r="D1771" s="7" t="s">
        <v>1542</v>
      </c>
      <c r="E1771" s="6" t="s">
        <v>2894</v>
      </c>
      <c r="F1771" s="6" t="s">
        <v>8101</v>
      </c>
      <c r="G1771" s="8">
        <v>45629</v>
      </c>
      <c r="H1771" s="6">
        <v>18.420000000000002</v>
      </c>
      <c r="I1771" s="6" cm="1">
        <f t="array" ref="I1771">IFERROR(VALUE(TRIM(LEFT(E1771,MIN(FIND({" ";"g";"k";"m";"o"},E1771&amp;" gkmo"))-1))),0)</f>
        <v>350</v>
      </c>
      <c r="J1771" s="6" t="str" cm="1">
        <f t="array" ref="J1771">IFERROR(TRIM(MID(E1771,MIN(FIND({" ";"g";"k";"m";"o"},E1771&amp;" gkmo")),10)),"unknown")</f>
        <v>g (10 x 3</v>
      </c>
      <c r="K1771" s="6" t="str">
        <f t="shared" si="108"/>
        <v>g</v>
      </c>
      <c r="L1771" s="6" t="str">
        <f t="shared" si="109"/>
        <v>Balconi</v>
      </c>
      <c r="M1771" s="6" t="str">
        <f t="shared" si="110"/>
        <v>Mix Max</v>
      </c>
      <c r="N1771" s="6" t="str">
        <f t="shared" si="111"/>
        <v>Australia, Canada, France, Germany, Morocco</v>
      </c>
    </row>
    <row r="1772" spans="1:14" x14ac:dyDescent="0.25">
      <c r="A1772" s="6" t="s">
        <v>4334</v>
      </c>
      <c r="B1772" s="6">
        <v>5190</v>
      </c>
      <c r="C1772" s="6" t="s">
        <v>4335</v>
      </c>
      <c r="D1772" s="7" t="s">
        <v>2398</v>
      </c>
      <c r="E1772" s="6" t="s">
        <v>14</v>
      </c>
      <c r="F1772" s="6" t="s">
        <v>8226</v>
      </c>
      <c r="G1772" s="8">
        <v>45435</v>
      </c>
      <c r="H1772" s="6">
        <v>16.809999999999999</v>
      </c>
      <c r="I1772" s="6" cm="1">
        <f t="array" ref="I1772">IFERROR(VALUE(TRIM(LEFT(E1772,MIN(FIND({" ";"g";"k";"m";"o"},E1772&amp;" gkmo"))-1))),0)</f>
        <v>300</v>
      </c>
      <c r="J1772" s="6" t="str" cm="1">
        <f t="array" ref="J1772">IFERROR(TRIM(MID(E1772,MIN(FIND({" ";"g";"k";"m";"o"},E1772&amp;" gkmo")),10)),"unknown")</f>
        <v>g</v>
      </c>
      <c r="K1772" s="6" t="str">
        <f t="shared" si="108"/>
        <v>g</v>
      </c>
      <c r="L1772" s="6" t="str">
        <f t="shared" si="109"/>
        <v>Galbusera</v>
      </c>
      <c r="M1772" s="6" t="str">
        <f t="shared" si="110"/>
        <v>Colcuore</v>
      </c>
      <c r="N1772" s="6" t="str">
        <f t="shared" si="111"/>
        <v>France,Italia</v>
      </c>
    </row>
    <row r="1773" spans="1:14" x14ac:dyDescent="0.25">
      <c r="A1773" s="6" t="s">
        <v>4336</v>
      </c>
      <c r="B1773" s="6">
        <v>14539</v>
      </c>
      <c r="C1773" s="6" t="s">
        <v>4337</v>
      </c>
      <c r="D1773" s="7" t="s">
        <v>4338</v>
      </c>
      <c r="E1773" s="6" t="s">
        <v>276</v>
      </c>
      <c r="F1773" s="6" t="s">
        <v>7919</v>
      </c>
      <c r="G1773" s="8">
        <v>45367</v>
      </c>
      <c r="H1773" s="6">
        <v>12.06</v>
      </c>
      <c r="I1773" s="6" cm="1">
        <f t="array" ref="I1773">IFERROR(VALUE(TRIM(LEFT(E1773,MIN(FIND({" ";"g";"k";"m";"o"},E1773&amp;" gkmo"))-1))),0)</f>
        <v>40</v>
      </c>
      <c r="J1773" s="6" t="str" cm="1">
        <f t="array" ref="J1773">IFERROR(TRIM(MID(E1773,MIN(FIND({" ";"g";"k";"m";"o"},E1773&amp;" gkmo")),10)),"unknown")</f>
        <v>g</v>
      </c>
      <c r="K1773" s="6" t="str">
        <f t="shared" si="108"/>
        <v>g</v>
      </c>
      <c r="L1773" s="6" t="str">
        <f t="shared" si="109"/>
        <v>Tosfrit</v>
      </c>
      <c r="M1773" s="6" t="str">
        <f t="shared" si="110"/>
        <v>Kaskys</v>
      </c>
      <c r="N1773" s="6" t="str">
        <f t="shared" si="111"/>
        <v>France, Morocco</v>
      </c>
    </row>
    <row r="1774" spans="1:14" x14ac:dyDescent="0.25">
      <c r="A1774" s="6" t="s">
        <v>4339</v>
      </c>
      <c r="B1774" s="6">
        <v>11474</v>
      </c>
      <c r="C1774" s="6" t="s">
        <v>4340</v>
      </c>
      <c r="D1774" s="7" t="s">
        <v>7017</v>
      </c>
      <c r="E1774" s="6"/>
      <c r="F1774" s="6" t="s">
        <v>8219</v>
      </c>
      <c r="G1774" s="8">
        <v>45491</v>
      </c>
      <c r="H1774" s="6">
        <v>4.17</v>
      </c>
      <c r="I1774" s="6" cm="1">
        <f t="array" ref="I1774">IFERROR(VALUE(TRIM(LEFT(E1774,MIN(FIND({" ";"g";"k";"m";"o"},E1774&amp;" gkmo"))-1))),0)</f>
        <v>0</v>
      </c>
      <c r="J1774" s="6" t="str" cm="1">
        <f t="array" ref="J1774">IFERROR(TRIM(MID(E1774,MIN(FIND({" ";"g";"k";"m";"o"},E1774&amp;" gkmo")),10)),"unknown")</f>
        <v/>
      </c>
      <c r="K1774" s="6" t="str">
        <f t="shared" si="108"/>
        <v>unknown</v>
      </c>
      <c r="L1774" s="6" t="str">
        <f t="shared" si="109"/>
        <v>Unknown</v>
      </c>
      <c r="M1774" s="6" t="str">
        <f t="shared" si="110"/>
        <v>Tostarica Choco Guay</v>
      </c>
      <c r="N1774" s="6" t="str">
        <f t="shared" si="111"/>
        <v>France,Marruecos,Espaà±A</v>
      </c>
    </row>
    <row r="1775" spans="1:14" x14ac:dyDescent="0.25">
      <c r="A1775" s="6" t="s">
        <v>4341</v>
      </c>
      <c r="B1775" s="6">
        <v>9215</v>
      </c>
      <c r="C1775" s="6" t="s">
        <v>4342</v>
      </c>
      <c r="D1775" s="7" t="s">
        <v>2338</v>
      </c>
      <c r="E1775" s="6" t="s">
        <v>580</v>
      </c>
      <c r="F1775" s="6" t="s">
        <v>139</v>
      </c>
      <c r="G1775" s="8">
        <v>45713</v>
      </c>
      <c r="H1775" s="6">
        <v>20.68</v>
      </c>
      <c r="I1775" s="6" cm="1">
        <f t="array" ref="I1775">IFERROR(VALUE(TRIM(LEFT(E1775,MIN(FIND({" ";"g";"k";"m";"o"},E1775&amp;" gkmo"))-1))),0)</f>
        <v>250</v>
      </c>
      <c r="J1775" s="6" t="str" cm="1">
        <f t="array" ref="J1775">IFERROR(TRIM(MID(E1775,MIN(FIND({" ";"g";"k";"m";"o"},E1775&amp;" gkmo")),10)),"unknown")</f>
        <v>g</v>
      </c>
      <c r="K1775" s="6" t="str">
        <f t="shared" si="108"/>
        <v>g</v>
      </c>
      <c r="L1775" s="6" t="str">
        <f t="shared" si="109"/>
        <v>Rivercote</v>
      </c>
      <c r="M1775" s="6" t="str">
        <f t="shared" si="110"/>
        <v>Scottish Seeded Oatcakes</v>
      </c>
      <c r="N1775" s="6" t="str">
        <f t="shared" si="111"/>
        <v>France</v>
      </c>
    </row>
    <row r="1776" spans="1:14" x14ac:dyDescent="0.25">
      <c r="A1776" s="6" t="s">
        <v>4343</v>
      </c>
      <c r="B1776" s="6">
        <v>10205</v>
      </c>
      <c r="C1776" s="6" t="s">
        <v>4344</v>
      </c>
      <c r="D1776" s="7" t="s">
        <v>7017</v>
      </c>
      <c r="E1776" s="6"/>
      <c r="F1776" s="6" t="s">
        <v>8102</v>
      </c>
      <c r="G1776" s="8">
        <v>45547</v>
      </c>
      <c r="H1776" s="6">
        <v>9.6999999999999993</v>
      </c>
      <c r="I1776" s="6" cm="1">
        <f t="array" ref="I1776">IFERROR(VALUE(TRIM(LEFT(E1776,MIN(FIND({" ";"g";"k";"m";"o"},E1776&amp;" gkmo"))-1))),0)</f>
        <v>0</v>
      </c>
      <c r="J1776" s="6" t="str" cm="1">
        <f t="array" ref="J1776">IFERROR(TRIM(MID(E1776,MIN(FIND({" ";"g";"k";"m";"o"},E1776&amp;" gkmo")),10)),"unknown")</f>
        <v/>
      </c>
      <c r="K1776" s="6" t="str">
        <f t="shared" si="108"/>
        <v>unknown</v>
      </c>
      <c r="L1776" s="6" t="str">
        <f t="shared" si="109"/>
        <v>Unknown</v>
      </c>
      <c r="M1776" s="6" t="str">
        <f t="shared" si="110"/>
        <v>Protein Bar Muscle Mass</v>
      </c>
      <c r="N1776" s="6" t="str">
        <f t="shared" si="111"/>
        <v>France,Belgium</v>
      </c>
    </row>
    <row r="1777" spans="1:14" x14ac:dyDescent="0.25">
      <c r="A1777" s="6" t="s">
        <v>4345</v>
      </c>
      <c r="B1777" s="6">
        <v>13167</v>
      </c>
      <c r="C1777" s="6" t="s">
        <v>7285</v>
      </c>
      <c r="D1777" s="7" t="s">
        <v>3339</v>
      </c>
      <c r="E1777" s="6" t="s">
        <v>39</v>
      </c>
      <c r="F1777" s="6" t="s">
        <v>7919</v>
      </c>
      <c r="G1777" s="8">
        <v>45390</v>
      </c>
      <c r="H1777" s="6">
        <v>16.670000000000002</v>
      </c>
      <c r="I1777" s="6" cm="1">
        <f t="array" ref="I1777">IFERROR(VALUE(TRIM(LEFT(E1777,MIN(FIND({" ";"g";"k";"m";"o"},E1777&amp;" gkmo"))-1))),0)</f>
        <v>150</v>
      </c>
      <c r="J1777" s="6" t="str" cm="1">
        <f t="array" ref="J1777">IFERROR(TRIM(MID(E1777,MIN(FIND({" ";"g";"k";"m";"o"},E1777&amp;" gkmo")),10)),"unknown")</f>
        <v>g</v>
      </c>
      <c r="K1777" s="6" t="str">
        <f t="shared" si="108"/>
        <v>g</v>
      </c>
      <c r="L1777" s="6" t="str">
        <f t="shared" si="109"/>
        <v>Snacks Of The World</v>
      </c>
      <c r="M1777" s="6" t="str">
        <f t="shared" si="110"/>
        <v>Noix De Cajou Salées</v>
      </c>
      <c r="N1777" s="6" t="str">
        <f t="shared" si="111"/>
        <v>France, Morocco</v>
      </c>
    </row>
    <row r="1778" spans="1:14" x14ac:dyDescent="0.25">
      <c r="A1778" s="6" t="s">
        <v>4346</v>
      </c>
      <c r="B1778" s="6">
        <v>6306</v>
      </c>
      <c r="C1778" s="6" t="s">
        <v>4347</v>
      </c>
      <c r="D1778" s="7" t="s">
        <v>1572</v>
      </c>
      <c r="E1778" s="6" t="s">
        <v>676</v>
      </c>
      <c r="F1778" s="6" t="s">
        <v>177</v>
      </c>
      <c r="G1778" s="8">
        <v>45340</v>
      </c>
      <c r="H1778" s="6">
        <v>5.69</v>
      </c>
      <c r="I1778" s="6" cm="1">
        <f t="array" ref="I1778">IFERROR(VALUE(TRIM(LEFT(E1778,MIN(FIND({" ";"g";"k";"m";"o"},E1778&amp;" gkmo"))-1))),0)</f>
        <v>180</v>
      </c>
      <c r="J1778" s="6" t="str" cm="1">
        <f t="array" ref="J1778">IFERROR(TRIM(MID(E1778,MIN(FIND({" ";"g";"k";"m";"o"},E1778&amp;" gkmo")),10)),"unknown")</f>
        <v>g</v>
      </c>
      <c r="K1778" s="6" t="str">
        <f t="shared" si="108"/>
        <v>g</v>
      </c>
      <c r="L1778" s="6" t="str">
        <f t="shared" si="109"/>
        <v>Asda</v>
      </c>
      <c r="M1778" s="6" t="str">
        <f t="shared" si="110"/>
        <v>Smart Price Lightly Salted Tortilla Chips</v>
      </c>
      <c r="N1778" s="6" t="str">
        <f t="shared" si="111"/>
        <v>United Kingdom</v>
      </c>
    </row>
    <row r="1779" spans="1:14" x14ac:dyDescent="0.25">
      <c r="A1779" s="6" t="s">
        <v>4348</v>
      </c>
      <c r="B1779" s="6">
        <v>9006</v>
      </c>
      <c r="C1779" s="6" t="s">
        <v>4349</v>
      </c>
      <c r="D1779" s="7" t="s">
        <v>4350</v>
      </c>
      <c r="E1779" s="6"/>
      <c r="F1779" s="6" t="s">
        <v>48</v>
      </c>
      <c r="G1779" s="8">
        <v>45490</v>
      </c>
      <c r="H1779" s="6">
        <v>4.43</v>
      </c>
      <c r="I1779" s="6" cm="1">
        <f t="array" ref="I1779">IFERROR(VALUE(TRIM(LEFT(E1779,MIN(FIND({" ";"g";"k";"m";"o"},E1779&amp;" gkmo"))-1))),0)</f>
        <v>0</v>
      </c>
      <c r="J1779" s="6" t="str" cm="1">
        <f t="array" ref="J1779">IFERROR(TRIM(MID(E1779,MIN(FIND({" ";"g";"k";"m";"o"},E1779&amp;" gkmo")),10)),"unknown")</f>
        <v/>
      </c>
      <c r="K1779" s="6" t="str">
        <f t="shared" si="108"/>
        <v>unknown</v>
      </c>
      <c r="L1779" s="6" t="str">
        <f t="shared" si="109"/>
        <v>Leader Food</v>
      </c>
      <c r="M1779" s="6" t="str">
        <f t="shared" si="110"/>
        <v>Leader Chips Sel</v>
      </c>
      <c r="N1779" s="6" t="str">
        <f t="shared" si="111"/>
        <v>Morocco</v>
      </c>
    </row>
    <row r="1780" spans="1:14" x14ac:dyDescent="0.25">
      <c r="A1780" s="6" t="s">
        <v>4351</v>
      </c>
      <c r="B1780" s="6">
        <v>6548</v>
      </c>
      <c r="C1780" s="6" t="s">
        <v>7286</v>
      </c>
      <c r="D1780" s="7" t="s">
        <v>7017</v>
      </c>
      <c r="E1780" s="6" t="s">
        <v>2607</v>
      </c>
      <c r="F1780" s="6" t="s">
        <v>139</v>
      </c>
      <c r="G1780" s="8">
        <v>45604</v>
      </c>
      <c r="H1780" s="6">
        <v>6.61</v>
      </c>
      <c r="I1780" s="6" cm="1">
        <f t="array" ref="I1780">IFERROR(VALUE(TRIM(LEFT(E1780,MIN(FIND({" ";"g";"k";"m";"o"},E1780&amp;" gkmo"))-1))),0)</f>
        <v>204</v>
      </c>
      <c r="J1780" s="6" t="str" cm="1">
        <f t="array" ref="J1780">IFERROR(TRIM(MID(E1780,MIN(FIND({" ";"g";"k";"m";"o"},E1780&amp;" gkmo")),10)),"unknown")</f>
        <v>g</v>
      </c>
      <c r="K1780" s="6" t="str">
        <f t="shared" si="108"/>
        <v>g</v>
      </c>
      <c r="L1780" s="6" t="str">
        <f t="shared" si="109"/>
        <v>Unknown</v>
      </c>
      <c r="M1780" s="6" t="str">
        <f t="shared" si="110"/>
        <v>Cerealé Noisette</v>
      </c>
      <c r="N1780" s="6" t="str">
        <f t="shared" si="111"/>
        <v>France</v>
      </c>
    </row>
    <row r="1781" spans="1:14" x14ac:dyDescent="0.25">
      <c r="A1781" s="6" t="s">
        <v>4352</v>
      </c>
      <c r="B1781" s="6">
        <v>12350</v>
      </c>
      <c r="C1781" s="6" t="s">
        <v>4353</v>
      </c>
      <c r="D1781" s="7" t="s">
        <v>7598</v>
      </c>
      <c r="E1781" s="6"/>
      <c r="F1781" s="6" t="s">
        <v>7599</v>
      </c>
      <c r="G1781" s="8">
        <v>45650</v>
      </c>
      <c r="H1781" s="6">
        <v>13.91</v>
      </c>
      <c r="I1781" s="6" cm="1">
        <f t="array" ref="I1781">IFERROR(VALUE(TRIM(LEFT(E1781,MIN(FIND({" ";"g";"k";"m";"o"},E1781&amp;" gkmo"))-1))),0)</f>
        <v>0</v>
      </c>
      <c r="J1781" s="6" t="str" cm="1">
        <f t="array" ref="J1781">IFERROR(TRIM(MID(E1781,MIN(FIND({" ";"g";"k";"m";"o"},E1781&amp;" gkmo")),10)),"unknown")</f>
        <v/>
      </c>
      <c r="K1781" s="6" t="str">
        <f t="shared" si="108"/>
        <v>unknown</v>
      </c>
      <c r="L1781" s="6" t="str">
        <f t="shared" si="109"/>
        <v>Florbàº</v>
      </c>
      <c r="M1781" s="6" t="str">
        <f t="shared" si="110"/>
        <v>Cookilate</v>
      </c>
      <c r="N1781" s="6" t="str">
        <f t="shared" si="111"/>
        <v>Marruecos,Espaà±A</v>
      </c>
    </row>
    <row r="1782" spans="1:14" x14ac:dyDescent="0.25">
      <c r="A1782" s="6" t="s">
        <v>4354</v>
      </c>
      <c r="B1782" s="6">
        <v>10106</v>
      </c>
      <c r="C1782" s="6" t="s">
        <v>4355</v>
      </c>
      <c r="D1782" s="7" t="s">
        <v>3654</v>
      </c>
      <c r="E1782" s="6" t="s">
        <v>479</v>
      </c>
      <c r="F1782" s="6" t="s">
        <v>8103</v>
      </c>
      <c r="G1782" s="8">
        <v>45700</v>
      </c>
      <c r="H1782" s="6">
        <v>11.05</v>
      </c>
      <c r="I1782" s="6" cm="1">
        <f t="array" ref="I1782">IFERROR(VALUE(TRIM(LEFT(E1782,MIN(FIND({" ";"g";"k";"m";"o"},E1782&amp;" gkmo"))-1))),0)</f>
        <v>375</v>
      </c>
      <c r="J1782" s="6" t="str" cm="1">
        <f t="array" ref="J1782">IFERROR(TRIM(MID(E1782,MIN(FIND({" ";"g";"k";"m";"o"},E1782&amp;" gkmo")),10)),"unknown")</f>
        <v>g</v>
      </c>
      <c r="K1782" s="6" t="str">
        <f t="shared" si="108"/>
        <v>g</v>
      </c>
      <c r="L1782" s="6" t="str">
        <f t="shared" si="109"/>
        <v>Snacks Of The World</v>
      </c>
      <c r="M1782" s="6" t="str">
        <f t="shared" si="110"/>
        <v>Kingsize Peanuts Salted</v>
      </c>
      <c r="N1782" s="6" t="str">
        <f t="shared" si="111"/>
        <v>Belgium, France, Germany, Poland, Morocco</v>
      </c>
    </row>
    <row r="1783" spans="1:14" x14ac:dyDescent="0.25">
      <c r="A1783" s="6" t="s">
        <v>4356</v>
      </c>
      <c r="B1783" s="6">
        <v>8288</v>
      </c>
      <c r="C1783" s="6" t="s">
        <v>2962</v>
      </c>
      <c r="D1783" s="7" t="s">
        <v>681</v>
      </c>
      <c r="E1783" s="6"/>
      <c r="F1783" s="6" t="s">
        <v>8104</v>
      </c>
      <c r="G1783" s="8">
        <v>45826</v>
      </c>
      <c r="H1783" s="6">
        <v>22.68</v>
      </c>
      <c r="I1783" s="6" cm="1">
        <f t="array" ref="I1783">IFERROR(VALUE(TRIM(LEFT(E1783,MIN(FIND({" ";"g";"k";"m";"o"},E1783&amp;" gkmo"))-1))),0)</f>
        <v>0</v>
      </c>
      <c r="J1783" s="6" t="str" cm="1">
        <f t="array" ref="J1783">IFERROR(TRIM(MID(E1783,MIN(FIND({" ";"g";"k";"m";"o"},E1783&amp;" gkmo")),10)),"unknown")</f>
        <v/>
      </c>
      <c r="K1783" s="6" t="str">
        <f t="shared" si="108"/>
        <v>unknown</v>
      </c>
      <c r="L1783" s="6" t="str">
        <f t="shared" si="109"/>
        <v>Storck</v>
      </c>
      <c r="M1783" s="6" t="str">
        <f t="shared" si="110"/>
        <v>Knoppers</v>
      </c>
      <c r="N1783" s="6" t="str">
        <f t="shared" si="111"/>
        <v>Romania, Morocco</v>
      </c>
    </row>
    <row r="1784" spans="1:14" x14ac:dyDescent="0.25">
      <c r="A1784" s="6" t="s">
        <v>4357</v>
      </c>
      <c r="B1784" s="6">
        <v>6240</v>
      </c>
      <c r="C1784" s="6" t="s">
        <v>4358</v>
      </c>
      <c r="D1784" s="7" t="s">
        <v>4359</v>
      </c>
      <c r="E1784" s="6" t="s">
        <v>423</v>
      </c>
      <c r="F1784" s="6" t="s">
        <v>8280</v>
      </c>
      <c r="G1784" s="8">
        <v>45768</v>
      </c>
      <c r="H1784" s="6">
        <v>13.16</v>
      </c>
      <c r="I1784" s="6" cm="1">
        <f t="array" ref="I1784">IFERROR(VALUE(TRIM(LEFT(E1784,MIN(FIND({" ";"g";"k";"m";"o"},E1784&amp;" gkmo"))-1))),0)</f>
        <v>125</v>
      </c>
      <c r="J1784" s="6" t="str" cm="1">
        <f t="array" ref="J1784">IFERROR(TRIM(MID(E1784,MIN(FIND({" ";"g";"k";"m";"o"},E1784&amp;" gkmo")),10)),"unknown")</f>
        <v>g</v>
      </c>
      <c r="K1784" s="6" t="str">
        <f t="shared" si="108"/>
        <v>g</v>
      </c>
      <c r="L1784" s="6" t="str">
        <f t="shared" si="109"/>
        <v>Carrefour, Interdis</v>
      </c>
      <c r="M1784" s="6" t="str">
        <f t="shared" si="110"/>
        <v>Palets Bretons</v>
      </c>
      <c r="N1784" s="6" t="str">
        <f t="shared" si="111"/>
        <v>France,Italie,Spain</v>
      </c>
    </row>
    <row r="1785" spans="1:14" x14ac:dyDescent="0.25">
      <c r="A1785" s="6" t="s">
        <v>4360</v>
      </c>
      <c r="B1785" s="6">
        <v>11263</v>
      </c>
      <c r="C1785" s="6" t="s">
        <v>4361</v>
      </c>
      <c r="D1785" s="7" t="s">
        <v>1699</v>
      </c>
      <c r="E1785" s="6" t="s">
        <v>185</v>
      </c>
      <c r="F1785" s="6" t="s">
        <v>139</v>
      </c>
      <c r="G1785" s="8">
        <v>45808</v>
      </c>
      <c r="H1785" s="6">
        <v>7.82</v>
      </c>
      <c r="I1785" s="6" cm="1">
        <f t="array" ref="I1785">IFERROR(VALUE(TRIM(LEFT(E1785,MIN(FIND({" ";"g";"k";"m";"o"},E1785&amp;" gkmo"))-1))),0)</f>
        <v>270</v>
      </c>
      <c r="J1785" s="6" t="str" cm="1">
        <f t="array" ref="J1785">IFERROR(TRIM(MID(E1785,MIN(FIND({" ";"g";"k";"m";"o"},E1785&amp;" gkmo")),10)),"unknown")</f>
        <v>g</v>
      </c>
      <c r="K1785" s="6" t="str">
        <f t="shared" si="108"/>
        <v>g</v>
      </c>
      <c r="L1785" s="6" t="str">
        <f t="shared" si="109"/>
        <v>Brioche Pasquier</v>
      </c>
      <c r="M1785" s="6" t="str">
        <f t="shared" si="110"/>
        <v>Beignet Chocolat Noisette X 6</v>
      </c>
      <c r="N1785" s="6" t="str">
        <f t="shared" si="111"/>
        <v>France</v>
      </c>
    </row>
    <row r="1786" spans="1:14" x14ac:dyDescent="0.25">
      <c r="A1786" s="6" t="s">
        <v>4362</v>
      </c>
      <c r="B1786" s="6">
        <v>10668</v>
      </c>
      <c r="C1786" s="6" t="s">
        <v>4363</v>
      </c>
      <c r="D1786" s="7" t="s">
        <v>4364</v>
      </c>
      <c r="E1786" s="6" t="s">
        <v>39</v>
      </c>
      <c r="F1786" s="6" t="s">
        <v>7942</v>
      </c>
      <c r="G1786" s="8">
        <v>45373</v>
      </c>
      <c r="H1786" s="6">
        <v>20.47</v>
      </c>
      <c r="I1786" s="6" cm="1">
        <f t="array" ref="I1786">IFERROR(VALUE(TRIM(LEFT(E1786,MIN(FIND({" ";"g";"k";"m";"o"},E1786&amp;" gkmo"))-1))),0)</f>
        <v>150</v>
      </c>
      <c r="J1786" s="6" t="str" cm="1">
        <f t="array" ref="J1786">IFERROR(TRIM(MID(E1786,MIN(FIND({" ";"g";"k";"m";"o"},E1786&amp;" gkmo")),10)),"unknown")</f>
        <v>g</v>
      </c>
      <c r="K1786" s="6" t="str">
        <f t="shared" si="108"/>
        <v>g</v>
      </c>
      <c r="L1786" s="6" t="str">
        <f t="shared" si="109"/>
        <v>Border</v>
      </c>
      <c r="M1786" s="6" t="str">
        <f t="shared" si="110"/>
        <v>Dark Chocolate Gingers</v>
      </c>
      <c r="N1786" s="6" t="str">
        <f t="shared" si="111"/>
        <v>United Kingdom,United-Kingdom</v>
      </c>
    </row>
    <row r="1787" spans="1:14" x14ac:dyDescent="0.25">
      <c r="A1787" s="6" t="s">
        <v>4365</v>
      </c>
      <c r="B1787" s="6">
        <v>5838</v>
      </c>
      <c r="C1787" s="6" t="s">
        <v>4366</v>
      </c>
      <c r="D1787" s="7" t="s">
        <v>1572</v>
      </c>
      <c r="E1787" s="6" t="s">
        <v>580</v>
      </c>
      <c r="F1787" s="6" t="s">
        <v>177</v>
      </c>
      <c r="G1787" s="8">
        <v>45965</v>
      </c>
      <c r="H1787" s="6">
        <v>1.9</v>
      </c>
      <c r="I1787" s="6" cm="1">
        <f t="array" ref="I1787">IFERROR(VALUE(TRIM(LEFT(E1787,MIN(FIND({" ";"g";"k";"m";"o"},E1787&amp;" gkmo"))-1))),0)</f>
        <v>250</v>
      </c>
      <c r="J1787" s="6" t="str" cm="1">
        <f t="array" ref="J1787">IFERROR(TRIM(MID(E1787,MIN(FIND({" ";"g";"k";"m";"o"},E1787&amp;" gkmo")),10)),"unknown")</f>
        <v>g</v>
      </c>
      <c r="K1787" s="6" t="str">
        <f t="shared" si="108"/>
        <v>g</v>
      </c>
      <c r="L1787" s="6" t="str">
        <f t="shared" si="109"/>
        <v>Asda</v>
      </c>
      <c r="M1787" s="6" t="str">
        <f t="shared" si="110"/>
        <v>Oatcakes</v>
      </c>
      <c r="N1787" s="6" t="str">
        <f t="shared" si="111"/>
        <v>United Kingdom</v>
      </c>
    </row>
    <row r="1788" spans="1:14" x14ac:dyDescent="0.25">
      <c r="A1788" s="6" t="s">
        <v>4367</v>
      </c>
      <c r="B1788" s="6">
        <v>11391</v>
      </c>
      <c r="C1788" s="6" t="s">
        <v>4368</v>
      </c>
      <c r="D1788" s="7" t="s">
        <v>7772</v>
      </c>
      <c r="E1788" s="6"/>
      <c r="F1788" s="6" t="s">
        <v>139</v>
      </c>
      <c r="G1788" s="8">
        <v>45751</v>
      </c>
      <c r="H1788" s="6">
        <v>5.94</v>
      </c>
      <c r="I1788" s="6" cm="1">
        <f t="array" ref="I1788">IFERROR(VALUE(TRIM(LEFT(E1788,MIN(FIND({" ";"g";"k";"m";"o"},E1788&amp;" gkmo"))-1))),0)</f>
        <v>0</v>
      </c>
      <c r="J1788" s="6" t="str" cm="1">
        <f t="array" ref="J1788">IFERROR(TRIM(MID(E1788,MIN(FIND({" ";"g";"k";"m";"o"},E1788&amp;" gkmo")),10)),"unknown")</f>
        <v/>
      </c>
      <c r="K1788" s="6" t="str">
        <f t="shared" si="108"/>
        <v>unknown</v>
      </c>
      <c r="L1788" s="6" t="str">
        <f t="shared" si="109"/>
        <v>Lindt, Lindt &amp; Sprà¼Ngli</v>
      </c>
      <c r="M1788" s="6" t="str">
        <f t="shared" si="110"/>
        <v>Lindor Noir 70%</v>
      </c>
      <c r="N1788" s="6" t="str">
        <f t="shared" si="111"/>
        <v>France</v>
      </c>
    </row>
    <row r="1789" spans="1:14" x14ac:dyDescent="0.25">
      <c r="A1789" s="6" t="s">
        <v>4369</v>
      </c>
      <c r="B1789" s="6">
        <v>10854</v>
      </c>
      <c r="C1789" s="6" t="s">
        <v>4370</v>
      </c>
      <c r="D1789" s="7" t="s">
        <v>248</v>
      </c>
      <c r="E1789" s="6"/>
      <c r="F1789" s="6" t="s">
        <v>2973</v>
      </c>
      <c r="G1789" s="8">
        <v>45518</v>
      </c>
      <c r="H1789" s="6">
        <v>8.57</v>
      </c>
      <c r="I1789" s="6" cm="1">
        <f t="array" ref="I1789">IFERROR(VALUE(TRIM(LEFT(E1789,MIN(FIND({" ";"g";"k";"m";"o"},E1789&amp;" gkmo"))-1))),0)</f>
        <v>0</v>
      </c>
      <c r="J1789" s="6" t="str" cm="1">
        <f t="array" ref="J1789">IFERROR(TRIM(MID(E1789,MIN(FIND({" ";"g";"k";"m";"o"},E1789&amp;" gkmo")),10)),"unknown")</f>
        <v/>
      </c>
      <c r="K1789" s="6" t="str">
        <f t="shared" si="108"/>
        <v>unknown</v>
      </c>
      <c r="L1789" s="6" t="str">
        <f t="shared" si="109"/>
        <v>Tesco</v>
      </c>
      <c r="M1789" s="6" t="str">
        <f t="shared" si="110"/>
        <v>Crinkle Cut Sea Salt &amp; Chardonnay Vinegar Hand Cooked Crisps</v>
      </c>
      <c r="N1789" s="6" t="str">
        <f t="shared" si="111"/>
        <v>Gb</v>
      </c>
    </row>
    <row r="1790" spans="1:14" x14ac:dyDescent="0.25">
      <c r="A1790" s="6" t="s">
        <v>4371</v>
      </c>
      <c r="B1790" s="6">
        <v>5892</v>
      </c>
      <c r="C1790" s="6" t="s">
        <v>3029</v>
      </c>
      <c r="D1790" s="7" t="s">
        <v>652</v>
      </c>
      <c r="E1790" s="6" t="s">
        <v>1080</v>
      </c>
      <c r="F1790" s="6" t="s">
        <v>139</v>
      </c>
      <c r="G1790" s="8">
        <v>46021</v>
      </c>
      <c r="H1790" s="6">
        <v>13.16</v>
      </c>
      <c r="I1790" s="6" cm="1">
        <f t="array" ref="I1790">IFERROR(VALUE(TRIM(LEFT(E1790,MIN(FIND({" ";"g";"k";"m";"o"},E1790&amp;" gkmo"))-1))),0)</f>
        <v>210</v>
      </c>
      <c r="J1790" s="6" t="str" cm="1">
        <f t="array" ref="J1790">IFERROR(TRIM(MID(E1790,MIN(FIND({" ";"g";"k";"m";"o"},E1790&amp;" gkmo")),10)),"unknown")</f>
        <v>g</v>
      </c>
      <c r="K1790" s="6" t="str">
        <f t="shared" si="108"/>
        <v>g</v>
      </c>
      <c r="L1790" s="6" t="str">
        <f t="shared" si="109"/>
        <v>Brossard</v>
      </c>
      <c r="M1790" s="6" t="str">
        <f t="shared" si="110"/>
        <v>Savane Tout Choco</v>
      </c>
      <c r="N1790" s="6" t="str">
        <f t="shared" si="111"/>
        <v>France</v>
      </c>
    </row>
    <row r="1791" spans="1:14" x14ac:dyDescent="0.25">
      <c r="A1791" s="6" t="s">
        <v>4372</v>
      </c>
      <c r="B1791" s="6">
        <v>13867</v>
      </c>
      <c r="C1791" s="6" t="s">
        <v>4373</v>
      </c>
      <c r="D1791" s="7" t="s">
        <v>60</v>
      </c>
      <c r="E1791" s="6" t="s">
        <v>10</v>
      </c>
      <c r="F1791" s="6" t="s">
        <v>4374</v>
      </c>
      <c r="G1791" s="8">
        <v>45561</v>
      </c>
      <c r="H1791" s="6">
        <v>18.7</v>
      </c>
      <c r="I1791" s="6" cm="1">
        <f t="array" ref="I1791">IFERROR(VALUE(TRIM(LEFT(E1791,MIN(FIND({" ";"g";"k";"m";"o"},E1791&amp;" gkmo"))-1))),0)</f>
        <v>100</v>
      </c>
      <c r="J1791" s="6" t="str" cm="1">
        <f t="array" ref="J1791">IFERROR(TRIM(MID(E1791,MIN(FIND({" ";"g";"k";"m";"o"},E1791&amp;" gkmo")),10)),"unknown")</f>
        <v>g</v>
      </c>
      <c r="K1791" s="6" t="str">
        <f t="shared" si="108"/>
        <v>g</v>
      </c>
      <c r="L1791" s="6" t="str">
        <f t="shared" si="109"/>
        <v>Lindt</v>
      </c>
      <c r="M1791" s="6" t="str">
        <f t="shared" si="110"/>
        <v>Noir Extra Fondant</v>
      </c>
      <c r="N1791" s="6" t="str">
        <f t="shared" si="111"/>
        <v>France,Taiwan</v>
      </c>
    </row>
    <row r="1792" spans="1:14" x14ac:dyDescent="0.25">
      <c r="A1792" s="6" t="s">
        <v>4375</v>
      </c>
      <c r="B1792" s="6">
        <v>5155</v>
      </c>
      <c r="C1792" s="6" t="s">
        <v>7017</v>
      </c>
      <c r="D1792" s="7" t="s">
        <v>60</v>
      </c>
      <c r="E1792" s="6" t="s">
        <v>10</v>
      </c>
      <c r="F1792" s="6" t="s">
        <v>400</v>
      </c>
      <c r="G1792" s="8">
        <v>45684</v>
      </c>
      <c r="H1792" s="6">
        <v>13.16</v>
      </c>
      <c r="I1792" s="6" cm="1">
        <f t="array" ref="I1792">IFERROR(VALUE(TRIM(LEFT(E1792,MIN(FIND({" ";"g";"k";"m";"o"},E1792&amp;" gkmo"))-1))),0)</f>
        <v>100</v>
      </c>
      <c r="J1792" s="6" t="str" cm="1">
        <f t="array" ref="J1792">IFERROR(TRIM(MID(E1792,MIN(FIND({" ";"g";"k";"m";"o"},E1792&amp;" gkmo")),10)),"unknown")</f>
        <v>g</v>
      </c>
      <c r="K1792" s="6" t="str">
        <f t="shared" si="108"/>
        <v>g</v>
      </c>
      <c r="L1792" s="6" t="str">
        <f t="shared" si="109"/>
        <v>Lindt</v>
      </c>
      <c r="M1792" s="6" t="str">
        <f t="shared" si="110"/>
        <v>Unknown</v>
      </c>
      <c r="N1792" s="6" t="str">
        <f t="shared" si="111"/>
        <v>France,United Kingdom</v>
      </c>
    </row>
    <row r="1793" spans="1:14" x14ac:dyDescent="0.25">
      <c r="A1793" s="6" t="s">
        <v>4376</v>
      </c>
      <c r="B1793" s="6">
        <v>7725</v>
      </c>
      <c r="C1793" s="6" t="s">
        <v>4377</v>
      </c>
      <c r="D1793" s="7" t="s">
        <v>204</v>
      </c>
      <c r="E1793" s="6" t="s">
        <v>4378</v>
      </c>
      <c r="F1793" s="6" t="s">
        <v>2973</v>
      </c>
      <c r="G1793" s="8">
        <v>45558</v>
      </c>
      <c r="H1793" s="6">
        <v>10.1</v>
      </c>
      <c r="I1793" s="6" cm="1">
        <f t="array" ref="I1793">IFERROR(VALUE(TRIM(LEFT(E1793,MIN(FIND({" ";"g";"k";"m";"o"},E1793&amp;" gkmo"))-1))),0)</f>
        <v>174</v>
      </c>
      <c r="J1793" s="6" t="str" cm="1">
        <f t="array" ref="J1793">IFERROR(TRIM(MID(E1793,MIN(FIND({" ";"g";"k";"m";"o"},E1793&amp;" gkmo")),10)),"unknown")</f>
        <v>g</v>
      </c>
      <c r="K1793" s="6" t="str">
        <f t="shared" si="108"/>
        <v>g</v>
      </c>
      <c r="L1793" s="6" t="str">
        <f t="shared" si="109"/>
        <v>Mcvitie'S</v>
      </c>
      <c r="M1793" s="6" t="str">
        <f t="shared" si="110"/>
        <v>Crispy Biscuit Slices</v>
      </c>
      <c r="N1793" s="6" t="str">
        <f t="shared" si="111"/>
        <v>Gb</v>
      </c>
    </row>
    <row r="1794" spans="1:14" x14ac:dyDescent="0.25">
      <c r="A1794" s="6" t="s">
        <v>4379</v>
      </c>
      <c r="B1794" s="6">
        <v>11356</v>
      </c>
      <c r="C1794" s="6" t="s">
        <v>7499</v>
      </c>
      <c r="D1794" s="7" t="s">
        <v>1213</v>
      </c>
      <c r="E1794" s="6"/>
      <c r="F1794" s="6" t="s">
        <v>4380</v>
      </c>
      <c r="G1794" s="8">
        <v>45828</v>
      </c>
      <c r="H1794" s="6">
        <v>18.8</v>
      </c>
      <c r="I1794" s="6" cm="1">
        <f t="array" ref="I1794">IFERROR(VALUE(TRIM(LEFT(E1794,MIN(FIND({" ";"g";"k";"m";"o"},E1794&amp;" gkmo"))-1))),0)</f>
        <v>0</v>
      </c>
      <c r="J1794" s="6" t="str" cm="1">
        <f t="array" ref="J1794">IFERROR(TRIM(MID(E1794,MIN(FIND({" ";"g";"k";"m";"o"},E1794&amp;" gkmo")),10)),"unknown")</f>
        <v/>
      </c>
      <c r="K1794" s="6" t="str">
        <f t="shared" ref="K1794:K1857" si="112">IF(E1794="","unknown",IF(OR(J1794="g",LEFT(J1794,1)="g"),"g",IF(OR(LEFT(J1794,2)="kg",LEFT(J1794,2)="ki"),"kg",IF(OR(LEFT(J1794,2)="ml",LEFT(J1794,1)="m"),"ml",IF(LEFT(J1794,1)="l","l",IF(ISNUMBER(SEARCH("g",E1794)),"g",IF(ISNUMBER(SEARCH("kg",E1794)),"kg",IF(ISNUMBER(SEARCH("ml",E1794)),"ml","unknown"))))))))</f>
        <v>unknown</v>
      </c>
      <c r="L1794" s="6" t="str">
        <f t="shared" ref="L1794:L1857" si="113">IF(D1794="","Unknown",PROPER(TRIM(D1794)))</f>
        <v>Tower Gate</v>
      </c>
      <c r="M1794" s="6" t="str">
        <f t="shared" ref="M1794:M1857" si="114">IF(C1794="Unknown","Unknown",PROPER(TRIM(C1794)))</f>
        <v>Cocoa Sandwich Biscuits With Vanilla Flavoured Crème Filling</v>
      </c>
      <c r="N1794" s="6" t="str">
        <f t="shared" si="111"/>
        <v>Ð§Ðµñ…Ð¸Ñ,Ð¤Ñ€Ð°Ð½Ñ†Ð¸Ñ,Ð“Ðµñ€Ð¼Ð°Ð½Ð¸Ñ,Ð˜Ñ‚Ð°Ð»Ð¸Ñ,Ðžð±Ðµð´Ð¸Ð½Ðµð½Ð¾ Ðºñ€Ð°Ð»ÑÑ‚Ð²Ð¾ Ð’Ðµð»Ð¸Ðºð¾Ð±Ñ€Ð¸Ñ‚Ð°Ð½Ð¸Ñ Ð¸ Ð¡Ðµð²Ðµñ€Ð½Ð° Ð˜Ñ€Ð»Ð°Ð½Ð´Ð¸Ñ,Ð‘Ñšð»Ð³Ð°Ñ€Ð¸Ñ</v>
      </c>
    </row>
    <row r="1795" spans="1:14" x14ac:dyDescent="0.25">
      <c r="A1795" s="6" t="s">
        <v>4381</v>
      </c>
      <c r="B1795" s="6">
        <v>5517</v>
      </c>
      <c r="C1795" s="6" t="s">
        <v>7017</v>
      </c>
      <c r="D1795" s="7" t="s">
        <v>47</v>
      </c>
      <c r="E1795" s="6"/>
      <c r="F1795" s="6" t="s">
        <v>48</v>
      </c>
      <c r="G1795" s="8">
        <v>45745</v>
      </c>
      <c r="H1795" s="6">
        <v>13.16</v>
      </c>
      <c r="I1795" s="6" cm="1">
        <f t="array" ref="I1795">IFERROR(VALUE(TRIM(LEFT(E1795,MIN(FIND({" ";"g";"k";"m";"o"},E1795&amp;" gkmo"))-1))),0)</f>
        <v>0</v>
      </c>
      <c r="J1795" s="6" t="str" cm="1">
        <f t="array" ref="J1795">IFERROR(TRIM(MID(E1795,MIN(FIND({" ";"g";"k";"m";"o"},E1795&amp;" gkmo")),10)),"unknown")</f>
        <v/>
      </c>
      <c r="K1795" s="6" t="str">
        <f t="shared" si="112"/>
        <v>unknown</v>
      </c>
      <c r="L1795" s="6" t="str">
        <f t="shared" si="113"/>
        <v>Excelo</v>
      </c>
      <c r="M1795" s="6" t="str">
        <f t="shared" si="114"/>
        <v>Unknown</v>
      </c>
      <c r="N1795" s="6" t="str">
        <f t="shared" ref="N1795:N1858" si="115">IF(F1795="","Unknown",PROPER(TRIM(F1795)))</f>
        <v>Morocco</v>
      </c>
    </row>
    <row r="1796" spans="1:14" x14ac:dyDescent="0.25">
      <c r="A1796" s="6" t="s">
        <v>4382</v>
      </c>
      <c r="B1796" s="6">
        <v>11555</v>
      </c>
      <c r="C1796" s="6" t="s">
        <v>4383</v>
      </c>
      <c r="D1796" s="7" t="s">
        <v>7692</v>
      </c>
      <c r="E1796" s="6" t="s">
        <v>151</v>
      </c>
      <c r="F1796" s="6" t="s">
        <v>139</v>
      </c>
      <c r="G1796" s="8">
        <v>45374</v>
      </c>
      <c r="H1796" s="6">
        <v>16.77</v>
      </c>
      <c r="I1796" s="6" cm="1">
        <f t="array" ref="I1796">IFERROR(VALUE(TRIM(LEFT(E1796,MIN(FIND({" ";"g";"k";"m";"o"},E1796&amp;" gkmo"))-1))),0)</f>
        <v>200</v>
      </c>
      <c r="J1796" s="6" t="str" cm="1">
        <f t="array" ref="J1796">IFERROR(TRIM(MID(E1796,MIN(FIND({" ";"g";"k";"m";"o"},E1796&amp;" gkmo")),10)),"unknown")</f>
        <v>g</v>
      </c>
      <c r="K1796" s="6" t="str">
        <f t="shared" si="112"/>
        <v>g</v>
      </c>
      <c r="L1796" s="6" t="str">
        <f t="shared" si="113"/>
        <v>Schà¤R</v>
      </c>
      <c r="M1796" s="6" t="str">
        <f t="shared" si="114"/>
        <v>Savoiardi</v>
      </c>
      <c r="N1796" s="6" t="str">
        <f t="shared" si="115"/>
        <v>France</v>
      </c>
    </row>
    <row r="1797" spans="1:14" x14ac:dyDescent="0.25">
      <c r="A1797" s="6" t="s">
        <v>4384</v>
      </c>
      <c r="B1797" s="6">
        <v>5903</v>
      </c>
      <c r="C1797" s="6" t="s">
        <v>4385</v>
      </c>
      <c r="D1797" s="7" t="s">
        <v>1176</v>
      </c>
      <c r="E1797" s="6" t="s">
        <v>352</v>
      </c>
      <c r="F1797" s="6" t="s">
        <v>7730</v>
      </c>
      <c r="G1797" s="8">
        <v>45946</v>
      </c>
      <c r="H1797" s="6">
        <v>24.99</v>
      </c>
      <c r="I1797" s="6" cm="1">
        <f t="array" ref="I1797">IFERROR(VALUE(TRIM(LEFT(E1797,MIN(FIND({" ";"g";"k";"m";"o"},E1797&amp;" gkmo"))-1))),0)</f>
        <v>170</v>
      </c>
      <c r="J1797" s="6" t="str" cm="1">
        <f t="array" ref="J1797">IFERROR(TRIM(MID(E1797,MIN(FIND({" ";"g";"k";"m";"o"},E1797&amp;" gkmo")),10)),"unknown")</f>
        <v>g</v>
      </c>
      <c r="K1797" s="6" t="str">
        <f t="shared" si="112"/>
        <v>g</v>
      </c>
      <c r="L1797" s="6" t="str">
        <f t="shared" si="113"/>
        <v>Snack Day</v>
      </c>
      <c r="M1797" s="6" t="str">
        <f t="shared" si="114"/>
        <v>Original Stapelchips</v>
      </c>
      <c r="N1797" s="6" t="str">
        <f t="shared" si="115"/>
        <v>Franà§A,Espanha</v>
      </c>
    </row>
    <row r="1798" spans="1:14" x14ac:dyDescent="0.25">
      <c r="A1798" s="6" t="s">
        <v>4386</v>
      </c>
      <c r="B1798" s="6">
        <v>8611</v>
      </c>
      <c r="C1798" s="6" t="s">
        <v>7744</v>
      </c>
      <c r="D1798" s="7" t="s">
        <v>150</v>
      </c>
      <c r="E1798" s="6" t="s">
        <v>64</v>
      </c>
      <c r="F1798" s="6" t="s">
        <v>139</v>
      </c>
      <c r="G1798" s="8">
        <v>45617</v>
      </c>
      <c r="H1798" s="6">
        <v>5.14</v>
      </c>
      <c r="I1798" s="6" cm="1">
        <f t="array" ref="I1798">IFERROR(VALUE(TRIM(LEFT(E1798,MIN(FIND({" ";"g";"k";"m";"o"},E1798&amp;" gkmo"))-1))),0)</f>
        <v>150</v>
      </c>
      <c r="J1798" s="6" t="str" cm="1">
        <f t="array" ref="J1798">IFERROR(TRIM(MID(E1798,MIN(FIND({" ";"g";"k";"m";"o"},E1798&amp;" gkmo")),10)),"unknown")</f>
        <v>g</v>
      </c>
      <c r="K1798" s="6" t="str">
        <f t="shared" si="112"/>
        <v>g</v>
      </c>
      <c r="L1798" s="6" t="str">
        <f t="shared" si="113"/>
        <v>Alesto</v>
      </c>
      <c r="M1798" s="6" t="str">
        <f t="shared" si="114"/>
        <v>Cacahuètes Grillées À  Sec</v>
      </c>
      <c r="N1798" s="6" t="str">
        <f t="shared" si="115"/>
        <v>France</v>
      </c>
    </row>
    <row r="1799" spans="1:14" x14ac:dyDescent="0.25">
      <c r="A1799" s="6" t="s">
        <v>4387</v>
      </c>
      <c r="B1799" s="6">
        <v>5263</v>
      </c>
      <c r="C1799" s="6" t="s">
        <v>7287</v>
      </c>
      <c r="D1799" s="7" t="s">
        <v>7017</v>
      </c>
      <c r="E1799" s="6" t="s">
        <v>4388</v>
      </c>
      <c r="F1799" s="6" t="s">
        <v>139</v>
      </c>
      <c r="G1799" s="8">
        <v>45809</v>
      </c>
      <c r="H1799" s="6">
        <v>16.07</v>
      </c>
      <c r="I1799" s="6" cm="1">
        <f t="array" ref="I1799">IFERROR(VALUE(TRIM(LEFT(E1799,MIN(FIND({" ";"g";"k";"m";"o"},E1799&amp;" gkmo"))-1))),0)</f>
        <v>208</v>
      </c>
      <c r="J1799" s="6" t="str" cm="1">
        <f t="array" ref="J1799">IFERROR(TRIM(MID(E1799,MIN(FIND({" ";"g";"k";"m";"o"},E1799&amp;" gkmo")),10)),"unknown")</f>
        <v>g (10x20,</v>
      </c>
      <c r="K1799" s="6" t="str">
        <f t="shared" si="112"/>
        <v>g</v>
      </c>
      <c r="L1799" s="6" t="str">
        <f t="shared" si="113"/>
        <v>Unknown</v>
      </c>
      <c r="M1799" s="6" t="str">
        <f t="shared" si="114"/>
        <v>Grany Chocolat 5 Céréales</v>
      </c>
      <c r="N1799" s="6" t="str">
        <f t="shared" si="115"/>
        <v>France</v>
      </c>
    </row>
    <row r="1800" spans="1:14" x14ac:dyDescent="0.25">
      <c r="A1800" s="6" t="s">
        <v>4389</v>
      </c>
      <c r="B1800" s="6">
        <v>11642</v>
      </c>
      <c r="C1800" s="6" t="s">
        <v>4390</v>
      </c>
      <c r="D1800" s="7" t="s">
        <v>1328</v>
      </c>
      <c r="E1800" s="6" t="s">
        <v>151</v>
      </c>
      <c r="F1800" s="6" t="s">
        <v>139</v>
      </c>
      <c r="G1800" s="8">
        <v>45749</v>
      </c>
      <c r="H1800" s="6">
        <v>1.1299999999999999</v>
      </c>
      <c r="I1800" s="6" cm="1">
        <f t="array" ref="I1800">IFERROR(VALUE(TRIM(LEFT(E1800,MIN(FIND({" ";"g";"k";"m";"o"},E1800&amp;" gkmo"))-1))),0)</f>
        <v>200</v>
      </c>
      <c r="J1800" s="6" t="str" cm="1">
        <f t="array" ref="J1800">IFERROR(TRIM(MID(E1800,MIN(FIND({" ";"g";"k";"m";"o"},E1800&amp;" gkmo")),10)),"unknown")</f>
        <v>g</v>
      </c>
      <c r="K1800" s="6" t="str">
        <f t="shared" si="112"/>
        <v>g</v>
      </c>
      <c r="L1800" s="6" t="str">
        <f t="shared" si="113"/>
        <v>Dr. Oetker</v>
      </c>
      <c r="M1800" s="6" t="str">
        <f t="shared" si="114"/>
        <v>Sticks D'Alsace 200G</v>
      </c>
      <c r="N1800" s="6" t="str">
        <f t="shared" si="115"/>
        <v>France</v>
      </c>
    </row>
    <row r="1801" spans="1:14" x14ac:dyDescent="0.25">
      <c r="A1801" s="6" t="s">
        <v>4391</v>
      </c>
      <c r="B1801" s="6">
        <v>10123</v>
      </c>
      <c r="C1801" s="6" t="s">
        <v>7288</v>
      </c>
      <c r="D1801" s="7" t="s">
        <v>3547</v>
      </c>
      <c r="E1801" s="6" t="s">
        <v>4392</v>
      </c>
      <c r="F1801" s="6" t="s">
        <v>557</v>
      </c>
      <c r="G1801" s="8">
        <v>45746</v>
      </c>
      <c r="H1801" s="6">
        <v>20.49</v>
      </c>
      <c r="I1801" s="6" cm="1">
        <f t="array" ref="I1801">IFERROR(VALUE(TRIM(LEFT(E1801,MIN(FIND({" ";"g";"k";"m";"o"},E1801&amp;" gkmo"))-1))),0)</f>
        <v>21.5</v>
      </c>
      <c r="J1801" s="6" t="str" cm="1">
        <f t="array" ref="J1801">IFERROR(TRIM(MID(E1801,MIN(FIND({" ";"g";"k";"m";"o"},E1801&amp;" gkmo")),10)),"unknown")</f>
        <v>gram</v>
      </c>
      <c r="K1801" s="6" t="str">
        <f t="shared" si="112"/>
        <v>g</v>
      </c>
      <c r="L1801" s="6" t="str">
        <f t="shared" si="113"/>
        <v>Kellogg'S</v>
      </c>
      <c r="M1801" s="6" t="str">
        <f t="shared" si="114"/>
        <v>Special K - Céréales Chocolat Noir</v>
      </c>
      <c r="N1801" s="6" t="str">
        <f t="shared" si="115"/>
        <v>Belgium,France,Switzerland</v>
      </c>
    </row>
    <row r="1802" spans="1:14" x14ac:dyDescent="0.25">
      <c r="A1802" s="6" t="s">
        <v>4393</v>
      </c>
      <c r="B1802" s="6">
        <v>5509</v>
      </c>
      <c r="C1802" s="6" t="s">
        <v>4394</v>
      </c>
      <c r="D1802" s="7" t="s">
        <v>7030</v>
      </c>
      <c r="E1802" s="6"/>
      <c r="F1802" s="6" t="s">
        <v>1181</v>
      </c>
      <c r="G1802" s="8">
        <v>45994</v>
      </c>
      <c r="H1802" s="6">
        <v>22.38</v>
      </c>
      <c r="I1802" s="6" cm="1">
        <f t="array" ref="I1802">IFERROR(VALUE(TRIM(LEFT(E1802,MIN(FIND({" ";"g";"k";"m";"o"},E1802&amp;" gkmo"))-1))),0)</f>
        <v>0</v>
      </c>
      <c r="J1802" s="6" t="str" cm="1">
        <f t="array" ref="J1802">IFERROR(TRIM(MID(E1802,MIN(FIND({" ";"g";"k";"m";"o"},E1802&amp;" gkmo")),10)),"unknown")</f>
        <v/>
      </c>
      <c r="K1802" s="6" t="str">
        <f t="shared" si="112"/>
        <v>unknown</v>
      </c>
      <c r="L1802" s="6" t="str">
        <f t="shared" si="113"/>
        <v>Gerblé</v>
      </c>
      <c r="M1802" s="6" t="str">
        <f t="shared" si="114"/>
        <v>Biscuits Son D'Avoine</v>
      </c>
      <c r="N1802" s="6" t="str">
        <f t="shared" si="115"/>
        <v>France,Switzerland</v>
      </c>
    </row>
    <row r="1803" spans="1:14" x14ac:dyDescent="0.25">
      <c r="A1803" s="6" t="s">
        <v>4395</v>
      </c>
      <c r="B1803" s="6">
        <v>5428</v>
      </c>
      <c r="C1803" s="6" t="s">
        <v>4396</v>
      </c>
      <c r="D1803" s="7" t="s">
        <v>7030</v>
      </c>
      <c r="E1803" s="6" t="s">
        <v>982</v>
      </c>
      <c r="F1803" s="6" t="s">
        <v>139</v>
      </c>
      <c r="G1803" s="8">
        <v>45905</v>
      </c>
      <c r="H1803" s="6">
        <v>17.100000000000001</v>
      </c>
      <c r="I1803" s="6" cm="1">
        <f t="array" ref="I1803">IFERROR(VALUE(TRIM(LEFT(E1803,MIN(FIND({" ";"g";"k";"m";"o"},E1803&amp;" gkmo"))-1))),0)</f>
        <v>126</v>
      </c>
      <c r="J1803" s="6" t="str" cm="1">
        <f t="array" ref="J1803">IFERROR(TRIM(MID(E1803,MIN(FIND({" ";"g";"k";"m";"o"},E1803&amp;" gkmo")),10)),"unknown")</f>
        <v>g</v>
      </c>
      <c r="K1803" s="6" t="str">
        <f t="shared" si="112"/>
        <v>g</v>
      </c>
      <c r="L1803" s="6" t="str">
        <f t="shared" si="113"/>
        <v>Gerblé</v>
      </c>
      <c r="M1803" s="6" t="str">
        <f t="shared" si="114"/>
        <v>Biscuit Fondant Choco Lait</v>
      </c>
      <c r="N1803" s="6" t="str">
        <f t="shared" si="115"/>
        <v>France</v>
      </c>
    </row>
    <row r="1804" spans="1:14" x14ac:dyDescent="0.25">
      <c r="A1804" s="6" t="s">
        <v>4397</v>
      </c>
      <c r="B1804" s="6">
        <v>8763</v>
      </c>
      <c r="C1804" s="6" t="s">
        <v>3151</v>
      </c>
      <c r="D1804" s="7" t="s">
        <v>310</v>
      </c>
      <c r="E1804" s="6" t="s">
        <v>84</v>
      </c>
      <c r="F1804" s="6" t="s">
        <v>139</v>
      </c>
      <c r="G1804" s="8">
        <v>46002</v>
      </c>
      <c r="H1804" s="6">
        <v>13.16</v>
      </c>
      <c r="I1804" s="6" cm="1">
        <f t="array" ref="I1804">IFERROR(VALUE(TRIM(LEFT(E1804,MIN(FIND({" ";"g";"k";"m";"o"},E1804&amp;" gkmo"))-1))),0)</f>
        <v>85</v>
      </c>
      <c r="J1804" s="6" t="str" cm="1">
        <f t="array" ref="J1804">IFERROR(TRIM(MID(E1804,MIN(FIND({" ";"g";"k";"m";"o"},E1804&amp;" gkmo")),10)),"unknown")</f>
        <v>g</v>
      </c>
      <c r="K1804" s="6" t="str">
        <f t="shared" si="112"/>
        <v>g</v>
      </c>
      <c r="L1804" s="6" t="str">
        <f t="shared" si="113"/>
        <v>St Michel</v>
      </c>
      <c r="M1804" s="6" t="str">
        <f t="shared" si="114"/>
        <v>Madeleines</v>
      </c>
      <c r="N1804" s="6" t="str">
        <f t="shared" si="115"/>
        <v>France</v>
      </c>
    </row>
    <row r="1805" spans="1:14" x14ac:dyDescent="0.25">
      <c r="A1805" s="6" t="s">
        <v>4398</v>
      </c>
      <c r="B1805" s="6">
        <v>9546</v>
      </c>
      <c r="C1805" s="6" t="s">
        <v>7289</v>
      </c>
      <c r="D1805" s="7" t="s">
        <v>4399</v>
      </c>
      <c r="E1805" s="6"/>
      <c r="F1805" s="6" t="s">
        <v>2941</v>
      </c>
      <c r="G1805" s="8">
        <v>45330</v>
      </c>
      <c r="H1805" s="6">
        <v>19.13</v>
      </c>
      <c r="I1805" s="6" cm="1">
        <f t="array" ref="I1805">IFERROR(VALUE(TRIM(LEFT(E1805,MIN(FIND({" ";"g";"k";"m";"o"},E1805&amp;" gkmo"))-1))),0)</f>
        <v>0</v>
      </c>
      <c r="J1805" s="6" t="str" cm="1">
        <f t="array" ref="J1805">IFERROR(TRIM(MID(E1805,MIN(FIND({" ";"g";"k";"m";"o"},E1805&amp;" gkmo")),10)),"unknown")</f>
        <v/>
      </c>
      <c r="K1805" s="6" t="str">
        <f t="shared" si="112"/>
        <v>unknown</v>
      </c>
      <c r="L1805" s="6" t="str">
        <f t="shared" si="113"/>
        <v>Reflets De France</v>
      </c>
      <c r="M1805" s="6" t="str">
        <f t="shared" si="114"/>
        <v>Galettes Bretonnes Spécialité De Pont-Aven Au Beurre</v>
      </c>
      <c r="N1805" s="6" t="str">
        <f t="shared" si="115"/>
        <v>France,Italy,Spain</v>
      </c>
    </row>
    <row r="1806" spans="1:14" x14ac:dyDescent="0.25">
      <c r="A1806" s="6" t="s">
        <v>4400</v>
      </c>
      <c r="B1806" s="6">
        <v>9827</v>
      </c>
      <c r="C1806" s="6" t="s">
        <v>7290</v>
      </c>
      <c r="D1806" s="7" t="s">
        <v>3594</v>
      </c>
      <c r="E1806" s="6" t="s">
        <v>10</v>
      </c>
      <c r="F1806" s="6" t="s">
        <v>139</v>
      </c>
      <c r="G1806" s="8">
        <v>45881</v>
      </c>
      <c r="H1806" s="6">
        <v>3.03</v>
      </c>
      <c r="I1806" s="6" cm="1">
        <f t="array" ref="I1806">IFERROR(VALUE(TRIM(LEFT(E1806,MIN(FIND({" ";"g";"k";"m";"o"},E1806&amp;" gkmo"))-1))),0)</f>
        <v>100</v>
      </c>
      <c r="J1806" s="6" t="str" cm="1">
        <f t="array" ref="J1806">IFERROR(TRIM(MID(E1806,MIN(FIND({" ";"g";"k";"m";"o"},E1806&amp;" gkmo")),10)),"unknown")</f>
        <v>g</v>
      </c>
      <c r="K1806" s="6" t="str">
        <f t="shared" si="112"/>
        <v>g</v>
      </c>
      <c r="L1806" s="6" t="str">
        <f t="shared" si="113"/>
        <v>U</v>
      </c>
      <c r="M1806" s="6" t="str">
        <f t="shared" si="114"/>
        <v>Chocolat Noir Dégustation 72% De Cacao Tablette De 100G</v>
      </c>
      <c r="N1806" s="6" t="str">
        <f t="shared" si="115"/>
        <v>France</v>
      </c>
    </row>
    <row r="1807" spans="1:14" x14ac:dyDescent="0.25">
      <c r="A1807" s="6" t="s">
        <v>4401</v>
      </c>
      <c r="B1807" s="6">
        <v>14281</v>
      </c>
      <c r="C1807" s="6" t="s">
        <v>1601</v>
      </c>
      <c r="D1807" s="7" t="s">
        <v>3594</v>
      </c>
      <c r="E1807" s="6"/>
      <c r="F1807" s="6" t="s">
        <v>139</v>
      </c>
      <c r="G1807" s="8">
        <v>45422</v>
      </c>
      <c r="H1807" s="6">
        <v>12.18</v>
      </c>
      <c r="I1807" s="6" cm="1">
        <f t="array" ref="I1807">IFERROR(VALUE(TRIM(LEFT(E1807,MIN(FIND({" ";"g";"k";"m";"o"},E1807&amp;" gkmo"))-1))),0)</f>
        <v>0</v>
      </c>
      <c r="J1807" s="6" t="str" cm="1">
        <f t="array" ref="J1807">IFERROR(TRIM(MID(E1807,MIN(FIND({" ";"g";"k";"m";"o"},E1807&amp;" gkmo")),10)),"unknown")</f>
        <v/>
      </c>
      <c r="K1807" s="6" t="str">
        <f t="shared" si="112"/>
        <v>unknown</v>
      </c>
      <c r="L1807" s="6" t="str">
        <f t="shared" si="113"/>
        <v>U</v>
      </c>
      <c r="M1807" s="6" t="str">
        <f t="shared" si="114"/>
        <v>Chips Paysanne Nature</v>
      </c>
      <c r="N1807" s="6" t="str">
        <f t="shared" si="115"/>
        <v>France</v>
      </c>
    </row>
    <row r="1808" spans="1:14" x14ac:dyDescent="0.25">
      <c r="A1808" s="6" t="s">
        <v>4402</v>
      </c>
      <c r="B1808" s="6">
        <v>12254</v>
      </c>
      <c r="C1808" s="6" t="s">
        <v>7773</v>
      </c>
      <c r="D1808" s="7" t="s">
        <v>3594</v>
      </c>
      <c r="E1808" s="6" t="s">
        <v>151</v>
      </c>
      <c r="F1808" s="6" t="s">
        <v>139</v>
      </c>
      <c r="G1808" s="8">
        <v>45738</v>
      </c>
      <c r="H1808" s="6">
        <v>16.7</v>
      </c>
      <c r="I1808" s="6" cm="1">
        <f t="array" ref="I1808">IFERROR(VALUE(TRIM(LEFT(E1808,MIN(FIND({" ";"g";"k";"m";"o"},E1808&amp;" gkmo"))-1))),0)</f>
        <v>200</v>
      </c>
      <c r="J1808" s="6" t="str" cm="1">
        <f t="array" ref="J1808">IFERROR(TRIM(MID(E1808,MIN(FIND({" ";"g";"k";"m";"o"},E1808&amp;" gkmo")),10)),"unknown")</f>
        <v>g</v>
      </c>
      <c r="K1808" s="6" t="str">
        <f t="shared" si="112"/>
        <v>g</v>
      </c>
      <c r="L1808" s="6" t="str">
        <f t="shared" si="113"/>
        <v>U</v>
      </c>
      <c r="M1808" s="6" t="str">
        <f t="shared" si="114"/>
        <v>Chocolat Noir À  Pà¢Tisser Tablette De 200G</v>
      </c>
      <c r="N1808" s="6" t="str">
        <f t="shared" si="115"/>
        <v>France</v>
      </c>
    </row>
    <row r="1809" spans="1:14" x14ac:dyDescent="0.25">
      <c r="A1809" s="6" t="s">
        <v>4403</v>
      </c>
      <c r="B1809" s="6">
        <v>10357</v>
      </c>
      <c r="C1809" s="6" t="s">
        <v>7291</v>
      </c>
      <c r="D1809" s="7" t="s">
        <v>1699</v>
      </c>
      <c r="E1809" s="6" t="s">
        <v>156</v>
      </c>
      <c r="F1809" s="6" t="s">
        <v>139</v>
      </c>
      <c r="G1809" s="8">
        <v>45744</v>
      </c>
      <c r="H1809" s="6">
        <v>13.34</v>
      </c>
      <c r="I1809" s="6" cm="1">
        <f t="array" ref="I1809">IFERROR(VALUE(TRIM(LEFT(E1809,MIN(FIND({" ";"g";"k";"m";"o"},E1809&amp;" gkmo"))-1))),0)</f>
        <v>500</v>
      </c>
      <c r="J1809" s="6" t="str" cm="1">
        <f t="array" ref="J1809">IFERROR(TRIM(MID(E1809,MIN(FIND({" ";"g";"k";"m";"o"},E1809&amp;" gkmo")),10)),"unknown")</f>
        <v>g</v>
      </c>
      <c r="K1809" s="6" t="str">
        <f t="shared" si="112"/>
        <v>g</v>
      </c>
      <c r="L1809" s="6" t="str">
        <f t="shared" si="113"/>
        <v>Brioche Pasquier</v>
      </c>
      <c r="M1809" s="6" t="str">
        <f t="shared" si="114"/>
        <v>Brioche Tressée Tranchée Nature</v>
      </c>
      <c r="N1809" s="6" t="str">
        <f t="shared" si="115"/>
        <v>France</v>
      </c>
    </row>
    <row r="1810" spans="1:14" x14ac:dyDescent="0.25">
      <c r="A1810" s="6" t="s">
        <v>4404</v>
      </c>
      <c r="B1810" s="6">
        <v>6418</v>
      </c>
      <c r="C1810" s="6" t="s">
        <v>7774</v>
      </c>
      <c r="D1810" s="7" t="s">
        <v>7017</v>
      </c>
      <c r="E1810" s="6" t="s">
        <v>156</v>
      </c>
      <c r="F1810" s="6" t="s">
        <v>8001</v>
      </c>
      <c r="G1810" s="8">
        <v>45488</v>
      </c>
      <c r="H1810" s="6">
        <v>10.84</v>
      </c>
      <c r="I1810" s="6" cm="1">
        <f t="array" ref="I1810">IFERROR(VALUE(TRIM(LEFT(E1810,MIN(FIND({" ";"g";"k";"m";"o"},E1810&amp;" gkmo"))-1))),0)</f>
        <v>500</v>
      </c>
      <c r="J1810" s="6" t="str" cm="1">
        <f t="array" ref="J1810">IFERROR(TRIM(MID(E1810,MIN(FIND({" ";"g";"k";"m";"o"},E1810&amp;" gkmo")),10)),"unknown")</f>
        <v>g</v>
      </c>
      <c r="K1810" s="6" t="str">
        <f t="shared" si="112"/>
        <v>g</v>
      </c>
      <c r="L1810" s="6" t="str">
        <f t="shared" si="113"/>
        <v>Unknown</v>
      </c>
      <c r="M1810" s="6" t="str">
        <f t="shared" si="114"/>
        <v>Mon Taboulé Au Poulet À  La Ciboulette</v>
      </c>
      <c r="N1810" s="6" t="str">
        <f t="shared" si="115"/>
        <v>France,France</v>
      </c>
    </row>
    <row r="1811" spans="1:14" x14ac:dyDescent="0.25">
      <c r="A1811" s="6" t="s">
        <v>4405</v>
      </c>
      <c r="B1811" s="6">
        <v>6439</v>
      </c>
      <c r="C1811" s="6" t="s">
        <v>7775</v>
      </c>
      <c r="D1811" s="7" t="s">
        <v>7017</v>
      </c>
      <c r="E1811" s="6" t="s">
        <v>436</v>
      </c>
      <c r="F1811" s="6" t="s">
        <v>4406</v>
      </c>
      <c r="G1811" s="8">
        <v>45778</v>
      </c>
      <c r="H1811" s="6">
        <v>1.62</v>
      </c>
      <c r="I1811" s="6" cm="1">
        <f t="array" ref="I1811">IFERROR(VALUE(TRIM(LEFT(E1811,MIN(FIND({" ";"g";"k";"m";"o"},E1811&amp;" gkmo"))-1))),0)</f>
        <v>90</v>
      </c>
      <c r="J1811" s="6" t="str" cm="1">
        <f t="array" ref="J1811">IFERROR(TRIM(MID(E1811,MIN(FIND({" ";"g";"k";"m";"o"},E1811&amp;" gkmo")),10)),"unknown")</f>
        <v>g</v>
      </c>
      <c r="K1811" s="6" t="str">
        <f t="shared" si="112"/>
        <v>g</v>
      </c>
      <c r="L1811" s="6" t="str">
        <f t="shared" si="113"/>
        <v>Unknown</v>
      </c>
      <c r="M1811" s="6" t="str">
        <f t="shared" si="114"/>
        <v>Cràªpe Dentelle Chocolat Au Lait</v>
      </c>
      <c r="N1811" s="6" t="str">
        <f t="shared" si="115"/>
        <v>Ranska,Sveitsi,Suomi</v>
      </c>
    </row>
    <row r="1812" spans="1:14" x14ac:dyDescent="0.25">
      <c r="A1812" s="6" t="s">
        <v>4407</v>
      </c>
      <c r="B1812" s="6">
        <v>13760</v>
      </c>
      <c r="C1812" s="6" t="s">
        <v>4408</v>
      </c>
      <c r="D1812" s="7" t="s">
        <v>7292</v>
      </c>
      <c r="E1812" s="6"/>
      <c r="F1812" s="6" t="s">
        <v>139</v>
      </c>
      <c r="G1812" s="8">
        <v>45422</v>
      </c>
      <c r="H1812" s="6">
        <v>23.93</v>
      </c>
      <c r="I1812" s="6" cm="1">
        <f t="array" ref="I1812">IFERROR(VALUE(TRIM(LEFT(E1812,MIN(FIND({" ";"g";"k";"m";"o"},E1812&amp;" gkmo"))-1))),0)</f>
        <v>0</v>
      </c>
      <c r="J1812" s="6" t="str" cm="1">
        <f t="array" ref="J1812">IFERROR(TRIM(MID(E1812,MIN(FIND({" ";"g";"k";"m";"o"},E1812&amp;" gkmo")),10)),"unknown")</f>
        <v/>
      </c>
      <c r="K1812" s="6" t="str">
        <f t="shared" si="112"/>
        <v>unknown</v>
      </c>
      <c r="L1812" s="6" t="str">
        <f t="shared" si="113"/>
        <v>Jardin Bio Étic,Jardin Bio,Léa Nature</v>
      </c>
      <c r="M1812" s="6" t="str">
        <f t="shared" si="114"/>
        <v>Chips Lentilles</v>
      </c>
      <c r="N1812" s="6" t="str">
        <f t="shared" si="115"/>
        <v>France</v>
      </c>
    </row>
    <row r="1813" spans="1:14" x14ac:dyDescent="0.25">
      <c r="A1813" s="6" t="s">
        <v>4409</v>
      </c>
      <c r="B1813" s="6">
        <v>10758</v>
      </c>
      <c r="C1813" s="6" t="s">
        <v>4410</v>
      </c>
      <c r="D1813" s="7" t="s">
        <v>1147</v>
      </c>
      <c r="E1813" s="6" t="s">
        <v>580</v>
      </c>
      <c r="F1813" s="6" t="s">
        <v>139</v>
      </c>
      <c r="G1813" s="8">
        <v>46014</v>
      </c>
      <c r="H1813" s="6">
        <v>2.25</v>
      </c>
      <c r="I1813" s="6" cm="1">
        <f t="array" ref="I1813">IFERROR(VALUE(TRIM(LEFT(E1813,MIN(FIND({" ";"g";"k";"m";"o"},E1813&amp;" gkmo"))-1))),0)</f>
        <v>250</v>
      </c>
      <c r="J1813" s="6" t="str" cm="1">
        <f t="array" ref="J1813">IFERROR(TRIM(MID(E1813,MIN(FIND({" ";"g";"k";"m";"o"},E1813&amp;" gkmo")),10)),"unknown")</f>
        <v>g</v>
      </c>
      <c r="K1813" s="6" t="str">
        <f t="shared" si="112"/>
        <v>g</v>
      </c>
      <c r="L1813" s="6" t="str">
        <f t="shared" si="113"/>
        <v>Bret'S</v>
      </c>
      <c r="M1813" s="6" t="str">
        <f t="shared" si="114"/>
        <v>Chips Les Natures Craquantes</v>
      </c>
      <c r="N1813" s="6" t="str">
        <f t="shared" si="115"/>
        <v>France</v>
      </c>
    </row>
    <row r="1814" spans="1:14" x14ac:dyDescent="0.25">
      <c r="A1814" s="6" t="s">
        <v>4411</v>
      </c>
      <c r="B1814" s="6">
        <v>7037</v>
      </c>
      <c r="C1814" s="6" t="s">
        <v>7293</v>
      </c>
      <c r="D1814" s="7" t="s">
        <v>646</v>
      </c>
      <c r="E1814" s="6" t="s">
        <v>151</v>
      </c>
      <c r="F1814" s="6" t="s">
        <v>213</v>
      </c>
      <c r="G1814" s="8">
        <v>45613</v>
      </c>
      <c r="H1814" s="6">
        <v>8.06</v>
      </c>
      <c r="I1814" s="6" cm="1">
        <f t="array" ref="I1814">IFERROR(VALUE(TRIM(LEFT(E1814,MIN(FIND({" ";"g";"k";"m";"o"},E1814&amp;" gkmo"))-1))),0)</f>
        <v>200</v>
      </c>
      <c r="J1814" s="6" t="str" cm="1">
        <f t="array" ref="J1814">IFERROR(TRIM(MID(E1814,MIN(FIND({" ";"g";"k";"m";"o"},E1814&amp;" gkmo")),10)),"unknown")</f>
        <v>g</v>
      </c>
      <c r="K1814" s="6" t="str">
        <f t="shared" si="112"/>
        <v>g</v>
      </c>
      <c r="L1814" s="6" t="str">
        <f t="shared" si="113"/>
        <v>Carrefour Bio, Carrefour</v>
      </c>
      <c r="M1814" s="6" t="str">
        <f t="shared" si="114"/>
        <v>Sablés Au Beurre, Amandes Et Citron</v>
      </c>
      <c r="N1814" s="6" t="str">
        <f t="shared" si="115"/>
        <v>Belgium,France</v>
      </c>
    </row>
    <row r="1815" spans="1:14" x14ac:dyDescent="0.25">
      <c r="A1815" s="6" t="s">
        <v>4412</v>
      </c>
      <c r="B1815" s="6">
        <v>10641</v>
      </c>
      <c r="C1815" s="6" t="s">
        <v>4413</v>
      </c>
      <c r="D1815" s="7" t="s">
        <v>854</v>
      </c>
      <c r="E1815" s="6" t="s">
        <v>14</v>
      </c>
      <c r="F1815" s="6" t="s">
        <v>8286</v>
      </c>
      <c r="G1815" s="8">
        <v>45455</v>
      </c>
      <c r="H1815" s="6">
        <v>4.33</v>
      </c>
      <c r="I1815" s="6" cm="1">
        <f t="array" ref="I1815">IFERROR(VALUE(TRIM(LEFT(E1815,MIN(FIND({" ";"g";"k";"m";"o"},E1815&amp;" gkmo"))-1))),0)</f>
        <v>300</v>
      </c>
      <c r="J1815" s="6" t="str" cm="1">
        <f t="array" ref="J1815">IFERROR(TRIM(MID(E1815,MIN(FIND({" ";"g";"k";"m";"o"},E1815&amp;" gkmo")),10)),"unknown")</f>
        <v>g</v>
      </c>
      <c r="K1815" s="6" t="str">
        <f t="shared" si="112"/>
        <v>g</v>
      </c>
      <c r="L1815" s="6" t="str">
        <f t="shared" si="113"/>
        <v>Carrefour</v>
      </c>
      <c r="M1815" s="6" t="str">
        <f t="shared" si="114"/>
        <v>Stylesse Chocolat Noir</v>
      </c>
      <c r="N1815" s="6" t="str">
        <f t="shared" si="115"/>
        <v>France,Italie,Morocco,Pologne,Spain</v>
      </c>
    </row>
    <row r="1816" spans="1:14" x14ac:dyDescent="0.25">
      <c r="A1816" s="6" t="s">
        <v>4414</v>
      </c>
      <c r="B1816" s="6">
        <v>7204</v>
      </c>
      <c r="C1816" s="6" t="s">
        <v>7500</v>
      </c>
      <c r="D1816" s="7" t="s">
        <v>7477</v>
      </c>
      <c r="E1816" s="6" t="s">
        <v>156</v>
      </c>
      <c r="F1816" s="6" t="s">
        <v>139</v>
      </c>
      <c r="G1816" s="8">
        <v>45583</v>
      </c>
      <c r="H1816" s="6">
        <v>2.54</v>
      </c>
      <c r="I1816" s="6" cm="1">
        <f t="array" ref="I1816">IFERROR(VALUE(TRIM(LEFT(E1816,MIN(FIND({" ";"g";"k";"m";"o"},E1816&amp;" gkmo"))-1))),0)</f>
        <v>500</v>
      </c>
      <c r="J1816" s="6" t="str" cm="1">
        <f t="array" ref="J1816">IFERROR(TRIM(MID(E1816,MIN(FIND({" ";"g";"k";"m";"o"},E1816&amp;" gkmo")),10)),"unknown")</f>
        <v>g</v>
      </c>
      <c r="K1816" s="6" t="str">
        <f t="shared" si="112"/>
        <v>g</v>
      </c>
      <c r="L1816" s="6" t="str">
        <f t="shared" si="113"/>
        <v>Marque Repère, Tokapi</v>
      </c>
      <c r="M1816" s="6" t="str">
        <f t="shared" si="114"/>
        <v>Cacahuètes Grillées Et Salées</v>
      </c>
      <c r="N1816" s="6" t="str">
        <f t="shared" si="115"/>
        <v>France</v>
      </c>
    </row>
    <row r="1817" spans="1:14" x14ac:dyDescent="0.25">
      <c r="A1817" s="6" t="s">
        <v>4415</v>
      </c>
      <c r="B1817" s="6">
        <v>13376</v>
      </c>
      <c r="C1817" s="6" t="s">
        <v>4416</v>
      </c>
      <c r="D1817" s="7" t="s">
        <v>7501</v>
      </c>
      <c r="E1817" s="6"/>
      <c r="F1817" s="6" t="s">
        <v>139</v>
      </c>
      <c r="G1817" s="8">
        <v>45435</v>
      </c>
      <c r="H1817" s="6">
        <v>12.54</v>
      </c>
      <c r="I1817" s="6" cm="1">
        <f t="array" ref="I1817">IFERROR(VALUE(TRIM(LEFT(E1817,MIN(FIND({" ";"g";"k";"m";"o"},E1817&amp;" gkmo"))-1))),0)</f>
        <v>0</v>
      </c>
      <c r="J1817" s="6" t="str" cm="1">
        <f t="array" ref="J1817">IFERROR(TRIM(MID(E1817,MIN(FIND({" ";"g";"k";"m";"o"},E1817&amp;" gkmo")),10)),"unknown")</f>
        <v/>
      </c>
      <c r="K1817" s="6" t="str">
        <f t="shared" si="112"/>
        <v>unknown</v>
      </c>
      <c r="L1817" s="6" t="str">
        <f t="shared" si="113"/>
        <v>Marque Repère, Pom' Lisse, Pom'Lisse</v>
      </c>
      <c r="M1817" s="6" t="str">
        <f t="shared" si="114"/>
        <v>Chips Nature Maxi Format</v>
      </c>
      <c r="N1817" s="6" t="str">
        <f t="shared" si="115"/>
        <v>France</v>
      </c>
    </row>
    <row r="1818" spans="1:14" x14ac:dyDescent="0.25">
      <c r="A1818" s="6" t="s">
        <v>4417</v>
      </c>
      <c r="B1818" s="6">
        <v>6148</v>
      </c>
      <c r="C1818" s="6" t="s">
        <v>4418</v>
      </c>
      <c r="D1818" s="7" t="s">
        <v>4419</v>
      </c>
      <c r="E1818" s="6" t="s">
        <v>573</v>
      </c>
      <c r="F1818" s="6" t="s">
        <v>139</v>
      </c>
      <c r="G1818" s="8">
        <v>45752</v>
      </c>
      <c r="H1818" s="6">
        <v>24.17</v>
      </c>
      <c r="I1818" s="6" cm="1">
        <f t="array" ref="I1818">IFERROR(VALUE(TRIM(LEFT(E1818,MIN(FIND({" ";"g";"k";"m";"o"},E1818&amp;" gkmo"))-1))),0)</f>
        <v>280</v>
      </c>
      <c r="J1818" s="6" t="str" cm="1">
        <f t="array" ref="J1818">IFERROR(TRIM(MID(E1818,MIN(FIND({" ";"g";"k";"m";"o"},E1818&amp;" gkmo")),10)),"unknown")</f>
        <v>g</v>
      </c>
      <c r="K1818" s="6" t="str">
        <f t="shared" si="112"/>
        <v>g</v>
      </c>
      <c r="L1818" s="6" t="str">
        <f t="shared" si="113"/>
        <v>La Pie Qui Chante</v>
      </c>
      <c r="M1818" s="6" t="str">
        <f t="shared" si="114"/>
        <v>280G Michoko Noir</v>
      </c>
      <c r="N1818" s="6" t="str">
        <f t="shared" si="115"/>
        <v>France</v>
      </c>
    </row>
    <row r="1819" spans="1:14" x14ac:dyDescent="0.25">
      <c r="A1819" s="6" t="s">
        <v>4420</v>
      </c>
      <c r="B1819" s="6">
        <v>8452</v>
      </c>
      <c r="C1819" s="6" t="s">
        <v>4421</v>
      </c>
      <c r="D1819" s="7" t="s">
        <v>7186</v>
      </c>
      <c r="E1819" s="6" t="s">
        <v>39</v>
      </c>
      <c r="F1819" s="6" t="s">
        <v>139</v>
      </c>
      <c r="G1819" s="8">
        <v>45409</v>
      </c>
      <c r="H1819" s="6">
        <v>13.16</v>
      </c>
      <c r="I1819" s="6" cm="1">
        <f t="array" ref="I1819">IFERROR(VALUE(TRIM(LEFT(E1819,MIN(FIND({" ";"g";"k";"m";"o"},E1819&amp;" gkmo"))-1))),0)</f>
        <v>150</v>
      </c>
      <c r="J1819" s="6" t="str" cm="1">
        <f t="array" ref="J1819">IFERROR(TRIM(MID(E1819,MIN(FIND({" ";"g";"k";"m";"o"},E1819&amp;" gkmo")),10)),"unknown")</f>
        <v>g</v>
      </c>
      <c r="K1819" s="6" t="str">
        <f t="shared" si="112"/>
        <v>g</v>
      </c>
      <c r="L1819" s="6" t="str">
        <f t="shared" si="113"/>
        <v>Karéléa, Léa Nature</v>
      </c>
      <c r="M1819" s="6" t="str">
        <f t="shared" si="114"/>
        <v>Petit Beurre Nature Sans Sucres</v>
      </c>
      <c r="N1819" s="6" t="str">
        <f t="shared" si="115"/>
        <v>France</v>
      </c>
    </row>
    <row r="1820" spans="1:14" x14ac:dyDescent="0.25">
      <c r="A1820" s="6" t="s">
        <v>4422</v>
      </c>
      <c r="B1820" s="6">
        <v>10694</v>
      </c>
      <c r="C1820" s="6" t="s">
        <v>4423</v>
      </c>
      <c r="D1820" s="7" t="s">
        <v>287</v>
      </c>
      <c r="E1820" s="6" t="s">
        <v>2081</v>
      </c>
      <c r="F1820" s="6" t="s">
        <v>8380</v>
      </c>
      <c r="G1820" s="8">
        <v>45598</v>
      </c>
      <c r="H1820" s="6">
        <v>4.87</v>
      </c>
      <c r="I1820" s="6" cm="1">
        <f t="array" ref="I1820">IFERROR(VALUE(TRIM(LEFT(E1820,MIN(FIND({" ";"g";"k";"m";"o"},E1820&amp;" gkmo"))-1))),0)</f>
        <v>120</v>
      </c>
      <c r="J1820" s="6" t="str" cm="1">
        <f t="array" ref="J1820">IFERROR(TRIM(MID(E1820,MIN(FIND({" ";"g";"k";"m";"o"},E1820&amp;" gkmo")),10)),"unknown")</f>
        <v>g</v>
      </c>
      <c r="K1820" s="6" t="str">
        <f t="shared" si="112"/>
        <v>g</v>
      </c>
      <c r="L1820" s="6" t="str">
        <f t="shared" si="113"/>
        <v>Ferrero</v>
      </c>
      <c r="M1820" s="6" t="str">
        <f t="shared" si="114"/>
        <v>Kinder Pingui Schoko 4Er-Packung</v>
      </c>
      <c r="N1820" s="6" t="str">
        <f t="shared" si="115"/>
        <v>Belgium,France,Germany,Italie,Switzerland,United Kingdom</v>
      </c>
    </row>
    <row r="1821" spans="1:14" x14ac:dyDescent="0.25">
      <c r="A1821" s="6" t="s">
        <v>4424</v>
      </c>
      <c r="B1821" s="6">
        <v>11235</v>
      </c>
      <c r="C1821" s="6" t="s">
        <v>4425</v>
      </c>
      <c r="D1821" s="7" t="s">
        <v>1273</v>
      </c>
      <c r="E1821" s="6" t="s">
        <v>1274</v>
      </c>
      <c r="F1821" s="6" t="s">
        <v>3183</v>
      </c>
      <c r="G1821" s="8">
        <v>45634</v>
      </c>
      <c r="H1821" s="6">
        <v>1.52</v>
      </c>
      <c r="I1821" s="6" cm="1">
        <f t="array" ref="I1821">IFERROR(VALUE(TRIM(LEFT(E1821,MIN(FIND({" ";"g";"k";"m";"o"},E1821&amp;" gkmo"))-1))),0)</f>
        <v>113</v>
      </c>
      <c r="J1821" s="6" t="str" cm="1">
        <f t="array" ref="J1821">IFERROR(TRIM(MID(E1821,MIN(FIND({" ";"g";"k";"m";"o"},E1821&amp;" gkmo")),10)),"unknown")</f>
        <v>g</v>
      </c>
      <c r="K1821" s="6" t="str">
        <f t="shared" si="112"/>
        <v>g</v>
      </c>
      <c r="L1821" s="6" t="str">
        <f t="shared" si="113"/>
        <v>Eat Real</v>
      </c>
      <c r="M1821" s="6" t="str">
        <f t="shared" si="114"/>
        <v>Veggie Straws - With Kale, Tomato &amp; Spinach</v>
      </c>
      <c r="N1821" s="6" t="str">
        <f t="shared" si="115"/>
        <v>France,Germany,United Kingdom</v>
      </c>
    </row>
    <row r="1822" spans="1:14" x14ac:dyDescent="0.25">
      <c r="A1822" s="6" t="s">
        <v>4426</v>
      </c>
      <c r="B1822" s="6">
        <v>11314</v>
      </c>
      <c r="C1822" s="6" t="s">
        <v>4427</v>
      </c>
      <c r="D1822" s="7" t="s">
        <v>7017</v>
      </c>
      <c r="E1822" s="6" t="s">
        <v>476</v>
      </c>
      <c r="F1822" s="6" t="s">
        <v>2472</v>
      </c>
      <c r="G1822" s="8">
        <v>45611</v>
      </c>
      <c r="H1822" s="6">
        <v>13.16</v>
      </c>
      <c r="I1822" s="6" cm="1">
        <f t="array" ref="I1822">IFERROR(VALUE(TRIM(LEFT(E1822,MIN(FIND({" ";"g";"k";"m";"o"},E1822&amp;" gkmo"))-1))),0)</f>
        <v>45</v>
      </c>
      <c r="J1822" s="6" t="str" cm="1">
        <f t="array" ref="J1822">IFERROR(TRIM(MID(E1822,MIN(FIND({" ";"g";"k";"m";"o"},E1822&amp;" gkmo")),10)),"unknown")</f>
        <v>g</v>
      </c>
      <c r="K1822" s="6" t="str">
        <f t="shared" si="112"/>
        <v>g</v>
      </c>
      <c r="L1822" s="6" t="str">
        <f t="shared" si="113"/>
        <v>Unknown</v>
      </c>
      <c r="M1822" s="6" t="str">
        <f t="shared" si="114"/>
        <v>Fruit &amp; Nut Bar Dark Chocolate</v>
      </c>
      <c r="N1822" s="6" t="str">
        <f t="shared" si="115"/>
        <v>France,Switzerland,United Kingdom</v>
      </c>
    </row>
    <row r="1823" spans="1:14" x14ac:dyDescent="0.25">
      <c r="A1823" s="6" t="s">
        <v>4428</v>
      </c>
      <c r="B1823" s="6">
        <v>13487</v>
      </c>
      <c r="C1823" s="6" t="s">
        <v>4429</v>
      </c>
      <c r="D1823" s="7" t="s">
        <v>7017</v>
      </c>
      <c r="E1823" s="6" t="s">
        <v>580</v>
      </c>
      <c r="F1823" s="6" t="s">
        <v>8105</v>
      </c>
      <c r="G1823" s="8">
        <v>45377</v>
      </c>
      <c r="H1823" s="6">
        <v>8.9499999999999993</v>
      </c>
      <c r="I1823" s="6" cm="1">
        <f t="array" ref="I1823">IFERROR(VALUE(TRIM(LEFT(E1823,MIN(FIND({" ";"g";"k";"m";"o"},E1823&amp;" gkmo"))-1))),0)</f>
        <v>250</v>
      </c>
      <c r="J1823" s="6" t="str" cm="1">
        <f t="array" ref="J1823">IFERROR(TRIM(MID(E1823,MIN(FIND({" ";"g";"k";"m";"o"},E1823&amp;" gkmo")),10)),"unknown")</f>
        <v>g</v>
      </c>
      <c r="K1823" s="6" t="str">
        <f t="shared" si="112"/>
        <v>g</v>
      </c>
      <c r="L1823" s="6" t="str">
        <f t="shared" si="113"/>
        <v>Unknown</v>
      </c>
      <c r="M1823" s="6" t="str">
        <f t="shared" si="114"/>
        <v>Belgian Chocolate Guylian Seashells</v>
      </c>
      <c r="N1823" s="6" t="str">
        <f t="shared" si="115"/>
        <v>Australia, Austria, Belgium, France, Switzerland, United-Kingdom</v>
      </c>
    </row>
    <row r="1824" spans="1:14" x14ac:dyDescent="0.25">
      <c r="A1824" s="6" t="s">
        <v>4430</v>
      </c>
      <c r="B1824" s="6">
        <v>10571</v>
      </c>
      <c r="C1824" s="6" t="s">
        <v>4431</v>
      </c>
      <c r="D1824" s="7" t="s">
        <v>4432</v>
      </c>
      <c r="E1824" s="6"/>
      <c r="F1824" s="6" t="s">
        <v>213</v>
      </c>
      <c r="G1824" s="8">
        <v>45358</v>
      </c>
      <c r="H1824" s="6">
        <v>12.94</v>
      </c>
      <c r="I1824" s="6" cm="1">
        <f t="array" ref="I1824">IFERROR(VALUE(TRIM(LEFT(E1824,MIN(FIND({" ";"g";"k";"m";"o"},E1824&amp;" gkmo"))-1))),0)</f>
        <v>0</v>
      </c>
      <c r="J1824" s="6" t="str" cm="1">
        <f t="array" ref="J1824">IFERROR(TRIM(MID(E1824,MIN(FIND({" ";"g";"k";"m";"o"},E1824&amp;" gkmo")),10)),"unknown")</f>
        <v/>
      </c>
      <c r="K1824" s="6" t="str">
        <f t="shared" si="112"/>
        <v>unknown</v>
      </c>
      <c r="L1824" s="6" t="str">
        <f t="shared" si="113"/>
        <v>Cachet</v>
      </c>
      <c r="M1824" s="6" t="str">
        <f t="shared" si="114"/>
        <v>Chocolat Noir Uganda</v>
      </c>
      <c r="N1824" s="6" t="str">
        <f t="shared" si="115"/>
        <v>Belgium,France</v>
      </c>
    </row>
    <row r="1825" spans="1:14" x14ac:dyDescent="0.25">
      <c r="A1825" s="6" t="s">
        <v>4433</v>
      </c>
      <c r="B1825" s="6">
        <v>10620</v>
      </c>
      <c r="C1825" s="6" t="s">
        <v>7776</v>
      </c>
      <c r="D1825" s="7" t="s">
        <v>4434</v>
      </c>
      <c r="E1825" s="6" t="s">
        <v>197</v>
      </c>
      <c r="F1825" s="6" t="s">
        <v>8424</v>
      </c>
      <c r="G1825" s="8">
        <v>46038</v>
      </c>
      <c r="H1825" s="6">
        <v>11.39</v>
      </c>
      <c r="I1825" s="6" cm="1">
        <f t="array" ref="I1825">IFERROR(VALUE(TRIM(LEFT(E1825,MIN(FIND({" ";"g";"k";"m";"o"},E1825&amp;" gkmo"))-1))),0)</f>
        <v>130</v>
      </c>
      <c r="J1825" s="6" t="str" cm="1">
        <f t="array" ref="J1825">IFERROR(TRIM(MID(E1825,MIN(FIND({" ";"g";"k";"m";"o"},E1825&amp;" gkmo")),10)),"unknown")</f>
        <v>g</v>
      </c>
      <c r="K1825" s="6" t="str">
        <f t="shared" si="112"/>
        <v>g</v>
      </c>
      <c r="L1825" s="6" t="str">
        <f t="shared" si="113"/>
        <v>Kif</v>
      </c>
      <c r="M1825" s="6" t="str">
        <f t="shared" si="114"/>
        <v>Biscuit Fourré À  La Crème Goà»T Chocolat</v>
      </c>
      <c r="N1825" s="6" t="str">
        <f t="shared" si="115"/>
        <v>France,Tunisia</v>
      </c>
    </row>
    <row r="1826" spans="1:14" x14ac:dyDescent="0.25">
      <c r="A1826" s="6" t="s">
        <v>4435</v>
      </c>
      <c r="B1826" s="6">
        <v>7368</v>
      </c>
      <c r="C1826" s="6" t="s">
        <v>4436</v>
      </c>
      <c r="D1826" s="7" t="s">
        <v>4437</v>
      </c>
      <c r="E1826" s="6" t="s">
        <v>4438</v>
      </c>
      <c r="F1826" s="6" t="s">
        <v>4439</v>
      </c>
      <c r="G1826" s="8">
        <v>45783</v>
      </c>
      <c r="H1826" s="6">
        <v>6.79</v>
      </c>
      <c r="I1826" s="6" cm="1">
        <f t="array" ref="I1826">IFERROR(VALUE(TRIM(LEFT(E1826,MIN(FIND({" ";"g";"k";"m";"o"},E1826&amp;" gkmo"))-1))),0)</f>
        <v>190</v>
      </c>
      <c r="J1826" s="6" t="str" cm="1">
        <f t="array" ref="J1826">IFERROR(TRIM(MID(E1826,MIN(FIND({" ";"g";"k";"m";"o"},E1826&amp;" gkmo")),10)),"unknown")</f>
        <v>g</v>
      </c>
      <c r="K1826" s="6" t="str">
        <f t="shared" si="112"/>
        <v>g</v>
      </c>
      <c r="L1826" s="6" t="str">
        <f t="shared" si="113"/>
        <v>Wasa, Wasa - Tasty Snacks</v>
      </c>
      <c r="M1826" s="6" t="str">
        <f t="shared" si="114"/>
        <v>Delicate Crisp Rosemary &amp; Sea Salt</v>
      </c>
      <c r="N1826" s="6" t="str">
        <f t="shared" si="115"/>
        <v>Austria,Belgium,Germany,Netherlands,Switzerland</v>
      </c>
    </row>
    <row r="1827" spans="1:14" x14ac:dyDescent="0.25">
      <c r="A1827" s="6" t="s">
        <v>4440</v>
      </c>
      <c r="B1827" s="6">
        <v>13205</v>
      </c>
      <c r="C1827" s="6" t="s">
        <v>4441</v>
      </c>
      <c r="D1827" s="7" t="s">
        <v>1348</v>
      </c>
      <c r="E1827" s="6" t="s">
        <v>528</v>
      </c>
      <c r="F1827" s="6" t="s">
        <v>4442</v>
      </c>
      <c r="G1827" s="8">
        <v>45500</v>
      </c>
      <c r="H1827" s="6">
        <v>13.77</v>
      </c>
      <c r="I1827" s="6" cm="1">
        <f t="array" ref="I1827">IFERROR(VALUE(TRIM(LEFT(E1827,MIN(FIND({" ";"g";"k";"m";"o"},E1827&amp;" gkmo"))-1))),0)</f>
        <v>200</v>
      </c>
      <c r="J1827" s="6" t="str" cm="1">
        <f t="array" ref="J1827">IFERROR(TRIM(MID(E1827,MIN(FIND({" ";"g";"k";"m";"o"},E1827&amp;" gkmo")),10)),"unknown")</f>
        <v>g</v>
      </c>
      <c r="K1827" s="6" t="str">
        <f t="shared" si="112"/>
        <v>g</v>
      </c>
      <c r="L1827" s="6" t="str">
        <f t="shared" si="113"/>
        <v>Cadbury</v>
      </c>
      <c r="M1827" s="6" t="str">
        <f t="shared" si="114"/>
        <v>Creme Egg</v>
      </c>
      <c r="N1827" s="6" t="str">
        <f t="shared" si="115"/>
        <v>France,United States,United Kingdom</v>
      </c>
    </row>
    <row r="1828" spans="1:14" x14ac:dyDescent="0.25">
      <c r="A1828" s="6" t="s">
        <v>4443</v>
      </c>
      <c r="B1828" s="6">
        <v>7570</v>
      </c>
      <c r="C1828" s="6" t="s">
        <v>4444</v>
      </c>
      <c r="D1828" s="7" t="s">
        <v>4445</v>
      </c>
      <c r="E1828" s="6"/>
      <c r="F1828" s="6" t="s">
        <v>8420</v>
      </c>
      <c r="G1828" s="8">
        <v>45741</v>
      </c>
      <c r="H1828" s="6">
        <v>8.64</v>
      </c>
      <c r="I1828" s="6" cm="1">
        <f t="array" ref="I1828">IFERROR(VALUE(TRIM(LEFT(E1828,MIN(FIND({" ";"g";"k";"m";"o"},E1828&amp;" gkmo"))-1))),0)</f>
        <v>0</v>
      </c>
      <c r="J1828" s="6" t="str" cm="1">
        <f t="array" ref="J1828">IFERROR(TRIM(MID(E1828,MIN(FIND({" ";"g";"k";"m";"o"},E1828&amp;" gkmo")),10)),"unknown")</f>
        <v/>
      </c>
      <c r="K1828" s="6" t="str">
        <f t="shared" si="112"/>
        <v>unknown</v>
      </c>
      <c r="L1828" s="6" t="str">
        <f t="shared" si="113"/>
        <v>Mondelez Norge As</v>
      </c>
      <c r="M1828" s="6" t="str">
        <f t="shared" si="114"/>
        <v>Oreo Sjokoladetrukket 246 G</v>
      </c>
      <c r="N1828" s="6" t="str">
        <f t="shared" si="115"/>
        <v>Belgium,Danemark,Finlande,France,Grèce,Irlande,Italie,Morocco,Netherlands,Norvège,Suède,United Kingdom</v>
      </c>
    </row>
    <row r="1829" spans="1:14" x14ac:dyDescent="0.25">
      <c r="A1829" s="6" t="s">
        <v>4446</v>
      </c>
      <c r="B1829" s="6">
        <v>12488</v>
      </c>
      <c r="C1829" s="6" t="s">
        <v>4447</v>
      </c>
      <c r="D1829" s="7" t="s">
        <v>7777</v>
      </c>
      <c r="E1829" s="6" t="s">
        <v>528</v>
      </c>
      <c r="F1829" s="6" t="s">
        <v>177</v>
      </c>
      <c r="G1829" s="8">
        <v>45632</v>
      </c>
      <c r="H1829" s="6">
        <v>6.55</v>
      </c>
      <c r="I1829" s="6" cm="1">
        <f t="array" ref="I1829">IFERROR(VALUE(TRIM(LEFT(E1829,MIN(FIND({" ";"g";"k";"m";"o"},E1829&amp;" gkmo"))-1))),0)</f>
        <v>200</v>
      </c>
      <c r="J1829" s="6" t="str" cm="1">
        <f t="array" ref="J1829">IFERROR(TRIM(MID(E1829,MIN(FIND({" ";"g";"k";"m";"o"},E1829&amp;" gkmo")),10)),"unknown")</f>
        <v>g</v>
      </c>
      <c r="K1829" s="6" t="str">
        <f t="shared" si="112"/>
        <v>g</v>
      </c>
      <c r="L1829" s="6" t="str">
        <f t="shared" si="113"/>
        <v>Lindt, Lindt &amp; Sprà¼Ngli, Lindor</v>
      </c>
      <c r="M1829" s="6" t="str">
        <f t="shared" si="114"/>
        <v>Lindor Assorted Chocolate Truffles Box</v>
      </c>
      <c r="N1829" s="6" t="str">
        <f t="shared" si="115"/>
        <v>United Kingdom</v>
      </c>
    </row>
    <row r="1830" spans="1:14" x14ac:dyDescent="0.25">
      <c r="A1830" s="6" t="s">
        <v>4448</v>
      </c>
      <c r="B1830" s="6">
        <v>11754</v>
      </c>
      <c r="C1830" s="6" t="s">
        <v>4449</v>
      </c>
      <c r="D1830" s="7" t="s">
        <v>4450</v>
      </c>
      <c r="E1830" s="6"/>
      <c r="F1830" s="6" t="s">
        <v>8212</v>
      </c>
      <c r="G1830" s="8">
        <v>45979</v>
      </c>
      <c r="H1830" s="6">
        <v>10.15</v>
      </c>
      <c r="I1830" s="6" cm="1">
        <f t="array" ref="I1830">IFERROR(VALUE(TRIM(LEFT(E1830,MIN(FIND({" ";"g";"k";"m";"o"},E1830&amp;" gkmo"))-1))),0)</f>
        <v>0</v>
      </c>
      <c r="J1830" s="6" t="str" cm="1">
        <f t="array" ref="J1830">IFERROR(TRIM(MID(E1830,MIN(FIND({" ";"g";"k";"m";"o"},E1830&amp;" gkmo")),10)),"unknown")</f>
        <v/>
      </c>
      <c r="K1830" s="6" t="str">
        <f t="shared" si="112"/>
        <v>unknown</v>
      </c>
      <c r="L1830" s="6" t="str">
        <f t="shared" si="113"/>
        <v>Gateau</v>
      </c>
      <c r="M1830" s="6" t="str">
        <f t="shared" si="114"/>
        <v>Dulcesol Snack Cacao</v>
      </c>
      <c r="N1830" s="6" t="str">
        <f t="shared" si="115"/>
        <v>France,Morocco,Morocco</v>
      </c>
    </row>
    <row r="1831" spans="1:14" x14ac:dyDescent="0.25">
      <c r="A1831" s="6" t="s">
        <v>4451</v>
      </c>
      <c r="B1831" s="6">
        <v>11746</v>
      </c>
      <c r="C1831" s="6" t="s">
        <v>4452</v>
      </c>
      <c r="D1831" s="7" t="s">
        <v>3654</v>
      </c>
      <c r="E1831" s="6" t="s">
        <v>335</v>
      </c>
      <c r="F1831" s="6" t="s">
        <v>4453</v>
      </c>
      <c r="G1831" s="8">
        <v>45470</v>
      </c>
      <c r="H1831" s="6">
        <v>13.16</v>
      </c>
      <c r="I1831" s="6" cm="1">
        <f t="array" ref="I1831">IFERROR(VALUE(TRIM(LEFT(E1831,MIN(FIND({" ";"g";"k";"m";"o"},E1831&amp;" gkmo"))-1))),0)</f>
        <v>250</v>
      </c>
      <c r="J1831" s="6" t="str" cm="1">
        <f t="array" ref="J1831">IFERROR(TRIM(MID(E1831,MIN(FIND({" ";"g";"k";"m";"o"},E1831&amp;" gkmo")),10)),"unknown")</f>
        <v>g</v>
      </c>
      <c r="K1831" s="6" t="str">
        <f t="shared" si="112"/>
        <v>g</v>
      </c>
      <c r="L1831" s="6" t="str">
        <f t="shared" si="113"/>
        <v>Snacks Of The World</v>
      </c>
      <c r="M1831" s="6" t="str">
        <f t="shared" si="114"/>
        <v>Wasabi Peanuts</v>
      </c>
      <c r="N1831" s="6" t="str">
        <f t="shared" si="115"/>
        <v>Belgia,Czechy,Francja,Wå‚Ochy,Holandia,Polska</v>
      </c>
    </row>
    <row r="1832" spans="1:14" x14ac:dyDescent="0.25">
      <c r="A1832" s="6" t="s">
        <v>4454</v>
      </c>
      <c r="B1832" s="6">
        <v>11151</v>
      </c>
      <c r="C1832" s="6" t="s">
        <v>4455</v>
      </c>
      <c r="D1832" s="7" t="s">
        <v>1355</v>
      </c>
      <c r="E1832" s="6"/>
      <c r="F1832" s="6" t="s">
        <v>4456</v>
      </c>
      <c r="G1832" s="8">
        <v>45778</v>
      </c>
      <c r="H1832" s="6">
        <v>6.63</v>
      </c>
      <c r="I1832" s="6" cm="1">
        <f t="array" ref="I1832">IFERROR(VALUE(TRIM(LEFT(E1832,MIN(FIND({" ";"g";"k";"m";"o"},E1832&amp;" gkmo"))-1))),0)</f>
        <v>0</v>
      </c>
      <c r="J1832" s="6" t="str" cm="1">
        <f t="array" ref="J1832">IFERROR(TRIM(MID(E1832,MIN(FIND({" ";"g";"k";"m";"o"},E1832&amp;" gkmo")),10)),"unknown")</f>
        <v/>
      </c>
      <c r="K1832" s="6" t="str">
        <f t="shared" si="112"/>
        <v>unknown</v>
      </c>
      <c r="L1832" s="6" t="str">
        <f t="shared" si="113"/>
        <v>Lay'S</v>
      </c>
      <c r="M1832" s="6" t="str">
        <f t="shared" si="114"/>
        <v>Lays Classics Salted 20Rs</v>
      </c>
      <c r="N1832" s="6" t="str">
        <f t="shared" si="115"/>
        <v>Inde</v>
      </c>
    </row>
    <row r="1833" spans="1:14" x14ac:dyDescent="0.25">
      <c r="A1833" s="6" t="s">
        <v>4457</v>
      </c>
      <c r="B1833" s="6">
        <v>13249</v>
      </c>
      <c r="C1833" s="6" t="s">
        <v>4458</v>
      </c>
      <c r="D1833" s="7" t="s">
        <v>3191</v>
      </c>
      <c r="E1833" s="6" t="s">
        <v>132</v>
      </c>
      <c r="F1833" s="6" t="s">
        <v>4459</v>
      </c>
      <c r="G1833" s="8">
        <v>45941</v>
      </c>
      <c r="H1833" s="6">
        <v>15.93</v>
      </c>
      <c r="I1833" s="6" cm="1">
        <f t="array" ref="I1833">IFERROR(VALUE(TRIM(LEFT(E1833,MIN(FIND({" ";"g";"k";"m";"o"},E1833&amp;" gkmo"))-1))),0)</f>
        <v>350</v>
      </c>
      <c r="J1833" s="6" t="str" cm="1">
        <f t="array" ref="J1833">IFERROR(TRIM(MID(E1833,MIN(FIND({" ";"g";"k";"m";"o"},E1833&amp;" gkmo")),10)),"unknown")</f>
        <v>g</v>
      </c>
      <c r="K1833" s="6" t="str">
        <f t="shared" si="112"/>
        <v>g</v>
      </c>
      <c r="L1833" s="6" t="str">
        <f t="shared" si="113"/>
        <v>Italiamo</v>
      </c>
      <c r="M1833" s="6" t="str">
        <f t="shared" si="114"/>
        <v>Novellini</v>
      </c>
      <c r="N1833" s="6" t="str">
        <f t="shared" si="115"/>
        <v>Switzerland</v>
      </c>
    </row>
    <row r="1834" spans="1:14" x14ac:dyDescent="0.25">
      <c r="A1834" s="6" t="s">
        <v>4460</v>
      </c>
      <c r="B1834" s="6">
        <v>5314</v>
      </c>
      <c r="C1834" s="6" t="s">
        <v>4461</v>
      </c>
      <c r="D1834" s="7" t="s">
        <v>633</v>
      </c>
      <c r="E1834" s="6" t="s">
        <v>151</v>
      </c>
      <c r="F1834" s="6" t="s">
        <v>8039</v>
      </c>
      <c r="G1834" s="8">
        <v>46035</v>
      </c>
      <c r="H1834" s="6">
        <v>8.82</v>
      </c>
      <c r="I1834" s="6" cm="1">
        <f t="array" ref="I1834">IFERROR(VALUE(TRIM(LEFT(E1834,MIN(FIND({" ";"g";"k";"m";"o"},E1834&amp;" gkmo"))-1))),0)</f>
        <v>200</v>
      </c>
      <c r="J1834" s="6" t="str" cm="1">
        <f t="array" ref="J1834">IFERROR(TRIM(MID(E1834,MIN(FIND({" ";"g";"k";"m";"o"},E1834&amp;" gkmo")),10)),"unknown")</f>
        <v>g</v>
      </c>
      <c r="K1834" s="6" t="str">
        <f t="shared" si="112"/>
        <v>g</v>
      </c>
      <c r="L1834" s="6" t="str">
        <f t="shared" si="113"/>
        <v>Nairn'S</v>
      </c>
      <c r="M1834" s="6" t="str">
        <f t="shared" si="114"/>
        <v>Coconut &amp; Chia Oat Biscuits Imp</v>
      </c>
      <c r="N1834" s="6" t="str">
        <f t="shared" si="115"/>
        <v>Gb</v>
      </c>
    </row>
    <row r="1835" spans="1:14" x14ac:dyDescent="0.25">
      <c r="A1835" s="6" t="s">
        <v>4462</v>
      </c>
      <c r="B1835" s="6">
        <v>5647</v>
      </c>
      <c r="C1835" s="6" t="s">
        <v>7294</v>
      </c>
      <c r="D1835" s="7" t="s">
        <v>7017</v>
      </c>
      <c r="E1835" s="6"/>
      <c r="F1835" s="6" t="s">
        <v>8106</v>
      </c>
      <c r="G1835" s="8">
        <v>45724</v>
      </c>
      <c r="H1835" s="6">
        <v>14.78</v>
      </c>
      <c r="I1835" s="6" cm="1">
        <f t="array" ref="I1835">IFERROR(VALUE(TRIM(LEFT(E1835,MIN(FIND({" ";"g";"k";"m";"o"},E1835&amp;" gkmo"))-1))),0)</f>
        <v>0</v>
      </c>
      <c r="J1835" s="6" t="str" cm="1">
        <f t="array" ref="J1835">IFERROR(TRIM(MID(E1835,MIN(FIND({" ";"g";"k";"m";"o"},E1835&amp;" gkmo")),10)),"unknown")</f>
        <v/>
      </c>
      <c r="K1835" s="6" t="str">
        <f t="shared" si="112"/>
        <v>unknown</v>
      </c>
      <c r="L1835" s="6" t="str">
        <f t="shared" si="113"/>
        <v>Unknown</v>
      </c>
      <c r="M1835" s="6" t="str">
        <f t="shared" si="114"/>
        <v>Créxy</v>
      </c>
      <c r="N1835" s="6" t="str">
        <f t="shared" si="115"/>
        <v>Senegal, Morocco</v>
      </c>
    </row>
    <row r="1836" spans="1:14" x14ac:dyDescent="0.25">
      <c r="A1836" s="6" t="s">
        <v>4463</v>
      </c>
      <c r="B1836" s="6">
        <v>10754</v>
      </c>
      <c r="C1836" s="6" t="s">
        <v>3866</v>
      </c>
      <c r="D1836" s="7" t="s">
        <v>726</v>
      </c>
      <c r="E1836" s="6" t="s">
        <v>3974</v>
      </c>
      <c r="F1836" s="6" t="s">
        <v>2973</v>
      </c>
      <c r="G1836" s="8">
        <v>45832</v>
      </c>
      <c r="H1836" s="6">
        <v>2.17</v>
      </c>
      <c r="I1836" s="6" cm="1">
        <f t="array" ref="I1836">IFERROR(VALUE(TRIM(LEFT(E1836,MIN(FIND({" ";"g";"k";"m";"o"},E1836&amp;" gkmo"))-1))),0)</f>
        <v>24</v>
      </c>
      <c r="J1836" s="6" t="str" cm="1">
        <f t="array" ref="J1836">IFERROR(TRIM(MID(E1836,MIN(FIND({" ";"g";"k";"m";"o"},E1836&amp;" gkmo")),10)),"unknown")</f>
        <v>g</v>
      </c>
      <c r="K1836" s="6" t="str">
        <f t="shared" si="112"/>
        <v>g</v>
      </c>
      <c r="L1836" s="6" t="str">
        <f t="shared" si="113"/>
        <v>Walkers</v>
      </c>
      <c r="M1836" s="6" t="str">
        <f t="shared" si="114"/>
        <v>Salt &amp; Shake Potato Crisps</v>
      </c>
      <c r="N1836" s="6" t="str">
        <f t="shared" si="115"/>
        <v>Gb</v>
      </c>
    </row>
    <row r="1837" spans="1:14" x14ac:dyDescent="0.25">
      <c r="A1837" s="6" t="s">
        <v>4464</v>
      </c>
      <c r="B1837" s="6">
        <v>11802</v>
      </c>
      <c r="C1837" s="6" t="s">
        <v>4465</v>
      </c>
      <c r="D1837" s="7" t="s">
        <v>4466</v>
      </c>
      <c r="E1837" s="6" t="s">
        <v>4467</v>
      </c>
      <c r="F1837" s="6" t="s">
        <v>139</v>
      </c>
      <c r="G1837" s="8">
        <v>45782</v>
      </c>
      <c r="H1837" s="6">
        <v>12</v>
      </c>
      <c r="I1837" s="6" cm="1">
        <f t="array" ref="I1837">IFERROR(VALUE(TRIM(LEFT(E1837,MIN(FIND({" ";"g";"k";"m";"o"},E1837&amp;" gkmo"))-1))),0)</f>
        <v>280</v>
      </c>
      <c r="J1837" s="6" t="str" cm="1">
        <f t="array" ref="J1837">IFERROR(TRIM(MID(E1837,MIN(FIND({" ";"g";"k";"m";"o"},E1837&amp;" gkmo")),10)),"unknown")</f>
        <v>g (8 x 35</v>
      </c>
      <c r="K1837" s="6" t="str">
        <f t="shared" si="112"/>
        <v>g</v>
      </c>
      <c r="L1837" s="6" t="str">
        <f t="shared" si="113"/>
        <v>Brioches Fonteneau</v>
      </c>
      <c r="M1837" s="6" t="str">
        <f t="shared" si="114"/>
        <v>Pains Au Lait</v>
      </c>
      <c r="N1837" s="6" t="str">
        <f t="shared" si="115"/>
        <v>France</v>
      </c>
    </row>
    <row r="1838" spans="1:14" x14ac:dyDescent="0.25">
      <c r="A1838" s="6" t="s">
        <v>4468</v>
      </c>
      <c r="B1838" s="6">
        <v>7480</v>
      </c>
      <c r="C1838" s="6" t="s">
        <v>4469</v>
      </c>
      <c r="D1838" s="7" t="s">
        <v>1205</v>
      </c>
      <c r="E1838" s="6" t="s">
        <v>423</v>
      </c>
      <c r="F1838" s="6" t="s">
        <v>2973</v>
      </c>
      <c r="G1838" s="8">
        <v>45460</v>
      </c>
      <c r="H1838" s="6">
        <v>11.23</v>
      </c>
      <c r="I1838" s="6" cm="1">
        <f t="array" ref="I1838">IFERROR(VALUE(TRIM(LEFT(E1838,MIN(FIND({" ";"g";"k";"m";"o"},E1838&amp;" gkmo"))-1))),0)</f>
        <v>125</v>
      </c>
      <c r="J1838" s="6" t="str" cm="1">
        <f t="array" ref="J1838">IFERROR(TRIM(MID(E1838,MIN(FIND({" ";"g";"k";"m";"o"},E1838&amp;" gkmo")),10)),"unknown")</f>
        <v>g</v>
      </c>
      <c r="K1838" s="6" t="str">
        <f t="shared" si="112"/>
        <v>g</v>
      </c>
      <c r="L1838" s="6" t="str">
        <f t="shared" si="113"/>
        <v>Savour Bakes</v>
      </c>
      <c r="M1838" s="6" t="str">
        <f t="shared" si="114"/>
        <v>Thins Cheddar &amp; Pepper</v>
      </c>
      <c r="N1838" s="6" t="str">
        <f t="shared" si="115"/>
        <v>Gb</v>
      </c>
    </row>
    <row r="1839" spans="1:14" x14ac:dyDescent="0.25">
      <c r="A1839" s="6" t="s">
        <v>4470</v>
      </c>
      <c r="B1839" s="6">
        <v>9705</v>
      </c>
      <c r="C1839" s="6" t="s">
        <v>4471</v>
      </c>
      <c r="D1839" s="7" t="s">
        <v>4472</v>
      </c>
      <c r="E1839" s="6" t="s">
        <v>4473</v>
      </c>
      <c r="F1839" s="6" t="s">
        <v>139</v>
      </c>
      <c r="G1839" s="8">
        <v>45989</v>
      </c>
      <c r="H1839" s="6">
        <v>21.12</v>
      </c>
      <c r="I1839" s="6" cm="1">
        <f t="array" ref="I1839">IFERROR(VALUE(TRIM(LEFT(E1839,MIN(FIND({" ";"g";"k";"m";"o"},E1839&amp;" gkmo"))-1))),0)</f>
        <v>3</v>
      </c>
      <c r="J1839" s="6" t="str" cm="1">
        <f t="array" ref="J1839">IFERROR(TRIM(MID(E1839,MIN(FIND({" ";"g";"k";"m";"o"},E1839&amp;" gkmo")),10)),"unknown")</f>
        <v>x 30 g</v>
      </c>
      <c r="K1839" s="6" t="str">
        <f t="shared" si="112"/>
        <v>g</v>
      </c>
      <c r="L1839" s="6" t="str">
        <f t="shared" si="113"/>
        <v>2Keep</v>
      </c>
      <c r="M1839" s="6" t="str">
        <f t="shared" si="114"/>
        <v>All Natural Nut Bar</v>
      </c>
      <c r="N1839" s="6" t="str">
        <f t="shared" si="115"/>
        <v>France</v>
      </c>
    </row>
    <row r="1840" spans="1:14" x14ac:dyDescent="0.25">
      <c r="A1840" s="6" t="s">
        <v>4474</v>
      </c>
      <c r="B1840" s="6">
        <v>12827</v>
      </c>
      <c r="C1840" s="6" t="s">
        <v>7545</v>
      </c>
      <c r="D1840" s="7" t="s">
        <v>600</v>
      </c>
      <c r="E1840" s="6" t="s">
        <v>10</v>
      </c>
      <c r="F1840" s="6" t="s">
        <v>139</v>
      </c>
      <c r="G1840" s="8">
        <v>45462</v>
      </c>
      <c r="H1840" s="6">
        <v>4.2</v>
      </c>
      <c r="I1840" s="6" cm="1">
        <f t="array" ref="I1840">IFERROR(VALUE(TRIM(LEFT(E1840,MIN(FIND({" ";"g";"k";"m";"o"},E1840&amp;" gkmo"))-1))),0)</f>
        <v>100</v>
      </c>
      <c r="J1840" s="6" t="str" cm="1">
        <f t="array" ref="J1840">IFERROR(TRIM(MID(E1840,MIN(FIND({" ";"g";"k";"m";"o"},E1840&amp;" gkmo")),10)),"unknown")</f>
        <v>g</v>
      </c>
      <c r="K1840" s="6" t="str">
        <f t="shared" si="112"/>
        <v>g</v>
      </c>
      <c r="L1840" s="6" t="str">
        <f t="shared" si="113"/>
        <v>Ethiquable</v>
      </c>
      <c r="M1840" s="6" t="str">
        <f t="shared" si="114"/>
        <v>Gianduja Noir Éclats De Noisettes</v>
      </c>
      <c r="N1840" s="6" t="str">
        <f t="shared" si="115"/>
        <v>France</v>
      </c>
    </row>
    <row r="1841" spans="1:14" x14ac:dyDescent="0.25">
      <c r="A1841" s="6" t="s">
        <v>4475</v>
      </c>
      <c r="B1841" s="6">
        <v>9151</v>
      </c>
      <c r="C1841" s="6" t="s">
        <v>4476</v>
      </c>
      <c r="D1841" s="7" t="s">
        <v>4477</v>
      </c>
      <c r="E1841" s="6" t="s">
        <v>4478</v>
      </c>
      <c r="F1841" s="6" t="s">
        <v>2682</v>
      </c>
      <c r="G1841" s="8">
        <v>45355</v>
      </c>
      <c r="H1841" s="6">
        <v>19.62</v>
      </c>
      <c r="I1841" s="6" cm="1">
        <f t="array" ref="I1841">IFERROR(VALUE(TRIM(LEFT(E1841,MIN(FIND({" ";"g";"k";"m";"o"},E1841&amp;" gkmo"))-1))),0)</f>
        <v>480</v>
      </c>
      <c r="J1841" s="6" t="str" cm="1">
        <f t="array" ref="J1841">IFERROR(TRIM(MID(E1841,MIN(FIND({" ";"g";"k";"m";"o"},E1841&amp;" gkmo")),10)),"unknown")</f>
        <v>g</v>
      </c>
      <c r="K1841" s="6" t="str">
        <f t="shared" si="112"/>
        <v>g</v>
      </c>
      <c r="L1841" s="6" t="str">
        <f t="shared" si="113"/>
        <v>That'S It.</v>
      </c>
      <c r="M1841" s="6" t="str">
        <f t="shared" si="114"/>
        <v>Applies + Blueberries Mini Fruit Bar</v>
      </c>
      <c r="N1841" s="6" t="str">
        <f t="shared" si="115"/>
        <v>United States</v>
      </c>
    </row>
    <row r="1842" spans="1:14" x14ac:dyDescent="0.25">
      <c r="A1842" s="6" t="s">
        <v>4479</v>
      </c>
      <c r="B1842" s="6">
        <v>5604</v>
      </c>
      <c r="C1842" s="6" t="s">
        <v>4480</v>
      </c>
      <c r="D1842" s="7" t="s">
        <v>1918</v>
      </c>
      <c r="E1842" s="6" t="s">
        <v>84</v>
      </c>
      <c r="F1842" s="6" t="s">
        <v>7960</v>
      </c>
      <c r="G1842" s="8">
        <v>45878</v>
      </c>
      <c r="H1842" s="6">
        <v>19.420000000000002</v>
      </c>
      <c r="I1842" s="6" cm="1">
        <f t="array" ref="I1842">IFERROR(VALUE(TRIM(LEFT(E1842,MIN(FIND({" ";"g";"k";"m";"o"},E1842&amp;" gkmo"))-1))),0)</f>
        <v>85</v>
      </c>
      <c r="J1842" s="6" t="str" cm="1">
        <f t="array" ref="J1842">IFERROR(TRIM(MID(E1842,MIN(FIND({" ";"g";"k";"m";"o"},E1842&amp;" gkmo")),10)),"unknown")</f>
        <v>g</v>
      </c>
      <c r="K1842" s="6" t="str">
        <f t="shared" si="112"/>
        <v>g</v>
      </c>
      <c r="L1842" s="6" t="str">
        <f t="shared" si="113"/>
        <v>Trapa</v>
      </c>
      <c r="M1842" s="6" t="str">
        <f t="shared" si="114"/>
        <v>85% Cacao Collection</v>
      </c>
      <c r="N1842" s="6" t="str">
        <f t="shared" si="115"/>
        <v>Spain, Morocco</v>
      </c>
    </row>
    <row r="1843" spans="1:14" x14ac:dyDescent="0.25">
      <c r="A1843" s="6" t="s">
        <v>4481</v>
      </c>
      <c r="B1843" s="6">
        <v>10133</v>
      </c>
      <c r="C1843" s="6" t="s">
        <v>4482</v>
      </c>
      <c r="D1843" s="7" t="s">
        <v>452</v>
      </c>
      <c r="E1843" s="6" t="s">
        <v>64</v>
      </c>
      <c r="F1843" s="6" t="s">
        <v>1185</v>
      </c>
      <c r="G1843" s="8">
        <v>45818</v>
      </c>
      <c r="H1843" s="6">
        <v>6.78</v>
      </c>
      <c r="I1843" s="6" cm="1">
        <f t="array" ref="I1843">IFERROR(VALUE(TRIM(LEFT(E1843,MIN(FIND({" ";"g";"k";"m";"o"},E1843&amp;" gkmo"))-1))),0)</f>
        <v>150</v>
      </c>
      <c r="J1843" s="6" t="str" cm="1">
        <f t="array" ref="J1843">IFERROR(TRIM(MID(E1843,MIN(FIND({" ";"g";"k";"m";"o"},E1843&amp;" gkmo")),10)),"unknown")</f>
        <v>g</v>
      </c>
      <c r="K1843" s="6" t="str">
        <f t="shared" si="112"/>
        <v>g</v>
      </c>
      <c r="L1843" s="6" t="str">
        <f t="shared" si="113"/>
        <v>Hacendado</v>
      </c>
      <c r="M1843" s="6" t="str">
        <f t="shared" si="114"/>
        <v>Nachos Tex-Mex</v>
      </c>
      <c r="N1843" s="6" t="str">
        <f t="shared" si="115"/>
        <v>Spain</v>
      </c>
    </row>
    <row r="1844" spans="1:14" x14ac:dyDescent="0.25">
      <c r="A1844" s="6" t="s">
        <v>4483</v>
      </c>
      <c r="B1844" s="6">
        <v>13073</v>
      </c>
      <c r="C1844" s="6" t="s">
        <v>4484</v>
      </c>
      <c r="D1844" s="7" t="s">
        <v>7017</v>
      </c>
      <c r="E1844" s="6"/>
      <c r="F1844" s="6" t="s">
        <v>177</v>
      </c>
      <c r="G1844" s="8">
        <v>45895</v>
      </c>
      <c r="H1844" s="6">
        <v>3.93</v>
      </c>
      <c r="I1844" s="6" cm="1">
        <f t="array" ref="I1844">IFERROR(VALUE(TRIM(LEFT(E1844,MIN(FIND({" ";"g";"k";"m";"o"},E1844&amp;" gkmo"))-1))),0)</f>
        <v>0</v>
      </c>
      <c r="J1844" s="6" t="str" cm="1">
        <f t="array" ref="J1844">IFERROR(TRIM(MID(E1844,MIN(FIND({" ";"g";"k";"m";"o"},E1844&amp;" gkmo")),10)),"unknown")</f>
        <v/>
      </c>
      <c r="K1844" s="6" t="str">
        <f t="shared" si="112"/>
        <v>unknown</v>
      </c>
      <c r="L1844" s="6" t="str">
        <f t="shared" si="113"/>
        <v>Unknown</v>
      </c>
      <c r="M1844" s="6" t="str">
        <f t="shared" si="114"/>
        <v>Organic Peruvian 70% Cocoa Dark Chocolate</v>
      </c>
      <c r="N1844" s="6" t="str">
        <f t="shared" si="115"/>
        <v>United Kingdom</v>
      </c>
    </row>
    <row r="1845" spans="1:14" x14ac:dyDescent="0.25">
      <c r="A1845" s="6" t="s">
        <v>4485</v>
      </c>
      <c r="B1845" s="6">
        <v>11199</v>
      </c>
      <c r="C1845" s="6" t="s">
        <v>4486</v>
      </c>
      <c r="D1845" s="7" t="s">
        <v>150</v>
      </c>
      <c r="E1845" s="6" t="s">
        <v>156</v>
      </c>
      <c r="F1845" s="6" t="s">
        <v>7947</v>
      </c>
      <c r="G1845" s="8">
        <v>45357</v>
      </c>
      <c r="H1845" s="6">
        <v>13.27</v>
      </c>
      <c r="I1845" s="6" cm="1">
        <f t="array" ref="I1845">IFERROR(VALUE(TRIM(LEFT(E1845,MIN(FIND({" ";"g";"k";"m";"o"},E1845&amp;" gkmo"))-1))),0)</f>
        <v>500</v>
      </c>
      <c r="J1845" s="6" t="str" cm="1">
        <f t="array" ref="J1845">IFERROR(TRIM(MID(E1845,MIN(FIND({" ";"g";"k";"m";"o"},E1845&amp;" gkmo")),10)),"unknown")</f>
        <v>g</v>
      </c>
      <c r="K1845" s="6" t="str">
        <f t="shared" si="112"/>
        <v>g</v>
      </c>
      <c r="L1845" s="6" t="str">
        <f t="shared" si="113"/>
        <v>Alesto</v>
      </c>
      <c r="M1845" s="6" t="str">
        <f t="shared" si="114"/>
        <v>Pistachios Roasted &amp; Salted</v>
      </c>
      <c r="N1845" s="6" t="str">
        <f t="shared" si="115"/>
        <v>Italy, Romania</v>
      </c>
    </row>
    <row r="1846" spans="1:14" x14ac:dyDescent="0.25">
      <c r="A1846" s="6" t="s">
        <v>4487</v>
      </c>
      <c r="B1846" s="6">
        <v>9333</v>
      </c>
      <c r="C1846" s="6" t="s">
        <v>7295</v>
      </c>
      <c r="D1846" s="7" t="s">
        <v>7017</v>
      </c>
      <c r="E1846" s="6"/>
      <c r="F1846" s="6" t="s">
        <v>139</v>
      </c>
      <c r="G1846" s="8">
        <v>45585</v>
      </c>
      <c r="H1846" s="6">
        <v>13.54</v>
      </c>
      <c r="I1846" s="6" cm="1">
        <f t="array" ref="I1846">IFERROR(VALUE(TRIM(LEFT(E1846,MIN(FIND({" ";"g";"k";"m";"o"},E1846&amp;" gkmo"))-1))),0)</f>
        <v>0</v>
      </c>
      <c r="J1846" s="6" t="str" cm="1">
        <f t="array" ref="J1846">IFERROR(TRIM(MID(E1846,MIN(FIND({" ";"g";"k";"m";"o"},E1846&amp;" gkmo")),10)),"unknown")</f>
        <v/>
      </c>
      <c r="K1846" s="6" t="str">
        <f t="shared" si="112"/>
        <v>unknown</v>
      </c>
      <c r="L1846" s="6" t="str">
        <f t="shared" si="113"/>
        <v>Unknown</v>
      </c>
      <c r="M1846" s="6" t="str">
        <f t="shared" si="114"/>
        <v>Chocolat 100% République Dominicaine</v>
      </c>
      <c r="N1846" s="6" t="str">
        <f t="shared" si="115"/>
        <v>France</v>
      </c>
    </row>
    <row r="1847" spans="1:14" x14ac:dyDescent="0.25">
      <c r="A1847" s="6" t="s">
        <v>4488</v>
      </c>
      <c r="B1847" s="6">
        <v>12291</v>
      </c>
      <c r="C1847" s="6" t="s">
        <v>4489</v>
      </c>
      <c r="D1847" s="7" t="s">
        <v>1716</v>
      </c>
      <c r="E1847" s="6" t="s">
        <v>4490</v>
      </c>
      <c r="F1847" s="6" t="s">
        <v>177</v>
      </c>
      <c r="G1847" s="8">
        <v>45785</v>
      </c>
      <c r="H1847" s="6">
        <v>23.78</v>
      </c>
      <c r="I1847" s="6" cm="1">
        <f t="array" ref="I1847">IFERROR(VALUE(TRIM(LEFT(E1847,MIN(FIND({" ";"g";"k";"m";"o"},E1847&amp;" gkmo"))-1))),0)</f>
        <v>225</v>
      </c>
      <c r="J1847" s="6" t="str" cm="1">
        <f t="array" ref="J1847">IFERROR(TRIM(MID(E1847,MIN(FIND({" ";"g";"k";"m";"o"},E1847&amp;" gkmo")),10)),"unknown")</f>
        <v>grams</v>
      </c>
      <c r="K1847" s="6" t="str">
        <f t="shared" si="112"/>
        <v>g</v>
      </c>
      <c r="L1847" s="6" t="str">
        <f t="shared" si="113"/>
        <v>Kp</v>
      </c>
      <c r="M1847" s="6" t="str">
        <f t="shared" si="114"/>
        <v>Salt And Vinegar Flavour Peanuts</v>
      </c>
      <c r="N1847" s="6" t="str">
        <f t="shared" si="115"/>
        <v>United Kingdom</v>
      </c>
    </row>
    <row r="1848" spans="1:14" x14ac:dyDescent="0.25">
      <c r="A1848" s="6" t="s">
        <v>4491</v>
      </c>
      <c r="B1848" s="6">
        <v>13553</v>
      </c>
      <c r="C1848" s="6" t="s">
        <v>1601</v>
      </c>
      <c r="D1848" s="7" t="s">
        <v>854</v>
      </c>
      <c r="E1848" s="6" t="s">
        <v>39</v>
      </c>
      <c r="F1848" s="6" t="s">
        <v>139</v>
      </c>
      <c r="G1848" s="8">
        <v>45391</v>
      </c>
      <c r="H1848" s="6">
        <v>4.21</v>
      </c>
      <c r="I1848" s="6" cm="1">
        <f t="array" ref="I1848">IFERROR(VALUE(TRIM(LEFT(E1848,MIN(FIND({" ";"g";"k";"m";"o"},E1848&amp;" gkmo"))-1))),0)</f>
        <v>150</v>
      </c>
      <c r="J1848" s="6" t="str" cm="1">
        <f t="array" ref="J1848">IFERROR(TRIM(MID(E1848,MIN(FIND({" ";"g";"k";"m";"o"},E1848&amp;" gkmo")),10)),"unknown")</f>
        <v>g</v>
      </c>
      <c r="K1848" s="6" t="str">
        <f t="shared" si="112"/>
        <v>g</v>
      </c>
      <c r="L1848" s="6" t="str">
        <f t="shared" si="113"/>
        <v>Carrefour</v>
      </c>
      <c r="M1848" s="6" t="str">
        <f t="shared" si="114"/>
        <v>Chips Paysanne Nature</v>
      </c>
      <c r="N1848" s="6" t="str">
        <f t="shared" si="115"/>
        <v>France</v>
      </c>
    </row>
    <row r="1849" spans="1:14" x14ac:dyDescent="0.25">
      <c r="A1849" s="6" t="s">
        <v>4492</v>
      </c>
      <c r="B1849" s="6">
        <v>9459</v>
      </c>
      <c r="C1849" s="6" t="s">
        <v>4493</v>
      </c>
      <c r="D1849" s="7" t="s">
        <v>344</v>
      </c>
      <c r="E1849" s="6" t="s">
        <v>87</v>
      </c>
      <c r="F1849" s="6" t="s">
        <v>860</v>
      </c>
      <c r="G1849" s="8">
        <v>45569</v>
      </c>
      <c r="H1849" s="6">
        <v>12.5</v>
      </c>
      <c r="I1849" s="6" cm="1">
        <f t="array" ref="I1849">IFERROR(VALUE(TRIM(LEFT(E1849,MIN(FIND({" ";"g";"k";"m";"o"},E1849&amp;" gkmo"))-1))),0)</f>
        <v>36</v>
      </c>
      <c r="J1849" s="6" t="str" cm="1">
        <f t="array" ref="J1849">IFERROR(TRIM(MID(E1849,MIN(FIND({" ";"g";"k";"m";"o"},E1849&amp;" gkmo")),10)),"unknown")</f>
        <v>g</v>
      </c>
      <c r="K1849" s="6" t="str">
        <f t="shared" si="112"/>
        <v>g</v>
      </c>
      <c r="L1849" s="6" t="str">
        <f t="shared" si="113"/>
        <v>Bimo</v>
      </c>
      <c r="M1849" s="6" t="str">
        <f t="shared" si="114"/>
        <v>Merendina Double Choco 36G</v>
      </c>
      <c r="N1849" s="6" t="str">
        <f t="shared" si="115"/>
        <v>Ma</v>
      </c>
    </row>
    <row r="1850" spans="1:14" x14ac:dyDescent="0.25">
      <c r="A1850" s="6" t="s">
        <v>4494</v>
      </c>
      <c r="B1850" s="6">
        <v>8945</v>
      </c>
      <c r="C1850" s="6" t="s">
        <v>4495</v>
      </c>
      <c r="D1850" s="7" t="s">
        <v>4496</v>
      </c>
      <c r="E1850" s="6" t="s">
        <v>4497</v>
      </c>
      <c r="F1850" s="6" t="s">
        <v>3860</v>
      </c>
      <c r="G1850" s="8">
        <v>45519</v>
      </c>
      <c r="H1850" s="6">
        <v>9.7799999999999994</v>
      </c>
      <c r="I1850" s="6" cm="1">
        <f t="array" ref="I1850">IFERROR(VALUE(TRIM(LEFT(E1850,MIN(FIND({" ";"g";"k";"m";"o"},E1850&amp;" gkmo"))-1))),0)</f>
        <v>2</v>
      </c>
      <c r="J1850" s="6" t="str" cm="1">
        <f t="array" ref="J1850">IFERROR(TRIM(MID(E1850,MIN(FIND({" ";"g";"k";"m";"o"},E1850&amp;" gkmo")),10)),"unknown")</f>
        <v>x 10 oz</v>
      </c>
      <c r="K1850" s="6" t="str">
        <f t="shared" si="112"/>
        <v>unknown</v>
      </c>
      <c r="L1850" s="6" t="str">
        <f t="shared" si="113"/>
        <v>Simple Mills</v>
      </c>
      <c r="M1850" s="6" t="str">
        <f t="shared" si="114"/>
        <v>Almond Flour Crackers Fine Ground Sea Salt</v>
      </c>
      <c r="N1850" s="6" t="str">
        <f t="shared" si="115"/>
        <v>United States, World</v>
      </c>
    </row>
    <row r="1851" spans="1:14" x14ac:dyDescent="0.25">
      <c r="A1851" s="6" t="s">
        <v>4498</v>
      </c>
      <c r="B1851" s="6">
        <v>8833</v>
      </c>
      <c r="C1851" s="6" t="s">
        <v>4499</v>
      </c>
      <c r="D1851" s="7" t="s">
        <v>3763</v>
      </c>
      <c r="E1851" s="6" t="s">
        <v>120</v>
      </c>
      <c r="F1851" s="6" t="s">
        <v>2973</v>
      </c>
      <c r="G1851" s="8">
        <v>45359</v>
      </c>
      <c r="H1851" s="6">
        <v>19.309999999999999</v>
      </c>
      <c r="I1851" s="6" cm="1">
        <f t="array" ref="I1851">IFERROR(VALUE(TRIM(LEFT(E1851,MIN(FIND({" ";"g";"k";"m";"o"},E1851&amp;" gkmo"))-1))),0)</f>
        <v>210</v>
      </c>
      <c r="J1851" s="6" t="str" cm="1">
        <f t="array" ref="J1851">IFERROR(TRIM(MID(E1851,MIN(FIND({" ";"g";"k";"m";"o"},E1851&amp;" gkmo")),10)),"unknown")</f>
        <v>g</v>
      </c>
      <c r="K1851" s="6" t="str">
        <f t="shared" si="112"/>
        <v>g</v>
      </c>
      <c r="L1851" s="6" t="str">
        <f t="shared" si="113"/>
        <v>Morrisons</v>
      </c>
      <c r="M1851" s="6" t="str">
        <f t="shared" si="114"/>
        <v>All Butter Shortbread Fingers</v>
      </c>
      <c r="N1851" s="6" t="str">
        <f t="shared" si="115"/>
        <v>Gb</v>
      </c>
    </row>
    <row r="1852" spans="1:14" x14ac:dyDescent="0.25">
      <c r="A1852" s="6" t="s">
        <v>4500</v>
      </c>
      <c r="B1852" s="6">
        <v>14345</v>
      </c>
      <c r="C1852" s="6" t="s">
        <v>4501</v>
      </c>
      <c r="D1852" s="7" t="s">
        <v>488</v>
      </c>
      <c r="E1852" s="6"/>
      <c r="F1852" s="6" t="s">
        <v>139</v>
      </c>
      <c r="G1852" s="8">
        <v>45481</v>
      </c>
      <c r="H1852" s="6">
        <v>14.69</v>
      </c>
      <c r="I1852" s="6" cm="1">
        <f t="array" ref="I1852">IFERROR(VALUE(TRIM(LEFT(E1852,MIN(FIND({" ";"g";"k";"m";"o"},E1852&amp;" gkmo"))-1))),0)</f>
        <v>0</v>
      </c>
      <c r="J1852" s="6" t="str" cm="1">
        <f t="array" ref="J1852">IFERROR(TRIM(MID(E1852,MIN(FIND({" ";"g";"k";"m";"o"},E1852&amp;" gkmo")),10)),"unknown")</f>
        <v/>
      </c>
      <c r="K1852" s="6" t="str">
        <f t="shared" si="112"/>
        <v>unknown</v>
      </c>
      <c r="L1852" s="6" t="str">
        <f t="shared" si="113"/>
        <v>Bonne Maman</v>
      </c>
      <c r="M1852" s="6" t="str">
        <f t="shared" si="114"/>
        <v>La Madelein Coeur Chocolat</v>
      </c>
      <c r="N1852" s="6" t="str">
        <f t="shared" si="115"/>
        <v>France</v>
      </c>
    </row>
    <row r="1853" spans="1:14" x14ac:dyDescent="0.25">
      <c r="A1853" s="6" t="s">
        <v>4502</v>
      </c>
      <c r="B1853" s="6">
        <v>7316</v>
      </c>
      <c r="C1853" s="6" t="s">
        <v>8345</v>
      </c>
      <c r="D1853" s="7" t="s">
        <v>1703</v>
      </c>
      <c r="E1853" s="6" t="s">
        <v>1312</v>
      </c>
      <c r="F1853" s="6" t="s">
        <v>139</v>
      </c>
      <c r="G1853" s="8">
        <v>45932</v>
      </c>
      <c r="H1853" s="6">
        <v>23.58</v>
      </c>
      <c r="I1853" s="6" cm="1">
        <f t="array" ref="I1853">IFERROR(VALUE(TRIM(LEFT(E1853,MIN(FIND({" ";"g";"k";"m";"o"},E1853&amp;" gkmo"))-1))),0)</f>
        <v>50</v>
      </c>
      <c r="J1853" s="6" t="str" cm="1">
        <f t="array" ref="J1853">IFERROR(TRIM(MID(E1853,MIN(FIND({" ";"g";"k";"m";"o"},E1853&amp;" gkmo")),10)),"unknown")</f>
        <v>g</v>
      </c>
      <c r="K1853" s="6" t="str">
        <f t="shared" si="112"/>
        <v>g</v>
      </c>
      <c r="L1853" s="6" t="str">
        <f t="shared" si="113"/>
        <v>Ricola</v>
      </c>
      <c r="M1853" s="6" t="str">
        <f t="shared" si="114"/>
        <v>Bonbons Aux Plantes Des Alpes Switzerlands Cassis</v>
      </c>
      <c r="N1853" s="6" t="str">
        <f t="shared" si="115"/>
        <v>France</v>
      </c>
    </row>
    <row r="1854" spans="1:14" x14ac:dyDescent="0.25">
      <c r="A1854" s="6" t="s">
        <v>4503</v>
      </c>
      <c r="B1854" s="6">
        <v>12736</v>
      </c>
      <c r="C1854" s="6" t="s">
        <v>4504</v>
      </c>
      <c r="D1854" s="7" t="s">
        <v>1944</v>
      </c>
      <c r="E1854" s="6" t="s">
        <v>10</v>
      </c>
      <c r="F1854" s="6" t="s">
        <v>8287</v>
      </c>
      <c r="G1854" s="8">
        <v>45871</v>
      </c>
      <c r="H1854" s="6">
        <v>21.92</v>
      </c>
      <c r="I1854" s="6" cm="1">
        <f t="array" ref="I1854">IFERROR(VALUE(TRIM(LEFT(E1854,MIN(FIND({" ";"g";"k";"m";"o"},E1854&amp;" gkmo"))-1))),0)</f>
        <v>100</v>
      </c>
      <c r="J1854" s="6" t="str" cm="1">
        <f t="array" ref="J1854">IFERROR(TRIM(MID(E1854,MIN(FIND({" ";"g";"k";"m";"o"},E1854&amp;" gkmo")),10)),"unknown")</f>
        <v>g</v>
      </c>
      <c r="K1854" s="6" t="str">
        <f t="shared" si="112"/>
        <v>g</v>
      </c>
      <c r="L1854" s="6" t="str">
        <f t="shared" si="113"/>
        <v>Carrefour Bio</v>
      </c>
      <c r="M1854" s="6" t="str">
        <f t="shared" si="114"/>
        <v>Noir 80% Cacao Equateur</v>
      </c>
      <c r="N1854" s="6" t="str">
        <f t="shared" si="115"/>
        <v>France, Morocco, Italie, Spain</v>
      </c>
    </row>
    <row r="1855" spans="1:14" x14ac:dyDescent="0.25">
      <c r="A1855" s="6" t="s">
        <v>4505</v>
      </c>
      <c r="B1855" s="6">
        <v>10033</v>
      </c>
      <c r="C1855" s="6" t="s">
        <v>4506</v>
      </c>
      <c r="D1855" s="7" t="s">
        <v>744</v>
      </c>
      <c r="E1855" s="6" t="s">
        <v>4507</v>
      </c>
      <c r="F1855" s="6" t="s">
        <v>139</v>
      </c>
      <c r="G1855" s="8">
        <v>45671</v>
      </c>
      <c r="H1855" s="6">
        <v>4.58</v>
      </c>
      <c r="I1855" s="6" cm="1">
        <f t="array" ref="I1855">IFERROR(VALUE(TRIM(LEFT(E1855,MIN(FIND({" ";"g";"k";"m";"o"},E1855&amp;" gkmo"))-1))),0)</f>
        <v>105</v>
      </c>
      <c r="J1855" s="6" t="str" cm="1">
        <f t="array" ref="J1855">IFERROR(TRIM(MID(E1855,MIN(FIND({" ";"g";"k";"m";"o"},E1855&amp;" gkmo")),10)),"unknown")</f>
        <v>g</v>
      </c>
      <c r="K1855" s="6" t="str">
        <f t="shared" si="112"/>
        <v>g</v>
      </c>
      <c r="L1855" s="6" t="str">
        <f t="shared" si="113"/>
        <v>Lu, Mondelez</v>
      </c>
      <c r="M1855" s="6" t="str">
        <f t="shared" si="114"/>
        <v>Guet Apens</v>
      </c>
      <c r="N1855" s="6" t="str">
        <f t="shared" si="115"/>
        <v>France</v>
      </c>
    </row>
    <row r="1856" spans="1:14" x14ac:dyDescent="0.25">
      <c r="A1856" s="6" t="s">
        <v>4508</v>
      </c>
      <c r="B1856" s="6">
        <v>5921</v>
      </c>
      <c r="C1856" s="6" t="s">
        <v>4509</v>
      </c>
      <c r="D1856" s="7" t="s">
        <v>3132</v>
      </c>
      <c r="E1856" s="6" t="s">
        <v>1790</v>
      </c>
      <c r="F1856" s="6" t="s">
        <v>139</v>
      </c>
      <c r="G1856" s="8">
        <v>45614</v>
      </c>
      <c r="H1856" s="6">
        <v>5.92</v>
      </c>
      <c r="I1856" s="6" cm="1">
        <f t="array" ref="I1856">IFERROR(VALUE(TRIM(LEFT(E1856,MIN(FIND({" ";"g";"k";"m";"o"},E1856&amp;" gkmo"))-1))),0)</f>
        <v>75</v>
      </c>
      <c r="J1856" s="6" t="str" cm="1">
        <f t="array" ref="J1856">IFERROR(TRIM(MID(E1856,MIN(FIND({" ";"g";"k";"m";"o"},E1856&amp;" gkmo")),10)),"unknown")</f>
        <v>g</v>
      </c>
      <c r="K1856" s="6" t="str">
        <f t="shared" si="112"/>
        <v>g</v>
      </c>
      <c r="L1856" s="6" t="str">
        <f t="shared" si="113"/>
        <v>Bodymass</v>
      </c>
      <c r="M1856" s="6" t="str">
        <f t="shared" si="114"/>
        <v>Protein Cookie</v>
      </c>
      <c r="N1856" s="6" t="str">
        <f t="shared" si="115"/>
        <v>France</v>
      </c>
    </row>
    <row r="1857" spans="1:14" x14ac:dyDescent="0.25">
      <c r="A1857" s="6" t="s">
        <v>4510</v>
      </c>
      <c r="B1857" s="6">
        <v>9024</v>
      </c>
      <c r="C1857" s="6" t="s">
        <v>4511</v>
      </c>
      <c r="D1857" s="7" t="s">
        <v>4512</v>
      </c>
      <c r="E1857" s="6" t="s">
        <v>4513</v>
      </c>
      <c r="F1857" s="6" t="s">
        <v>8107</v>
      </c>
      <c r="G1857" s="8">
        <v>45419</v>
      </c>
      <c r="H1857" s="6">
        <v>11.58</v>
      </c>
      <c r="I1857" s="6" cm="1">
        <f t="array" ref="I1857">IFERROR(VALUE(TRIM(LEFT(E1857,MIN(FIND({" ";"g";"k";"m";"o"},E1857&amp;" gkmo"))-1))),0)</f>
        <v>144</v>
      </c>
      <c r="J1857" s="6" t="str" cm="1">
        <f t="array" ref="J1857">IFERROR(TRIM(MID(E1857,MIN(FIND({" ";"g";"k";"m";"o"},E1857&amp;" gkmo")),10)),"unknown")</f>
        <v>g e</v>
      </c>
      <c r="K1857" s="6" t="str">
        <f t="shared" si="112"/>
        <v>g</v>
      </c>
      <c r="L1857" s="6" t="str">
        <f t="shared" si="113"/>
        <v>Vemondo</v>
      </c>
      <c r="M1857" s="6" t="str">
        <f t="shared" si="114"/>
        <v>Snack Balls Figues, Graines De Chia, Noix</v>
      </c>
      <c r="N1857" s="6" t="str">
        <f t="shared" si="115"/>
        <v>France, Germany, Austria</v>
      </c>
    </row>
    <row r="1858" spans="1:14" x14ac:dyDescent="0.25">
      <c r="A1858" s="6" t="s">
        <v>4514</v>
      </c>
      <c r="B1858" s="6">
        <v>11120</v>
      </c>
      <c r="C1858" s="6" t="s">
        <v>4515</v>
      </c>
      <c r="D1858" s="7" t="s">
        <v>1167</v>
      </c>
      <c r="E1858" s="6" t="s">
        <v>39</v>
      </c>
      <c r="F1858" s="6" t="s">
        <v>2973</v>
      </c>
      <c r="G1858" s="8">
        <v>45586</v>
      </c>
      <c r="H1858" s="6">
        <v>19.3</v>
      </c>
      <c r="I1858" s="6" cm="1">
        <f t="array" ref="I1858">IFERROR(VALUE(TRIM(LEFT(E1858,MIN(FIND({" ";"g";"k";"m";"o"},E1858&amp;" gkmo"))-1))),0)</f>
        <v>150</v>
      </c>
      <c r="J1858" s="6" t="str" cm="1">
        <f t="array" ref="J1858">IFERROR(TRIM(MID(E1858,MIN(FIND({" ";"g";"k";"m";"o"},E1858&amp;" gkmo")),10)),"unknown")</f>
        <v>g</v>
      </c>
      <c r="K1858" s="6" t="str">
        <f t="shared" ref="K1858:K1921" si="116">IF(E1858="","unknown",IF(OR(J1858="g",LEFT(J1858,1)="g"),"g",IF(OR(LEFT(J1858,2)="kg",LEFT(J1858,2)="ki"),"kg",IF(OR(LEFT(J1858,2)="ml",LEFT(J1858,1)="m"),"ml",IF(LEFT(J1858,1)="l","l",IF(ISNUMBER(SEARCH("g",E1858)),"g",IF(ISNUMBER(SEARCH("kg",E1858)),"kg",IF(ISNUMBER(SEARCH("ml",E1858)),"ml","unknown"))))))))</f>
        <v>g</v>
      </c>
      <c r="L1858" s="6" t="str">
        <f t="shared" ref="L1858:L1921" si="117">IF(D1858="","Unknown",PROPER(TRIM(D1858)))</f>
        <v>Lidl</v>
      </c>
      <c r="M1858" s="6" t="str">
        <f t="shared" ref="M1858:M1921" si="118">IF(C1858="Unknown","Unknown",PROPER(TRIM(C1858)))</f>
        <v>Lightly Salted Hand Cooked Potato Crisps</v>
      </c>
      <c r="N1858" s="6" t="str">
        <f t="shared" si="115"/>
        <v>Gb</v>
      </c>
    </row>
    <row r="1859" spans="1:14" x14ac:dyDescent="0.25">
      <c r="A1859" s="6" t="s">
        <v>4516</v>
      </c>
      <c r="B1859" s="6">
        <v>5375</v>
      </c>
      <c r="C1859" s="6" t="s">
        <v>4517</v>
      </c>
      <c r="D1859" s="7" t="s">
        <v>4518</v>
      </c>
      <c r="E1859" s="6" t="s">
        <v>297</v>
      </c>
      <c r="F1859" s="6" t="s">
        <v>8089</v>
      </c>
      <c r="G1859" s="8">
        <v>45962</v>
      </c>
      <c r="H1859" s="6">
        <v>20.79</v>
      </c>
      <c r="I1859" s="6" cm="1">
        <f t="array" ref="I1859">IFERROR(VALUE(TRIM(LEFT(E1859,MIN(FIND({" ";"g";"k";"m";"o"},E1859&amp;" gkmo"))-1))),0)</f>
        <v>360</v>
      </c>
      <c r="J1859" s="6" t="str" cm="1">
        <f t="array" ref="J1859">IFERROR(TRIM(MID(E1859,MIN(FIND({" ";"g";"k";"m";"o"},E1859&amp;" gkmo")),10)),"unknown")</f>
        <v>g</v>
      </c>
      <c r="K1859" s="6" t="str">
        <f t="shared" si="116"/>
        <v>g</v>
      </c>
      <c r="L1859" s="6" t="str">
        <f t="shared" si="117"/>
        <v>Tremarie</v>
      </c>
      <c r="M1859" s="6" t="str">
        <f t="shared" si="118"/>
        <v>Ancora Uno Frolla Con Cioccolato In Pezzi</v>
      </c>
      <c r="N1859" s="6" t="str">
        <f t="shared" ref="N1859:N1922" si="119">IF(F1859="","Unknown",PROPER(TRIM(F1859)))</f>
        <v>France, Italy</v>
      </c>
    </row>
    <row r="1860" spans="1:14" x14ac:dyDescent="0.25">
      <c r="A1860" s="6" t="s">
        <v>4519</v>
      </c>
      <c r="B1860" s="6">
        <v>11181</v>
      </c>
      <c r="C1860" s="6" t="s">
        <v>4520</v>
      </c>
      <c r="D1860" s="7" t="s">
        <v>4521</v>
      </c>
      <c r="E1860" s="6"/>
      <c r="F1860" s="6" t="s">
        <v>1986</v>
      </c>
      <c r="G1860" s="8">
        <v>45746</v>
      </c>
      <c r="H1860" s="6">
        <v>4.01</v>
      </c>
      <c r="I1860" s="6" cm="1">
        <f t="array" ref="I1860">IFERROR(VALUE(TRIM(LEFT(E1860,MIN(FIND({" ";"g";"k";"m";"o"},E1860&amp;" gkmo"))-1))),0)</f>
        <v>0</v>
      </c>
      <c r="J1860" s="6" t="str" cm="1">
        <f t="array" ref="J1860">IFERROR(TRIM(MID(E1860,MIN(FIND({" ";"g";"k";"m";"o"},E1860&amp;" gkmo")),10)),"unknown")</f>
        <v/>
      </c>
      <c r="K1860" s="6" t="str">
        <f t="shared" si="116"/>
        <v>unknown</v>
      </c>
      <c r="L1860" s="6" t="str">
        <f t="shared" si="117"/>
        <v>Mars Gmbh,Wrigleys</v>
      </c>
      <c r="M1860" s="6" t="str">
        <f t="shared" si="118"/>
        <v>Kaugummi Wrigley'S Extra Fresh Strong Mint (Blau) 70G Dose</v>
      </c>
      <c r="N1860" s="6" t="str">
        <f t="shared" si="119"/>
        <v>Deutschland</v>
      </c>
    </row>
    <row r="1861" spans="1:14" x14ac:dyDescent="0.25">
      <c r="A1861" s="6" t="s">
        <v>4522</v>
      </c>
      <c r="B1861" s="6">
        <v>9802</v>
      </c>
      <c r="C1861" s="6" t="s">
        <v>4523</v>
      </c>
      <c r="D1861" s="7" t="s">
        <v>4524</v>
      </c>
      <c r="E1861" s="6"/>
      <c r="F1861" s="6" t="s">
        <v>1774</v>
      </c>
      <c r="G1861" s="8">
        <v>45875</v>
      </c>
      <c r="H1861" s="6">
        <v>7.5</v>
      </c>
      <c r="I1861" s="6" cm="1">
        <f t="array" ref="I1861">IFERROR(VALUE(TRIM(LEFT(E1861,MIN(FIND({" ";"g";"k";"m";"o"},E1861&amp;" gkmo"))-1))),0)</f>
        <v>0</v>
      </c>
      <c r="J1861" s="6" t="str" cm="1">
        <f t="array" ref="J1861">IFERROR(TRIM(MID(E1861,MIN(FIND({" ";"g";"k";"m";"o"},E1861&amp;" gkmo")),10)),"unknown")</f>
        <v/>
      </c>
      <c r="K1861" s="6" t="str">
        <f t="shared" si="116"/>
        <v>unknown</v>
      </c>
      <c r="L1861" s="6" t="str">
        <f t="shared" si="117"/>
        <v>Mcvitie'S,Mcvities</v>
      </c>
      <c r="M1861" s="6" t="str">
        <f t="shared" si="118"/>
        <v>Jaffa Cakes</v>
      </c>
      <c r="N1861" s="6" t="str">
        <f t="shared" si="119"/>
        <v>Ireland,United Kingdom</v>
      </c>
    </row>
    <row r="1862" spans="1:14" x14ac:dyDescent="0.25">
      <c r="A1862" s="6" t="s">
        <v>4525</v>
      </c>
      <c r="B1862" s="6">
        <v>10300</v>
      </c>
      <c r="C1862" s="6" t="s">
        <v>4526</v>
      </c>
      <c r="D1862" s="7" t="s">
        <v>1434</v>
      </c>
      <c r="E1862" s="6">
        <v>160</v>
      </c>
      <c r="F1862" s="6" t="s">
        <v>5759</v>
      </c>
      <c r="G1862" s="8">
        <v>45353</v>
      </c>
      <c r="H1862" s="6">
        <v>7.65</v>
      </c>
      <c r="I1862" s="6" cm="1">
        <f t="array" ref="I1862">IFERROR(VALUE(TRIM(LEFT(E1862,MIN(FIND({" ";"g";"k";"m";"o"},E1862&amp;" gkmo"))-1))),0)</f>
        <v>160</v>
      </c>
      <c r="J1862" s="6" t="str" cm="1">
        <f t="array" ref="J1862">IFERROR(TRIM(MID(E1862,MIN(FIND({" ";"g";"k";"m";"o"},E1862&amp;" gkmo")),10)),"unknown")</f>
        <v/>
      </c>
      <c r="K1862" s="6" t="str">
        <f t="shared" si="116"/>
        <v>unknown</v>
      </c>
      <c r="L1862" s="6" t="str">
        <f t="shared" si="117"/>
        <v>Doritos</v>
      </c>
      <c r="M1862" s="6" t="str">
        <f t="shared" si="118"/>
        <v>Doritos Saveur Barbecue</v>
      </c>
      <c r="N1862" s="6" t="str">
        <f t="shared" si="119"/>
        <v>Fr</v>
      </c>
    </row>
    <row r="1863" spans="1:14" x14ac:dyDescent="0.25">
      <c r="A1863" s="6" t="s">
        <v>4527</v>
      </c>
      <c r="B1863" s="6">
        <v>14775</v>
      </c>
      <c r="C1863" s="6" t="s">
        <v>4528</v>
      </c>
      <c r="D1863" s="7" t="s">
        <v>1142</v>
      </c>
      <c r="E1863" s="6" t="s">
        <v>423</v>
      </c>
      <c r="F1863" s="6" t="s">
        <v>8108</v>
      </c>
      <c r="G1863" s="8">
        <v>45583</v>
      </c>
      <c r="H1863" s="6">
        <v>15.19</v>
      </c>
      <c r="I1863" s="6" cm="1">
        <f t="array" ref="I1863">IFERROR(VALUE(TRIM(LEFT(E1863,MIN(FIND({" ";"g";"k";"m";"o"},E1863&amp;" gkmo"))-1))),0)</f>
        <v>125</v>
      </c>
      <c r="J1863" s="6" t="str" cm="1">
        <f t="array" ref="J1863">IFERROR(TRIM(MID(E1863,MIN(FIND({" ";"g";"k";"m";"o"},E1863&amp;" gkmo")),10)),"unknown")</f>
        <v>g</v>
      </c>
      <c r="K1863" s="6" t="str">
        <f t="shared" si="116"/>
        <v>g</v>
      </c>
      <c r="L1863" s="6" t="str">
        <f t="shared" si="117"/>
        <v>J.D. Gross, Lidl</v>
      </c>
      <c r="M1863" s="6" t="str">
        <f t="shared" si="118"/>
        <v>Vollmilch Extra Cremig 30%</v>
      </c>
      <c r="N1863" s="6" t="str">
        <f t="shared" si="119"/>
        <v>France, Germany, United-Kingdom</v>
      </c>
    </row>
    <row r="1864" spans="1:14" x14ac:dyDescent="0.25">
      <c r="A1864" s="6" t="s">
        <v>4529</v>
      </c>
      <c r="B1864" s="6">
        <v>13278</v>
      </c>
      <c r="C1864" s="6" t="s">
        <v>4530</v>
      </c>
      <c r="D1864" s="7" t="s">
        <v>2328</v>
      </c>
      <c r="E1864" s="6"/>
      <c r="F1864" s="6" t="s">
        <v>8109</v>
      </c>
      <c r="G1864" s="8">
        <v>45620</v>
      </c>
      <c r="H1864" s="6">
        <v>11.44</v>
      </c>
      <c r="I1864" s="6" cm="1">
        <f t="array" ref="I1864">IFERROR(VALUE(TRIM(LEFT(E1864,MIN(FIND({" ";"g";"k";"m";"o"},E1864&amp;" gkmo"))-1))),0)</f>
        <v>0</v>
      </c>
      <c r="J1864" s="6" t="str" cm="1">
        <f t="array" ref="J1864">IFERROR(TRIM(MID(E1864,MIN(FIND({" ";"g";"k";"m";"o"},E1864&amp;" gkmo")),10)),"unknown")</f>
        <v/>
      </c>
      <c r="K1864" s="6" t="str">
        <f t="shared" si="116"/>
        <v>unknown</v>
      </c>
      <c r="L1864" s="6" t="str">
        <f t="shared" si="117"/>
        <v>Barcel, Takis</v>
      </c>
      <c r="M1864" s="6" t="str">
        <f t="shared" si="118"/>
        <v>Takis Queso Volcano 100G</v>
      </c>
      <c r="N1864" s="6" t="str">
        <f t="shared" si="119"/>
        <v>Germany, Ireland, France</v>
      </c>
    </row>
    <row r="1865" spans="1:14" x14ac:dyDescent="0.25">
      <c r="A1865" s="6" t="s">
        <v>4531</v>
      </c>
      <c r="B1865" s="6">
        <v>7767</v>
      </c>
      <c r="C1865" s="6" t="s">
        <v>7778</v>
      </c>
      <c r="D1865" s="7" t="s">
        <v>961</v>
      </c>
      <c r="E1865" s="6" t="s">
        <v>528</v>
      </c>
      <c r="F1865" s="6" t="s">
        <v>139</v>
      </c>
      <c r="G1865" s="8">
        <v>45864</v>
      </c>
      <c r="H1865" s="6">
        <v>22.79</v>
      </c>
      <c r="I1865" s="6" cm="1">
        <f t="array" ref="I1865">IFERROR(VALUE(TRIM(LEFT(E1865,MIN(FIND({" ";"g";"k";"m";"o"},E1865&amp;" gkmo"))-1))),0)</f>
        <v>200</v>
      </c>
      <c r="J1865" s="6" t="str" cm="1">
        <f t="array" ref="J1865">IFERROR(TRIM(MID(E1865,MIN(FIND({" ";"g";"k";"m";"o"},E1865&amp;" gkmo")),10)),"unknown")</f>
        <v>g</v>
      </c>
      <c r="K1865" s="6" t="str">
        <f t="shared" si="116"/>
        <v>g</v>
      </c>
      <c r="L1865" s="6" t="str">
        <f t="shared" si="117"/>
        <v>Sondey</v>
      </c>
      <c r="M1865" s="6" t="str">
        <f t="shared" si="118"/>
        <v>Bio Biscuits À  L'Avoine</v>
      </c>
      <c r="N1865" s="6" t="str">
        <f t="shared" si="119"/>
        <v>France</v>
      </c>
    </row>
    <row r="1866" spans="1:14" x14ac:dyDescent="0.25">
      <c r="A1866" s="6" t="s">
        <v>4532</v>
      </c>
      <c r="B1866" s="6">
        <v>13005</v>
      </c>
      <c r="C1866" s="6" t="s">
        <v>4533</v>
      </c>
      <c r="D1866" s="7" t="s">
        <v>4534</v>
      </c>
      <c r="E1866" s="6" t="s">
        <v>44</v>
      </c>
      <c r="F1866" s="6" t="s">
        <v>8110</v>
      </c>
      <c r="G1866" s="8">
        <v>45642</v>
      </c>
      <c r="H1866" s="6">
        <v>18.559999999999999</v>
      </c>
      <c r="I1866" s="6" cm="1">
        <f t="array" ref="I1866">IFERROR(VALUE(TRIM(LEFT(E1866,MIN(FIND({" ";"g";"k";"m";"o"},E1866&amp;" gkmo"))-1))),0)</f>
        <v>90</v>
      </c>
      <c r="J1866" s="6" t="str" cm="1">
        <f t="array" ref="J1866">IFERROR(TRIM(MID(E1866,MIN(FIND({" ";"g";"k";"m";"o"},E1866&amp;" gkmo")),10)),"unknown")</f>
        <v>g</v>
      </c>
      <c r="K1866" s="6" t="str">
        <f t="shared" si="116"/>
        <v>g</v>
      </c>
      <c r="L1866" s="6" t="str">
        <f t="shared" si="117"/>
        <v>Fincarre</v>
      </c>
      <c r="M1866" s="6" t="str">
        <f t="shared" si="118"/>
        <v>High Protein Milk Chocolate Crisp</v>
      </c>
      <c r="N1866" s="6" t="str">
        <f t="shared" si="119"/>
        <v>Netherlands, Romania, United-Kingdom</v>
      </c>
    </row>
    <row r="1867" spans="1:14" x14ac:dyDescent="0.25">
      <c r="A1867" s="6" t="s">
        <v>4535</v>
      </c>
      <c r="B1867" s="6">
        <v>5447</v>
      </c>
      <c r="C1867" s="6" t="s">
        <v>1758</v>
      </c>
      <c r="D1867" s="7" t="s">
        <v>4536</v>
      </c>
      <c r="E1867" s="6" t="s">
        <v>1220</v>
      </c>
      <c r="F1867" s="6" t="s">
        <v>4537</v>
      </c>
      <c r="G1867" s="8">
        <v>45630</v>
      </c>
      <c r="H1867" s="6">
        <v>2.36</v>
      </c>
      <c r="I1867" s="6" cm="1">
        <f t="array" ref="I1867">IFERROR(VALUE(TRIM(LEFT(E1867,MIN(FIND({" ";"g";"k";"m";"o"},E1867&amp;" gkmo"))-1))),0)</f>
        <v>550</v>
      </c>
      <c r="J1867" s="6" t="str" cm="1">
        <f t="array" ref="J1867">IFERROR(TRIM(MID(E1867,MIN(FIND({" ";"g";"k";"m";"o"},E1867&amp;" gkmo")),10)),"unknown")</f>
        <v>g</v>
      </c>
      <c r="K1867" s="6" t="str">
        <f t="shared" si="116"/>
        <v>g</v>
      </c>
      <c r="L1867" s="6" t="str">
        <f t="shared" si="117"/>
        <v>Mars Foods</v>
      </c>
      <c r="M1867" s="6" t="str">
        <f t="shared" si="118"/>
        <v>Celebrations</v>
      </c>
      <c r="N1867" s="6" t="str">
        <f t="shared" si="119"/>
        <v>Morocco,United Kingdom</v>
      </c>
    </row>
    <row r="1868" spans="1:14" x14ac:dyDescent="0.25">
      <c r="A1868" s="6" t="s">
        <v>4538</v>
      </c>
      <c r="B1868" s="6">
        <v>7462</v>
      </c>
      <c r="C1868" s="6" t="s">
        <v>7017</v>
      </c>
      <c r="D1868" s="7" t="s">
        <v>726</v>
      </c>
      <c r="E1868" s="6" t="s">
        <v>643</v>
      </c>
      <c r="F1868" s="6" t="s">
        <v>7595</v>
      </c>
      <c r="G1868" s="8">
        <v>45937</v>
      </c>
      <c r="H1868" s="6">
        <v>13.16</v>
      </c>
      <c r="I1868" s="6" cm="1">
        <f t="array" ref="I1868">IFERROR(VALUE(TRIM(LEFT(E1868,MIN(FIND({" ";"g";"k";"m";"o"},E1868&amp;" gkmo"))-1))),0)</f>
        <v>25</v>
      </c>
      <c r="J1868" s="6" t="str" cm="1">
        <f t="array" ref="J1868">IFERROR(TRIM(MID(E1868,MIN(FIND({" ";"g";"k";"m";"o"},E1868&amp;" gkmo")),10)),"unknown")</f>
        <v>g</v>
      </c>
      <c r="K1868" s="6" t="str">
        <f t="shared" si="116"/>
        <v>g</v>
      </c>
      <c r="L1868" s="6" t="str">
        <f t="shared" si="117"/>
        <v>Walkers</v>
      </c>
      <c r="M1868" s="6" t="str">
        <f t="shared" si="118"/>
        <v>Unknown</v>
      </c>
      <c r="N1868" s="6" t="str">
        <f t="shared" si="119"/>
        <v>Espaà±A</v>
      </c>
    </row>
    <row r="1869" spans="1:14" x14ac:dyDescent="0.25">
      <c r="A1869" s="6" t="s">
        <v>4539</v>
      </c>
      <c r="B1869" s="6">
        <v>6850</v>
      </c>
      <c r="C1869" s="6" t="s">
        <v>4540</v>
      </c>
      <c r="D1869" s="7" t="s">
        <v>4541</v>
      </c>
      <c r="E1869" s="6" t="s">
        <v>4542</v>
      </c>
      <c r="F1869" s="6" t="s">
        <v>4543</v>
      </c>
      <c r="G1869" s="8">
        <v>45646</v>
      </c>
      <c r="H1869" s="6">
        <v>3.5</v>
      </c>
      <c r="I1869" s="6" cm="1">
        <f t="array" ref="I1869">IFERROR(VALUE(TRIM(LEFT(E1869,MIN(FIND({" ";"g";"k";"m";"o"},E1869&amp;" gkmo"))-1))),0)</f>
        <v>6.6</v>
      </c>
      <c r="J1869" s="6" t="str" cm="1">
        <f t="array" ref="J1869">IFERROR(TRIM(MID(E1869,MIN(FIND({" ";"g";"k";"m";"o"},E1869&amp;" gkmo")),10)),"unknown")</f>
        <v>oz (187 g</v>
      </c>
      <c r="K1869" s="6" t="str">
        <f t="shared" si="116"/>
        <v>g</v>
      </c>
      <c r="L1869" s="6" t="str">
        <f t="shared" si="117"/>
        <v>Pepperidge Farm</v>
      </c>
      <c r="M1869" s="6" t="str">
        <f t="shared" si="118"/>
        <v>Goldfish</v>
      </c>
      <c r="N1869" s="6" t="str">
        <f t="shared" si="119"/>
        <v>France,Mexico,United States</v>
      </c>
    </row>
    <row r="1870" spans="1:14" x14ac:dyDescent="0.25">
      <c r="A1870" s="6" t="s">
        <v>4544</v>
      </c>
      <c r="B1870" s="6">
        <v>14164</v>
      </c>
      <c r="C1870" s="6" t="s">
        <v>4545</v>
      </c>
      <c r="D1870" s="7" t="s">
        <v>116</v>
      </c>
      <c r="E1870" s="6" t="s">
        <v>1389</v>
      </c>
      <c r="F1870" s="6" t="s">
        <v>7546</v>
      </c>
      <c r="G1870" s="8">
        <v>45591</v>
      </c>
      <c r="H1870" s="6">
        <v>17.3</v>
      </c>
      <c r="I1870" s="6" cm="1">
        <f t="array" ref="I1870">IFERROR(VALUE(TRIM(LEFT(E1870,MIN(FIND({" ";"g";"k";"m";"o"},E1870&amp;" gkmo"))-1))),0)</f>
        <v>40</v>
      </c>
      <c r="J1870" s="6" t="str" cm="1">
        <f t="array" ref="J1870">IFERROR(TRIM(MID(E1870,MIN(FIND({" ";"g";"k";"m";"o"},E1870&amp;" gkmo")),10)),"unknown")</f>
        <v>g</v>
      </c>
      <c r="K1870" s="6" t="str">
        <f t="shared" si="116"/>
        <v>g</v>
      </c>
      <c r="L1870" s="6" t="str">
        <f t="shared" si="117"/>
        <v>Nature Valley</v>
      </c>
      <c r="M1870" s="6" t="str">
        <f t="shared" si="118"/>
        <v>Peanut Butter Dark Chocolate Chewy Bar</v>
      </c>
      <c r="N1870" s="6" t="str">
        <f t="shared" si="119"/>
        <v>France,États-Unis</v>
      </c>
    </row>
    <row r="1871" spans="1:14" x14ac:dyDescent="0.25">
      <c r="A1871" s="6" t="s">
        <v>4546</v>
      </c>
      <c r="B1871" s="6">
        <v>13308</v>
      </c>
      <c r="C1871" s="6" t="s">
        <v>4547</v>
      </c>
      <c r="D1871" s="7" t="s">
        <v>3565</v>
      </c>
      <c r="E1871" s="6" t="s">
        <v>4548</v>
      </c>
      <c r="F1871" s="6" t="s">
        <v>2682</v>
      </c>
      <c r="G1871" s="8">
        <v>46034</v>
      </c>
      <c r="H1871" s="6">
        <v>21.58</v>
      </c>
      <c r="I1871" s="6" cm="1">
        <f t="array" ref="I1871">IFERROR(VALUE(TRIM(LEFT(E1871,MIN(FIND({" ";"g";"k";"m";"o"},E1871&amp;" gkmo"))-1))),0)</f>
        <v>52</v>
      </c>
      <c r="J1871" s="6" t="str" cm="1">
        <f t="array" ref="J1871">IFERROR(TRIM(MID(E1871,MIN(FIND({" ";"g";"k";"m";"o"},E1871&amp;" gkmo")),10)),"unknown")</f>
        <v>g</v>
      </c>
      <c r="K1871" s="6" t="str">
        <f t="shared" si="116"/>
        <v>g</v>
      </c>
      <c r="L1871" s="6" t="str">
        <f t="shared" si="117"/>
        <v>Rxbar</v>
      </c>
      <c r="M1871" s="6" t="str">
        <f t="shared" si="118"/>
        <v>Blueberry</v>
      </c>
      <c r="N1871" s="6" t="str">
        <f t="shared" si="119"/>
        <v>United States</v>
      </c>
    </row>
    <row r="1872" spans="1:14" x14ac:dyDescent="0.25">
      <c r="A1872" s="6" t="s">
        <v>4549</v>
      </c>
      <c r="B1872" s="6">
        <v>13368</v>
      </c>
      <c r="C1872" s="6" t="s">
        <v>7296</v>
      </c>
      <c r="D1872" s="7" t="s">
        <v>4550</v>
      </c>
      <c r="E1872" s="6"/>
      <c r="F1872" s="6" t="s">
        <v>4267</v>
      </c>
      <c r="G1872" s="8">
        <v>45501</v>
      </c>
      <c r="H1872" s="6">
        <v>4.6500000000000004</v>
      </c>
      <c r="I1872" s="6" cm="1">
        <f t="array" ref="I1872">IFERROR(VALUE(TRIM(LEFT(E1872,MIN(FIND({" ";"g";"k";"m";"o"},E1872&amp;" gkmo"))-1))),0)</f>
        <v>0</v>
      </c>
      <c r="J1872" s="6" t="str" cm="1">
        <f t="array" ref="J1872">IFERROR(TRIM(MID(E1872,MIN(FIND({" ";"g";"k";"m";"o"},E1872&amp;" gkmo")),10)),"unknown")</f>
        <v/>
      </c>
      <c r="K1872" s="6" t="str">
        <f t="shared" si="116"/>
        <v>unknown</v>
      </c>
      <c r="L1872" s="6" t="str">
        <f t="shared" si="117"/>
        <v>Aachener Zucker Und Backwaren Paul Schaeffer, Favorina, Lidl</v>
      </c>
      <c r="M1872" s="6" t="str">
        <f t="shared" si="118"/>
        <v>Pains D'Épices Chocolat Noir</v>
      </c>
      <c r="N1872" s="6" t="str">
        <f t="shared" si="119"/>
        <v>Germany,France</v>
      </c>
    </row>
    <row r="1873" spans="1:14" x14ac:dyDescent="0.25">
      <c r="A1873" s="6" t="s">
        <v>4551</v>
      </c>
      <c r="B1873" s="6">
        <v>14063</v>
      </c>
      <c r="C1873" s="6" t="s">
        <v>3473</v>
      </c>
      <c r="D1873" s="7" t="s">
        <v>7297</v>
      </c>
      <c r="E1873" s="6" t="s">
        <v>156</v>
      </c>
      <c r="F1873" s="6" t="s">
        <v>8001</v>
      </c>
      <c r="G1873" s="8">
        <v>45836</v>
      </c>
      <c r="H1873" s="6">
        <v>2.25</v>
      </c>
      <c r="I1873" s="6" cm="1">
        <f t="array" ref="I1873">IFERROR(VALUE(TRIM(LEFT(E1873,MIN(FIND({" ";"g";"k";"m";"o"},E1873&amp;" gkmo"))-1))),0)</f>
        <v>500</v>
      </c>
      <c r="J1873" s="6" t="str" cm="1">
        <f t="array" ref="J1873">IFERROR(TRIM(MID(E1873,MIN(FIND({" ";"g";"k";"m";"o"},E1873&amp;" gkmo")),10)),"unknown")</f>
        <v>g</v>
      </c>
      <c r="K1873" s="6" t="str">
        <f t="shared" si="116"/>
        <v>g</v>
      </c>
      <c r="L1873" s="6" t="str">
        <f t="shared" si="117"/>
        <v>Délices De Kerloch, Sondey</v>
      </c>
      <c r="M1873" s="6" t="str">
        <f t="shared" si="118"/>
        <v>Madeleines</v>
      </c>
      <c r="N1873" s="6" t="str">
        <f t="shared" si="119"/>
        <v>France,France</v>
      </c>
    </row>
    <row r="1874" spans="1:14" x14ac:dyDescent="0.25">
      <c r="A1874" s="6" t="s">
        <v>4552</v>
      </c>
      <c r="B1874" s="6">
        <v>12625</v>
      </c>
      <c r="C1874" s="6" t="s">
        <v>7017</v>
      </c>
      <c r="D1874" s="7" t="s">
        <v>4553</v>
      </c>
      <c r="E1874" s="6" t="s">
        <v>352</v>
      </c>
      <c r="F1874" s="6" t="s">
        <v>139</v>
      </c>
      <c r="G1874" s="8">
        <v>45982</v>
      </c>
      <c r="H1874" s="6">
        <v>13.16</v>
      </c>
      <c r="I1874" s="6" cm="1">
        <f t="array" ref="I1874">IFERROR(VALUE(TRIM(LEFT(E1874,MIN(FIND({" ";"g";"k";"m";"o"},E1874&amp;" gkmo"))-1))),0)</f>
        <v>170</v>
      </c>
      <c r="J1874" s="6" t="str" cm="1">
        <f t="array" ref="J1874">IFERROR(TRIM(MID(E1874,MIN(FIND({" ";"g";"k";"m";"o"},E1874&amp;" gkmo")),10)),"unknown")</f>
        <v>g</v>
      </c>
      <c r="K1874" s="6" t="str">
        <f t="shared" si="116"/>
        <v>g</v>
      </c>
      <c r="L1874" s="6" t="str">
        <f t="shared" si="117"/>
        <v>Snack Day, Lidl</v>
      </c>
      <c r="M1874" s="6" t="str">
        <f t="shared" si="118"/>
        <v>Unknown</v>
      </c>
      <c r="N1874" s="6" t="str">
        <f t="shared" si="119"/>
        <v>France</v>
      </c>
    </row>
    <row r="1875" spans="1:14" x14ac:dyDescent="0.25">
      <c r="A1875" s="6" t="s">
        <v>4554</v>
      </c>
      <c r="B1875" s="6">
        <v>7265</v>
      </c>
      <c r="C1875" s="6" t="s">
        <v>7779</v>
      </c>
      <c r="D1875" s="7" t="s">
        <v>368</v>
      </c>
      <c r="E1875" s="6" t="s">
        <v>423</v>
      </c>
      <c r="F1875" s="6" t="s">
        <v>7780</v>
      </c>
      <c r="G1875" s="8">
        <v>45974</v>
      </c>
      <c r="H1875" s="6">
        <v>5.12</v>
      </c>
      <c r="I1875" s="6" cm="1">
        <f t="array" ref="I1875">IFERROR(VALUE(TRIM(LEFT(E1875,MIN(FIND({" ";"g";"k";"m";"o"},E1875&amp;" gkmo"))-1))),0)</f>
        <v>125</v>
      </c>
      <c r="J1875" s="6" t="str" cm="1">
        <f t="array" ref="J1875">IFERROR(TRIM(MID(E1875,MIN(FIND({" ";"g";"k";"m";"o"},E1875&amp;" gkmo")),10)),"unknown")</f>
        <v>g</v>
      </c>
      <c r="K1875" s="6" t="str">
        <f t="shared" si="116"/>
        <v>g</v>
      </c>
      <c r="L1875" s="6" t="str">
        <f t="shared" si="117"/>
        <v>J.D. Gross</v>
      </c>
      <c r="M1875" s="6" t="str">
        <f t="shared" si="118"/>
        <v>Chocolat Noir À  La Pointe De Sel</v>
      </c>
      <c r="N1875" s="6" t="str">
        <f t="shared" si="119"/>
        <v>Repàºblica Checa,Franà§A,Espanha,Portugal</v>
      </c>
    </row>
    <row r="1876" spans="1:14" x14ac:dyDescent="0.25">
      <c r="A1876" s="6" t="s">
        <v>4555</v>
      </c>
      <c r="B1876" s="6">
        <v>6538</v>
      </c>
      <c r="C1876" s="6" t="s">
        <v>1145</v>
      </c>
      <c r="D1876" s="7" t="s">
        <v>4556</v>
      </c>
      <c r="E1876" s="6" t="s">
        <v>446</v>
      </c>
      <c r="F1876" s="6" t="s">
        <v>139</v>
      </c>
      <c r="G1876" s="8">
        <v>45531</v>
      </c>
      <c r="H1876" s="6">
        <v>12.56</v>
      </c>
      <c r="I1876" s="6" cm="1">
        <f t="array" ref="I1876">IFERROR(VALUE(TRIM(LEFT(E1876,MIN(FIND({" ";"g";"k";"m";"o"},E1876&amp;" gkmo"))-1))),0)</f>
        <v>450</v>
      </c>
      <c r="J1876" s="6" t="str" cm="1">
        <f t="array" ref="J1876">IFERROR(TRIM(MID(E1876,MIN(FIND({" ";"g";"k";"m";"o"},E1876&amp;" gkmo")),10)),"unknown")</f>
        <v>g</v>
      </c>
      <c r="K1876" s="6" t="str">
        <f t="shared" si="116"/>
        <v>g</v>
      </c>
      <c r="L1876" s="6" t="str">
        <f t="shared" si="117"/>
        <v>Maitre Jean Pierre</v>
      </c>
      <c r="M1876" s="6" t="str">
        <f t="shared" si="118"/>
        <v>Pains Au Chocolat</v>
      </c>
      <c r="N1876" s="6" t="str">
        <f t="shared" si="119"/>
        <v>France</v>
      </c>
    </row>
    <row r="1877" spans="1:14" x14ac:dyDescent="0.25">
      <c r="A1877" s="6" t="s">
        <v>4557</v>
      </c>
      <c r="B1877" s="6">
        <v>10253</v>
      </c>
      <c r="C1877" s="6" t="s">
        <v>4558</v>
      </c>
      <c r="D1877" s="7" t="s">
        <v>7298</v>
      </c>
      <c r="E1877" s="6" t="s">
        <v>3129</v>
      </c>
      <c r="F1877" s="6" t="s">
        <v>8449</v>
      </c>
      <c r="G1877" s="8">
        <v>45840</v>
      </c>
      <c r="H1877" s="6">
        <v>15.03</v>
      </c>
      <c r="I1877" s="6" cm="1">
        <f t="array" ref="I1877">IFERROR(VALUE(TRIM(LEFT(E1877,MIN(FIND({" ";"g";"k";"m";"o"},E1877&amp;" gkmo"))-1))),0)</f>
        <v>295</v>
      </c>
      <c r="J1877" s="6" t="str" cm="1">
        <f t="array" ref="J1877">IFERROR(TRIM(MID(E1877,MIN(FIND({" ";"g";"k";"m";"o"},E1877&amp;" gkmo")),10)),"unknown")</f>
        <v>g</v>
      </c>
      <c r="K1877" s="6" t="str">
        <f t="shared" si="116"/>
        <v>g</v>
      </c>
      <c r="L1877" s="6" t="str">
        <f t="shared" si="117"/>
        <v>Lu,Mondelez,Pépito</v>
      </c>
      <c r="M1877" s="6" t="str">
        <f t="shared" si="118"/>
        <v>Pockitos Chocolat Au Lait</v>
      </c>
      <c r="N1877" s="6" t="str">
        <f t="shared" si="119"/>
        <v>France,La Reunion</v>
      </c>
    </row>
    <row r="1878" spans="1:14" x14ac:dyDescent="0.25">
      <c r="A1878" s="6" t="s">
        <v>4559</v>
      </c>
      <c r="B1878" s="6">
        <v>6049</v>
      </c>
      <c r="C1878" s="6" t="s">
        <v>4560</v>
      </c>
      <c r="D1878" s="7" t="s">
        <v>4561</v>
      </c>
      <c r="E1878" s="6" t="s">
        <v>1001</v>
      </c>
      <c r="F1878" s="6" t="s">
        <v>1181</v>
      </c>
      <c r="G1878" s="8">
        <v>45668</v>
      </c>
      <c r="H1878" s="6">
        <v>20.440000000000001</v>
      </c>
      <c r="I1878" s="6" cm="1">
        <f t="array" ref="I1878">IFERROR(VALUE(TRIM(LEFT(E1878,MIN(FIND({" ";"g";"k";"m";"o"},E1878&amp;" gkmo"))-1))),0)</f>
        <v>205</v>
      </c>
      <c r="J1878" s="6" t="str" cm="1">
        <f t="array" ref="J1878">IFERROR(TRIM(MID(E1878,MIN(FIND({" ";"g";"k";"m";"o"},E1878&amp;" gkmo")),10)),"unknown")</f>
        <v>g</v>
      </c>
      <c r="K1878" s="6" t="str">
        <f t="shared" si="116"/>
        <v>g</v>
      </c>
      <c r="L1878" s="6" t="str">
        <f t="shared" si="117"/>
        <v>Belin, Mondelez France, Mondelez International</v>
      </c>
      <c r="M1878" s="6" t="str">
        <f t="shared" si="118"/>
        <v>Box Best Of</v>
      </c>
      <c r="N1878" s="6" t="str">
        <f t="shared" si="119"/>
        <v>France,Switzerland</v>
      </c>
    </row>
    <row r="1879" spans="1:14" x14ac:dyDescent="0.25">
      <c r="A1879" s="6" t="s">
        <v>4562</v>
      </c>
      <c r="B1879" s="6">
        <v>5182</v>
      </c>
      <c r="C1879" s="6" t="s">
        <v>7299</v>
      </c>
      <c r="D1879" s="7" t="s">
        <v>60</v>
      </c>
      <c r="E1879" s="6" t="s">
        <v>39</v>
      </c>
      <c r="F1879" s="6" t="s">
        <v>139</v>
      </c>
      <c r="G1879" s="8">
        <v>45822</v>
      </c>
      <c r="H1879" s="6">
        <v>16.170000000000002</v>
      </c>
      <c r="I1879" s="6" cm="1">
        <f t="array" ref="I1879">IFERROR(VALUE(TRIM(LEFT(E1879,MIN(FIND({" ";"g";"k";"m";"o"},E1879&amp;" gkmo"))-1))),0)</f>
        <v>150</v>
      </c>
      <c r="J1879" s="6" t="str" cm="1">
        <f t="array" ref="J1879">IFERROR(TRIM(MID(E1879,MIN(FIND({" ";"g";"k";"m";"o"},E1879&amp;" gkmo")),10)),"unknown")</f>
        <v>g</v>
      </c>
      <c r="K1879" s="6" t="str">
        <f t="shared" si="116"/>
        <v>g</v>
      </c>
      <c r="L1879" s="6" t="str">
        <f t="shared" si="117"/>
        <v>Lindt</v>
      </c>
      <c r="M1879" s="6" t="str">
        <f t="shared" si="118"/>
        <v>Création Praliné Feuilleté</v>
      </c>
      <c r="N1879" s="6" t="str">
        <f t="shared" si="119"/>
        <v>France</v>
      </c>
    </row>
    <row r="1880" spans="1:14" x14ac:dyDescent="0.25">
      <c r="A1880" s="6" t="s">
        <v>4563</v>
      </c>
      <c r="B1880" s="6">
        <v>8639</v>
      </c>
      <c r="C1880" s="6" t="s">
        <v>4564</v>
      </c>
      <c r="D1880" s="7" t="s">
        <v>652</v>
      </c>
      <c r="E1880" s="6" t="s">
        <v>14</v>
      </c>
      <c r="F1880" s="6" t="s">
        <v>139</v>
      </c>
      <c r="G1880" s="8">
        <v>45993</v>
      </c>
      <c r="H1880" s="6">
        <v>13.16</v>
      </c>
      <c r="I1880" s="6" cm="1">
        <f t="array" ref="I1880">IFERROR(VALUE(TRIM(LEFT(E1880,MIN(FIND({" ";"g";"k";"m";"o"},E1880&amp;" gkmo"))-1))),0)</f>
        <v>300</v>
      </c>
      <c r="J1880" s="6" t="str" cm="1">
        <f t="array" ref="J1880">IFERROR(TRIM(MID(E1880,MIN(FIND({" ";"g";"k";"m";"o"},E1880&amp;" gkmo")),10)),"unknown")</f>
        <v>g</v>
      </c>
      <c r="K1880" s="6" t="str">
        <f t="shared" si="116"/>
        <v>g</v>
      </c>
      <c r="L1880" s="6" t="str">
        <f t="shared" si="117"/>
        <v>Brossard</v>
      </c>
      <c r="M1880" s="6" t="str">
        <f t="shared" si="118"/>
        <v>Brossard - Le Cake Aux Fruits 300Gr</v>
      </c>
      <c r="N1880" s="6" t="str">
        <f t="shared" si="119"/>
        <v>France</v>
      </c>
    </row>
    <row r="1881" spans="1:14" x14ac:dyDescent="0.25">
      <c r="A1881" s="6" t="s">
        <v>4565</v>
      </c>
      <c r="B1881" s="6">
        <v>10829</v>
      </c>
      <c r="C1881" s="6" t="s">
        <v>4566</v>
      </c>
      <c r="D1881" s="7" t="s">
        <v>1345</v>
      </c>
      <c r="E1881" s="6"/>
      <c r="F1881" s="6" t="s">
        <v>139</v>
      </c>
      <c r="G1881" s="8">
        <v>45564</v>
      </c>
      <c r="H1881" s="6">
        <v>22.91</v>
      </c>
      <c r="I1881" s="6" cm="1">
        <f t="array" ref="I1881">IFERROR(VALUE(TRIM(LEFT(E1881,MIN(FIND({" ";"g";"k";"m";"o"},E1881&amp;" gkmo"))-1))),0)</f>
        <v>0</v>
      </c>
      <c r="J1881" s="6" t="str" cm="1">
        <f t="array" ref="J1881">IFERROR(TRIM(MID(E1881,MIN(FIND({" ";"g";"k";"m";"o"},E1881&amp;" gkmo")),10)),"unknown")</f>
        <v/>
      </c>
      <c r="K1881" s="6" t="str">
        <f t="shared" si="116"/>
        <v>unknown</v>
      </c>
      <c r="L1881" s="6" t="str">
        <f t="shared" si="117"/>
        <v>Haribo</v>
      </c>
      <c r="M1881" s="6" t="str">
        <f t="shared" si="118"/>
        <v>Mao Croqui</v>
      </c>
      <c r="N1881" s="6" t="str">
        <f t="shared" si="119"/>
        <v>France</v>
      </c>
    </row>
    <row r="1882" spans="1:14" x14ac:dyDescent="0.25">
      <c r="A1882" s="6" t="s">
        <v>4567</v>
      </c>
      <c r="B1882" s="6">
        <v>11880</v>
      </c>
      <c r="C1882" s="6" t="s">
        <v>7017</v>
      </c>
      <c r="D1882" s="7" t="s">
        <v>886</v>
      </c>
      <c r="E1882" s="6" t="s">
        <v>727</v>
      </c>
      <c r="F1882" s="6" t="s">
        <v>8314</v>
      </c>
      <c r="G1882" s="8">
        <v>45998</v>
      </c>
      <c r="H1882" s="6">
        <v>13.16</v>
      </c>
      <c r="I1882" s="6" cm="1">
        <f t="array" ref="I1882">IFERROR(VALUE(TRIM(LEFT(E1882,MIN(FIND({" ";"g";"k";"m";"o"},E1882&amp;" gkmo"))-1))),0)</f>
        <v>25</v>
      </c>
      <c r="J1882" s="6" t="str" cm="1">
        <f t="array" ref="J1882">IFERROR(TRIM(MID(E1882,MIN(FIND({" ";"g";"k";"m";"o"},E1882&amp;" gkmo")),10)),"unknown")</f>
        <v>g</v>
      </c>
      <c r="K1882" s="6" t="str">
        <f t="shared" si="116"/>
        <v>g</v>
      </c>
      <c r="L1882" s="6" t="str">
        <f t="shared" si="117"/>
        <v>Lays</v>
      </c>
      <c r="M1882" s="6" t="str">
        <f t="shared" si="118"/>
        <v>Unknown</v>
      </c>
      <c r="N1882" s="6" t="str">
        <f t="shared" si="119"/>
        <v>Belgium,France, Martinique</v>
      </c>
    </row>
    <row r="1883" spans="1:14" x14ac:dyDescent="0.25">
      <c r="A1883" s="6" t="s">
        <v>4568</v>
      </c>
      <c r="B1883" s="6">
        <v>11108</v>
      </c>
      <c r="C1883" s="6" t="s">
        <v>7781</v>
      </c>
      <c r="D1883" s="7" t="s">
        <v>1355</v>
      </c>
      <c r="E1883" s="6" t="s">
        <v>84</v>
      </c>
      <c r="F1883" s="6" t="s">
        <v>1092</v>
      </c>
      <c r="G1883" s="8">
        <v>45688</v>
      </c>
      <c r="H1883" s="6">
        <v>6.5</v>
      </c>
      <c r="I1883" s="6" cm="1">
        <f t="array" ref="I1883">IFERROR(VALUE(TRIM(LEFT(E1883,MIN(FIND({" ";"g";"k";"m";"o"},E1883&amp;" gkmo"))-1))),0)</f>
        <v>85</v>
      </c>
      <c r="J1883" s="6" t="str" cm="1">
        <f t="array" ref="J1883">IFERROR(TRIM(MID(E1883,MIN(FIND({" ";"g";"k";"m";"o"},E1883&amp;" gkmo")),10)),"unknown")</f>
        <v>g</v>
      </c>
      <c r="K1883" s="6" t="str">
        <f t="shared" si="116"/>
        <v>g</v>
      </c>
      <c r="L1883" s="6" t="str">
        <f t="shared" si="117"/>
        <v>Lay'S</v>
      </c>
      <c r="M1883" s="6" t="str">
        <f t="shared" si="118"/>
        <v>Lay'S 3D'S Bugles Goà»T Cacahuète</v>
      </c>
      <c r="N1883" s="6" t="str">
        <f t="shared" si="119"/>
        <v>Frankrijk</v>
      </c>
    </row>
    <row r="1884" spans="1:14" x14ac:dyDescent="0.25">
      <c r="A1884" s="6" t="s">
        <v>4569</v>
      </c>
      <c r="B1884" s="6">
        <v>6009</v>
      </c>
      <c r="C1884" s="6" t="s">
        <v>7502</v>
      </c>
      <c r="D1884" s="7" t="s">
        <v>7300</v>
      </c>
      <c r="E1884" s="6"/>
      <c r="F1884" s="6" t="s">
        <v>7546</v>
      </c>
      <c r="G1884" s="8">
        <v>45559</v>
      </c>
      <c r="H1884" s="6">
        <v>1.1599999999999999</v>
      </c>
      <c r="I1884" s="6" cm="1">
        <f t="array" ref="I1884">IFERROR(VALUE(TRIM(LEFT(E1884,MIN(FIND({" ";"g";"k";"m";"o"},E1884&amp;" gkmo"))-1))),0)</f>
        <v>0</v>
      </c>
      <c r="J1884" s="6" t="str" cm="1">
        <f t="array" ref="J1884">IFERROR(TRIM(MID(E1884,MIN(FIND({" ";"g";"k";"m";"o"},E1884&amp;" gkmo")),10)),"unknown")</f>
        <v/>
      </c>
      <c r="K1884" s="6" t="str">
        <f t="shared" si="116"/>
        <v>unknown</v>
      </c>
      <c r="L1884" s="6" t="str">
        <f t="shared" si="117"/>
        <v>Bénénuts</v>
      </c>
      <c r="M1884" s="6" t="str">
        <f t="shared" si="118"/>
        <v>Bénénuts Cacahuètes Grillées &amp; Salées</v>
      </c>
      <c r="N1884" s="6" t="str">
        <f t="shared" si="119"/>
        <v>France,États-Unis</v>
      </c>
    </row>
    <row r="1885" spans="1:14" x14ac:dyDescent="0.25">
      <c r="A1885" s="6" t="s">
        <v>4570</v>
      </c>
      <c r="B1885" s="6">
        <v>7920</v>
      </c>
      <c r="C1885" s="6" t="s">
        <v>7301</v>
      </c>
      <c r="D1885" s="7" t="s">
        <v>7030</v>
      </c>
      <c r="E1885" s="6" t="s">
        <v>10</v>
      </c>
      <c r="F1885" s="6" t="s">
        <v>139</v>
      </c>
      <c r="G1885" s="8">
        <v>45976</v>
      </c>
      <c r="H1885" s="6">
        <v>8.14</v>
      </c>
      <c r="I1885" s="6" cm="1">
        <f t="array" ref="I1885">IFERROR(VALUE(TRIM(LEFT(E1885,MIN(FIND({" ";"g";"k";"m";"o"},E1885&amp;" gkmo"))-1))),0)</f>
        <v>100</v>
      </c>
      <c r="J1885" s="6" t="str" cm="1">
        <f t="array" ref="J1885">IFERROR(TRIM(MID(E1885,MIN(FIND({" ";"g";"k";"m";"o"},E1885&amp;" gkmo")),10)),"unknown")</f>
        <v>g</v>
      </c>
      <c r="K1885" s="6" t="str">
        <f t="shared" si="116"/>
        <v>g</v>
      </c>
      <c r="L1885" s="6" t="str">
        <f t="shared" si="117"/>
        <v>Gerblé</v>
      </c>
      <c r="M1885" s="6" t="str">
        <f t="shared" si="118"/>
        <v>Gerblé - Sugar Free Orange Chocolate Chip Shortbread, 132G (4.7Oz)</v>
      </c>
      <c r="N1885" s="6" t="str">
        <f t="shared" si="119"/>
        <v>France</v>
      </c>
    </row>
    <row r="1886" spans="1:14" x14ac:dyDescent="0.25">
      <c r="A1886" s="6" t="s">
        <v>4571</v>
      </c>
      <c r="B1886" s="6">
        <v>8324</v>
      </c>
      <c r="C1886" s="6" t="s">
        <v>7302</v>
      </c>
      <c r="D1886" s="7" t="s">
        <v>4572</v>
      </c>
      <c r="E1886" s="6"/>
      <c r="F1886" s="6" t="s">
        <v>139</v>
      </c>
      <c r="G1886" s="8">
        <v>45951</v>
      </c>
      <c r="H1886" s="6">
        <v>13.16</v>
      </c>
      <c r="I1886" s="6" cm="1">
        <f t="array" ref="I1886">IFERROR(VALUE(TRIM(LEFT(E1886,MIN(FIND({" ";"g";"k";"m";"o"},E1886&amp;" gkmo"))-1))),0)</f>
        <v>0</v>
      </c>
      <c r="J1886" s="6" t="str" cm="1">
        <f t="array" ref="J1886">IFERROR(TRIM(MID(E1886,MIN(FIND({" ";"g";"k";"m";"o"},E1886&amp;" gkmo")),10)),"unknown")</f>
        <v/>
      </c>
      <c r="K1886" s="6" t="str">
        <f t="shared" si="116"/>
        <v>unknown</v>
      </c>
      <c r="L1886" s="6" t="str">
        <f t="shared" si="117"/>
        <v>Bjorg</v>
      </c>
      <c r="M1886" s="6" t="str">
        <f t="shared" si="118"/>
        <v>Biscuits Aux Pépites De Chocolatðÿ«Noir Et Au Lin</v>
      </c>
      <c r="N1886" s="6" t="str">
        <f t="shared" si="119"/>
        <v>France</v>
      </c>
    </row>
    <row r="1887" spans="1:14" x14ac:dyDescent="0.25">
      <c r="A1887" s="6" t="s">
        <v>4573</v>
      </c>
      <c r="B1887" s="6">
        <v>11744</v>
      </c>
      <c r="C1887" s="6" t="s">
        <v>7303</v>
      </c>
      <c r="D1887" s="7" t="s">
        <v>4574</v>
      </c>
      <c r="E1887" s="6" t="s">
        <v>84</v>
      </c>
      <c r="F1887" s="6" t="s">
        <v>139</v>
      </c>
      <c r="G1887" s="8">
        <v>45979</v>
      </c>
      <c r="H1887" s="6">
        <v>14.16</v>
      </c>
      <c r="I1887" s="6" cm="1">
        <f t="array" ref="I1887">IFERROR(VALUE(TRIM(LEFT(E1887,MIN(FIND({" ";"g";"k";"m";"o"},E1887&amp;" gkmo"))-1))),0)</f>
        <v>85</v>
      </c>
      <c r="J1887" s="6" t="str" cm="1">
        <f t="array" ref="J1887">IFERROR(TRIM(MID(E1887,MIN(FIND({" ";"g";"k";"m";"o"},E1887&amp;" gkmo")),10)),"unknown")</f>
        <v>g</v>
      </c>
      <c r="K1887" s="6" t="str">
        <f t="shared" si="116"/>
        <v>g</v>
      </c>
      <c r="L1887" s="6" t="str">
        <f t="shared" si="117"/>
        <v>Too Good</v>
      </c>
      <c r="M1887" s="6" t="str">
        <f t="shared" si="118"/>
        <v>Le Veggie Snack Poppé Aux Légumes</v>
      </c>
      <c r="N1887" s="6" t="str">
        <f t="shared" si="119"/>
        <v>France</v>
      </c>
    </row>
    <row r="1888" spans="1:14" x14ac:dyDescent="0.25">
      <c r="A1888" s="6" t="s">
        <v>4575</v>
      </c>
      <c r="B1888" s="6">
        <v>13433</v>
      </c>
      <c r="C1888" s="6" t="s">
        <v>4576</v>
      </c>
      <c r="D1888" s="7" t="s">
        <v>7017</v>
      </c>
      <c r="E1888" s="6" t="s">
        <v>4577</v>
      </c>
      <c r="F1888" s="6" t="s">
        <v>139</v>
      </c>
      <c r="G1888" s="8">
        <v>45778</v>
      </c>
      <c r="H1888" s="6">
        <v>6.24</v>
      </c>
      <c r="I1888" s="6" cm="1">
        <f t="array" ref="I1888">IFERROR(VALUE(TRIM(LEFT(E1888,MIN(FIND({" ";"g";"k";"m";"o"},E1888&amp;" gkmo"))-1))),0)</f>
        <v>400</v>
      </c>
      <c r="J1888" s="6" t="str" cm="1">
        <f t="array" ref="J1888">IFERROR(TRIM(MID(E1888,MIN(FIND({" ";"g";"k";"m";"o"},E1888&amp;" gkmo")),10)),"unknown")</f>
        <v>g e (16 *</v>
      </c>
      <c r="K1888" s="6" t="str">
        <f t="shared" si="116"/>
        <v>g</v>
      </c>
      <c r="L1888" s="6" t="str">
        <f t="shared" si="117"/>
        <v>Unknown</v>
      </c>
      <c r="M1888" s="6" t="str">
        <f t="shared" si="118"/>
        <v>Madeleines Extra Moelleuses</v>
      </c>
      <c r="N1888" s="6" t="str">
        <f t="shared" si="119"/>
        <v>France</v>
      </c>
    </row>
    <row r="1889" spans="1:14" x14ac:dyDescent="0.25">
      <c r="A1889" s="6" t="s">
        <v>4578</v>
      </c>
      <c r="B1889" s="6">
        <v>6897</v>
      </c>
      <c r="C1889" s="6" t="s">
        <v>4579</v>
      </c>
      <c r="D1889" s="7" t="s">
        <v>7106</v>
      </c>
      <c r="E1889" s="6" t="s">
        <v>156</v>
      </c>
      <c r="F1889" s="6" t="s">
        <v>139</v>
      </c>
      <c r="G1889" s="8">
        <v>45992</v>
      </c>
      <c r="H1889" s="6">
        <v>7.14</v>
      </c>
      <c r="I1889" s="6" cm="1">
        <f t="array" ref="I1889">IFERROR(VALUE(TRIM(LEFT(E1889,MIN(FIND({" ";"g";"k";"m";"o"},E1889&amp;" gkmo"))-1))),0)</f>
        <v>500</v>
      </c>
      <c r="J1889" s="6" t="str" cm="1">
        <f t="array" ref="J1889">IFERROR(TRIM(MID(E1889,MIN(FIND({" ";"g";"k";"m";"o"},E1889&amp;" gkmo")),10)),"unknown")</f>
        <v>g</v>
      </c>
      <c r="K1889" s="6" t="str">
        <f t="shared" si="116"/>
        <v>g</v>
      </c>
      <c r="L1889" s="6" t="str">
        <f t="shared" si="117"/>
        <v>Ker Cadélac</v>
      </c>
      <c r="M1889" s="6" t="str">
        <f t="shared" si="118"/>
        <v>Quatre-Quarts Pur Beurre</v>
      </c>
      <c r="N1889" s="6" t="str">
        <f t="shared" si="119"/>
        <v>France</v>
      </c>
    </row>
    <row r="1890" spans="1:14" x14ac:dyDescent="0.25">
      <c r="A1890" s="6" t="s">
        <v>4580</v>
      </c>
      <c r="B1890" s="6">
        <v>12143</v>
      </c>
      <c r="C1890" s="6" t="s">
        <v>7782</v>
      </c>
      <c r="D1890" s="7" t="s">
        <v>4581</v>
      </c>
      <c r="E1890" s="6" t="s">
        <v>4582</v>
      </c>
      <c r="F1890" s="6" t="s">
        <v>139</v>
      </c>
      <c r="G1890" s="8">
        <v>45348</v>
      </c>
      <c r="H1890" s="6">
        <v>13.16</v>
      </c>
      <c r="I1890" s="6" cm="1">
        <f t="array" ref="I1890">IFERROR(VALUE(TRIM(LEFT(E1890,MIN(FIND({" ";"g";"k";"m";"o"},E1890&amp;" gkmo"))-1))),0)</f>
        <v>2</v>
      </c>
      <c r="J1890" s="6" t="str" cm="1">
        <f t="array" ref="J1890">IFERROR(TRIM(MID(E1890,MIN(FIND({" ";"g";"k";"m";"o"},E1890&amp;" gkmo")),10)),"unknown")</f>
        <v>x 85 g</v>
      </c>
      <c r="K1890" s="6" t="str">
        <f t="shared" si="116"/>
        <v>g</v>
      </c>
      <c r="L1890" s="6" t="str">
        <f t="shared" si="117"/>
        <v>Intersnack, Monster Munch, Vico</v>
      </c>
      <c r="M1890" s="6" t="str">
        <f t="shared" si="118"/>
        <v>Monster Munch Goà»T Jambon Fromage</v>
      </c>
      <c r="N1890" s="6" t="str">
        <f t="shared" si="119"/>
        <v>France</v>
      </c>
    </row>
    <row r="1891" spans="1:14" x14ac:dyDescent="0.25">
      <c r="A1891" s="6" t="s">
        <v>4583</v>
      </c>
      <c r="B1891" s="6">
        <v>10931</v>
      </c>
      <c r="C1891" s="6" t="s">
        <v>4584</v>
      </c>
      <c r="D1891" s="7" t="s">
        <v>854</v>
      </c>
      <c r="E1891" s="6" t="s">
        <v>297</v>
      </c>
      <c r="F1891" s="6" t="s">
        <v>139</v>
      </c>
      <c r="G1891" s="8">
        <v>45867</v>
      </c>
      <c r="H1891" s="6">
        <v>7.21</v>
      </c>
      <c r="I1891" s="6" cm="1">
        <f t="array" ref="I1891">IFERROR(VALUE(TRIM(LEFT(E1891,MIN(FIND({" ";"g";"k";"m";"o"},E1891&amp;" gkmo"))-1))),0)</f>
        <v>360</v>
      </c>
      <c r="J1891" s="6" t="str" cm="1">
        <f t="array" ref="J1891">IFERROR(TRIM(MID(E1891,MIN(FIND({" ";"g";"k";"m";"o"},E1891&amp;" gkmo")),10)),"unknown")</f>
        <v>g</v>
      </c>
      <c r="K1891" s="6" t="str">
        <f t="shared" si="116"/>
        <v>g</v>
      </c>
      <c r="L1891" s="6" t="str">
        <f t="shared" si="117"/>
        <v>Carrefour</v>
      </c>
      <c r="M1891" s="6" t="str">
        <f t="shared" si="118"/>
        <v>8 Pains Au Chocolat</v>
      </c>
      <c r="N1891" s="6" t="str">
        <f t="shared" si="119"/>
        <v>France</v>
      </c>
    </row>
    <row r="1892" spans="1:14" x14ac:dyDescent="0.25">
      <c r="A1892" s="6" t="s">
        <v>4585</v>
      </c>
      <c r="B1892" s="6">
        <v>7755</v>
      </c>
      <c r="C1892" s="6" t="s">
        <v>4586</v>
      </c>
      <c r="D1892" s="7" t="s">
        <v>854</v>
      </c>
      <c r="E1892" s="6"/>
      <c r="F1892" s="6" t="s">
        <v>7561</v>
      </c>
      <c r="G1892" s="8">
        <v>45525</v>
      </c>
      <c r="H1892" s="6">
        <v>18.61</v>
      </c>
      <c r="I1892" s="6" cm="1">
        <f t="array" ref="I1892">IFERROR(VALUE(TRIM(LEFT(E1892,MIN(FIND({" ";"g";"k";"m";"o"},E1892&amp;" gkmo"))-1))),0)</f>
        <v>0</v>
      </c>
      <c r="J1892" s="6" t="str" cm="1">
        <f t="array" ref="J1892">IFERROR(TRIM(MID(E1892,MIN(FIND({" ";"g";"k";"m";"o"},E1892&amp;" gkmo")),10)),"unknown")</f>
        <v/>
      </c>
      <c r="K1892" s="6" t="str">
        <f t="shared" si="116"/>
        <v>unknown</v>
      </c>
      <c r="L1892" s="6" t="str">
        <f t="shared" si="117"/>
        <v>Carrefour</v>
      </c>
      <c r="M1892" s="6" t="str">
        <f t="shared" si="118"/>
        <v>Tortillas Chips Nature</v>
      </c>
      <c r="N1892" s="6" t="str">
        <f t="shared" si="119"/>
        <v>Frankrijk,Italië,Polen,Roemenië,Spanje</v>
      </c>
    </row>
    <row r="1893" spans="1:14" x14ac:dyDescent="0.25">
      <c r="A1893" s="6" t="s">
        <v>4587</v>
      </c>
      <c r="B1893" s="6">
        <v>9683</v>
      </c>
      <c r="C1893" s="6" t="s">
        <v>4588</v>
      </c>
      <c r="D1893" s="7" t="s">
        <v>7477</v>
      </c>
      <c r="E1893" s="6" t="s">
        <v>14</v>
      </c>
      <c r="F1893" s="6" t="s">
        <v>139</v>
      </c>
      <c r="G1893" s="8">
        <v>45705</v>
      </c>
      <c r="H1893" s="6">
        <v>13.16</v>
      </c>
      <c r="I1893" s="6" cm="1">
        <f t="array" ref="I1893">IFERROR(VALUE(TRIM(LEFT(E1893,MIN(FIND({" ";"g";"k";"m";"o"},E1893&amp;" gkmo"))-1))),0)</f>
        <v>300</v>
      </c>
      <c r="J1893" s="6" t="str" cm="1">
        <f t="array" ref="J1893">IFERROR(TRIM(MID(E1893,MIN(FIND({" ";"g";"k";"m";"o"},E1893&amp;" gkmo")),10)),"unknown")</f>
        <v>g</v>
      </c>
      <c r="K1893" s="6" t="str">
        <f t="shared" si="116"/>
        <v>g</v>
      </c>
      <c r="L1893" s="6" t="str">
        <f t="shared" si="117"/>
        <v>Marque Repère, Tokapi</v>
      </c>
      <c r="M1893" s="6" t="str">
        <f t="shared" si="118"/>
        <v>Sticks &amp; Bretzels</v>
      </c>
      <c r="N1893" s="6" t="str">
        <f t="shared" si="119"/>
        <v>France</v>
      </c>
    </row>
    <row r="1894" spans="1:14" x14ac:dyDescent="0.25">
      <c r="A1894" s="6" t="s">
        <v>4589</v>
      </c>
      <c r="B1894" s="6">
        <v>9150</v>
      </c>
      <c r="C1894" s="6" t="s">
        <v>7897</v>
      </c>
      <c r="D1894" s="7" t="s">
        <v>60</v>
      </c>
      <c r="E1894" s="6" t="s">
        <v>151</v>
      </c>
      <c r="F1894" s="6" t="s">
        <v>8111</v>
      </c>
      <c r="G1894" s="8">
        <v>45466</v>
      </c>
      <c r="H1894" s="6">
        <v>13.16</v>
      </c>
      <c r="I1894" s="6" cm="1">
        <f t="array" ref="I1894">IFERROR(VALUE(TRIM(LEFT(E1894,MIN(FIND({" ";"g";"k";"m";"o"},E1894&amp;" gkmo"))-1))),0)</f>
        <v>200</v>
      </c>
      <c r="J1894" s="6" t="str" cm="1">
        <f t="array" ref="J1894">IFERROR(TRIM(MID(E1894,MIN(FIND({" ";"g";"k";"m";"o"},E1894&amp;" gkmo")),10)),"unknown")</f>
        <v>g</v>
      </c>
      <c r="K1894" s="6" t="str">
        <f t="shared" si="116"/>
        <v>g</v>
      </c>
      <c r="L1894" s="6" t="str">
        <f t="shared" si="117"/>
        <v>Lindt</v>
      </c>
      <c r="M1894" s="6" t="str">
        <f t="shared" si="118"/>
        <v>Lapin D'Or Chocolat Au Lait</v>
      </c>
      <c r="N1894" s="6" t="str">
        <f t="shared" si="119"/>
        <v>France, Germany, Switzerland, United-Kingdom</v>
      </c>
    </row>
    <row r="1895" spans="1:14" x14ac:dyDescent="0.25">
      <c r="A1895" s="6" t="s">
        <v>4590</v>
      </c>
      <c r="B1895" s="6">
        <v>5119</v>
      </c>
      <c r="C1895" s="6" t="s">
        <v>4591</v>
      </c>
      <c r="D1895" s="7" t="s">
        <v>7017</v>
      </c>
      <c r="E1895" s="6" t="s">
        <v>10</v>
      </c>
      <c r="F1895" s="6" t="s">
        <v>139</v>
      </c>
      <c r="G1895" s="8">
        <v>45780</v>
      </c>
      <c r="H1895" s="6">
        <v>4.12</v>
      </c>
      <c r="I1895" s="6" cm="1">
        <f t="array" ref="I1895">IFERROR(VALUE(TRIM(LEFT(E1895,MIN(FIND({" ";"g";"k";"m";"o"},E1895&amp;" gkmo"))-1))),0)</f>
        <v>100</v>
      </c>
      <c r="J1895" s="6" t="str" cm="1">
        <f t="array" ref="J1895">IFERROR(TRIM(MID(E1895,MIN(FIND({" ";"g";"k";"m";"o"},E1895&amp;" gkmo")),10)),"unknown")</f>
        <v>g</v>
      </c>
      <c r="K1895" s="6" t="str">
        <f t="shared" si="116"/>
        <v>g</v>
      </c>
      <c r="L1895" s="6" t="str">
        <f t="shared" si="117"/>
        <v>Unknown</v>
      </c>
      <c r="M1895" s="6" t="str">
        <f t="shared" si="118"/>
        <v>Vico Pop Corn Baff Caramel</v>
      </c>
      <c r="N1895" s="6" t="str">
        <f t="shared" si="119"/>
        <v>France</v>
      </c>
    </row>
    <row r="1896" spans="1:14" x14ac:dyDescent="0.25">
      <c r="A1896" s="6" t="s">
        <v>4592</v>
      </c>
      <c r="B1896" s="6">
        <v>7246</v>
      </c>
      <c r="C1896" s="6" t="s">
        <v>7304</v>
      </c>
      <c r="D1896" s="7" t="s">
        <v>1529</v>
      </c>
      <c r="E1896" s="6" t="s">
        <v>7783</v>
      </c>
      <c r="F1896" s="6" t="s">
        <v>3178</v>
      </c>
      <c r="G1896" s="8">
        <v>45804</v>
      </c>
      <c r="H1896" s="6">
        <v>13.17</v>
      </c>
      <c r="I1896" s="6" cm="1">
        <f t="array" ref="I1896">IFERROR(VALUE(TRIM(LEFT(E1896,MIN(FIND({" ";"g";"k";"m";"o"},E1896&amp;" gkmo"))-1))),0)</f>
        <v>250.8</v>
      </c>
      <c r="J1896" s="6" t="str" cm="1">
        <f t="array" ref="J1896">IFERROR(TRIM(MID(E1896,MIN(FIND({" ";"g";"k";"m";"o"},E1896&amp;" gkmo")),10)),"unknown")</f>
        <v>g (6 à— 4</v>
      </c>
      <c r="K1896" s="6" t="str">
        <f t="shared" si="116"/>
        <v>g</v>
      </c>
      <c r="L1896" s="6" t="str">
        <f t="shared" si="117"/>
        <v>Mars</v>
      </c>
      <c r="M1896" s="6" t="str">
        <f t="shared" si="118"/>
        <v>Mars Glacé</v>
      </c>
      <c r="N1896" s="6" t="str">
        <f t="shared" si="119"/>
        <v>Belgium,France,Germany,Switzerland</v>
      </c>
    </row>
    <row r="1897" spans="1:14" x14ac:dyDescent="0.25">
      <c r="A1897" s="6" t="s">
        <v>4593</v>
      </c>
      <c r="B1897" s="6">
        <v>10059</v>
      </c>
      <c r="C1897" s="6" t="s">
        <v>4594</v>
      </c>
      <c r="D1897" s="7" t="s">
        <v>726</v>
      </c>
      <c r="E1897" s="6" t="s">
        <v>4595</v>
      </c>
      <c r="F1897" s="6" t="s">
        <v>177</v>
      </c>
      <c r="G1897" s="8">
        <v>45936</v>
      </c>
      <c r="H1897" s="6">
        <v>24.93</v>
      </c>
      <c r="I1897" s="6" cm="1">
        <f t="array" ref="I1897">IFERROR(VALUE(TRIM(LEFT(E1897,MIN(FIND({" ";"g";"k";"m";"o"},E1897&amp;" gkmo"))-1))),0)</f>
        <v>0</v>
      </c>
      <c r="J1897" s="6" t="str" cm="1">
        <f t="array" ref="J1897">IFERROR(TRIM(MID(E1897,MIN(FIND({" ";"g";"k";"m";"o"},E1897&amp;" gkmo")),10)),"unknown")</f>
        <v>k</v>
      </c>
      <c r="K1897" s="6" t="str">
        <f t="shared" si="116"/>
        <v>unknown</v>
      </c>
      <c r="L1897" s="6" t="str">
        <f t="shared" si="117"/>
        <v>Walkers</v>
      </c>
      <c r="M1897" s="6" t="str">
        <f t="shared" si="118"/>
        <v>Walkers Cheese &amp; Onion Crisps 6Pk</v>
      </c>
      <c r="N1897" s="6" t="str">
        <f t="shared" si="119"/>
        <v>United Kingdom</v>
      </c>
    </row>
    <row r="1898" spans="1:14" x14ac:dyDescent="0.25">
      <c r="A1898" s="6" t="s">
        <v>4596</v>
      </c>
      <c r="B1898" s="6">
        <v>14456</v>
      </c>
      <c r="C1898" s="6" t="s">
        <v>4597</v>
      </c>
      <c r="D1898" s="7" t="s">
        <v>1402</v>
      </c>
      <c r="E1898" s="6" t="s">
        <v>515</v>
      </c>
      <c r="F1898" s="6" t="s">
        <v>4598</v>
      </c>
      <c r="G1898" s="8">
        <v>45955</v>
      </c>
      <c r="H1898" s="6">
        <v>8.68</v>
      </c>
      <c r="I1898" s="6" cm="1">
        <f t="array" ref="I1898">IFERROR(VALUE(TRIM(LEFT(E1898,MIN(FIND({" ";"g";"k";"m";"o"},E1898&amp;" gkmo"))-1))),0)</f>
        <v>3</v>
      </c>
      <c r="J1898" s="6" t="str" cm="1">
        <f t="array" ref="J1898">IFERROR(TRIM(MID(E1898,MIN(FIND({" ";"g";"k";"m";"o"},E1898&amp;" gkmo")),10)),"unknown")</f>
        <v>x 50g</v>
      </c>
      <c r="K1898" s="6" t="str">
        <f t="shared" si="116"/>
        <v>g</v>
      </c>
      <c r="L1898" s="6" t="str">
        <f t="shared" si="117"/>
        <v>Eat Natural</v>
      </c>
      <c r="M1898" s="6" t="str">
        <f t="shared" si="118"/>
        <v>Almond &amp; Apricot Bars</v>
      </c>
      <c r="N1898" s="6" t="str">
        <f t="shared" si="119"/>
        <v>Belgium,France,United Kingdom</v>
      </c>
    </row>
    <row r="1899" spans="1:14" x14ac:dyDescent="0.25">
      <c r="A1899" s="6" t="s">
        <v>4599</v>
      </c>
      <c r="B1899" s="6">
        <v>9326</v>
      </c>
      <c r="C1899" s="6" t="s">
        <v>4600</v>
      </c>
      <c r="D1899" s="7" t="s">
        <v>1348</v>
      </c>
      <c r="E1899" s="6"/>
      <c r="F1899" s="6" t="s">
        <v>8007</v>
      </c>
      <c r="G1899" s="8">
        <v>45942</v>
      </c>
      <c r="H1899" s="6">
        <v>20.12</v>
      </c>
      <c r="I1899" s="6" cm="1">
        <f t="array" ref="I1899">IFERROR(VALUE(TRIM(LEFT(E1899,MIN(FIND({" ";"g";"k";"m";"o"},E1899&amp;" gkmo"))-1))),0)</f>
        <v>0</v>
      </c>
      <c r="J1899" s="6" t="str" cm="1">
        <f t="array" ref="J1899">IFERROR(TRIM(MID(E1899,MIN(FIND({" ";"g";"k";"m";"o"},E1899&amp;" gkmo")),10)),"unknown")</f>
        <v/>
      </c>
      <c r="K1899" s="6" t="str">
        <f t="shared" si="116"/>
        <v>unknown</v>
      </c>
      <c r="L1899" s="6" t="str">
        <f t="shared" si="117"/>
        <v>Cadbury</v>
      </c>
      <c r="M1899" s="6" t="str">
        <f t="shared" si="118"/>
        <v>Twirl Chocolate Bar</v>
      </c>
      <c r="N1899" s="6" t="str">
        <f t="shared" si="119"/>
        <v>France, United States, United-Kingdom</v>
      </c>
    </row>
    <row r="1900" spans="1:14" x14ac:dyDescent="0.25">
      <c r="A1900" s="6" t="s">
        <v>4601</v>
      </c>
      <c r="B1900" s="6">
        <v>13959</v>
      </c>
      <c r="C1900" s="6" t="s">
        <v>4602</v>
      </c>
      <c r="D1900" s="7" t="s">
        <v>4603</v>
      </c>
      <c r="E1900" s="6"/>
      <c r="F1900" s="6" t="s">
        <v>7923</v>
      </c>
      <c r="G1900" s="8">
        <v>45882</v>
      </c>
      <c r="H1900" s="6">
        <v>21.3</v>
      </c>
      <c r="I1900" s="6" cm="1">
        <f t="array" ref="I1900">IFERROR(VALUE(TRIM(LEFT(E1900,MIN(FIND({" ";"g";"k";"m";"o"},E1900&amp;" gkmo"))-1))),0)</f>
        <v>0</v>
      </c>
      <c r="J1900" s="6" t="str" cm="1">
        <f t="array" ref="J1900">IFERROR(TRIM(MID(E1900,MIN(FIND({" ";"g";"k";"m";"o"},E1900&amp;" gkmo")),10)),"unknown")</f>
        <v/>
      </c>
      <c r="K1900" s="6" t="str">
        <f t="shared" si="116"/>
        <v>unknown</v>
      </c>
      <c r="L1900" s="6" t="str">
        <f t="shared" si="117"/>
        <v>Tesco</v>
      </c>
      <c r="M1900" s="6" t="str">
        <f t="shared" si="118"/>
        <v>Oaties</v>
      </c>
      <c r="N1900" s="6" t="str">
        <f t="shared" si="119"/>
        <v>France, United Kingdom, Ireland</v>
      </c>
    </row>
    <row r="1901" spans="1:14" x14ac:dyDescent="0.25">
      <c r="A1901" s="6" t="s">
        <v>4604</v>
      </c>
      <c r="B1901" s="6">
        <v>8694</v>
      </c>
      <c r="C1901" s="6" t="s">
        <v>4605</v>
      </c>
      <c r="D1901" s="7" t="s">
        <v>606</v>
      </c>
      <c r="E1901" s="6" t="s">
        <v>262</v>
      </c>
      <c r="F1901" s="6" t="s">
        <v>8288</v>
      </c>
      <c r="G1901" s="8">
        <v>46050</v>
      </c>
      <c r="H1901" s="6">
        <v>21.03</v>
      </c>
      <c r="I1901" s="6" cm="1">
        <f t="array" ref="I1901">IFERROR(VALUE(TRIM(LEFT(E1901,MIN(FIND({" ";"g";"k";"m";"o"},E1901&amp;" gkmo"))-1))),0)</f>
        <v>165</v>
      </c>
      <c r="J1901" s="6" t="str" cm="1">
        <f t="array" ref="J1901">IFERROR(TRIM(MID(E1901,MIN(FIND({" ";"g";"k";"m";"o"},E1901&amp;" gkmo")),10)),"unknown")</f>
        <v>g</v>
      </c>
      <c r="K1901" s="6" t="str">
        <f t="shared" si="116"/>
        <v>g</v>
      </c>
      <c r="L1901" s="6" t="str">
        <f t="shared" si="117"/>
        <v>Pringles</v>
      </c>
      <c r="M1901" s="6" t="str">
        <f t="shared" si="118"/>
        <v>Pringles Cheese &amp; Onion</v>
      </c>
      <c r="N1901" s="6" t="str">
        <f t="shared" si="119"/>
        <v>France,Germany,Martinique,Morocco,Spain</v>
      </c>
    </row>
    <row r="1902" spans="1:14" x14ac:dyDescent="0.25">
      <c r="A1902" s="6" t="s">
        <v>4606</v>
      </c>
      <c r="B1902" s="6">
        <v>9063</v>
      </c>
      <c r="C1902" s="6" t="s">
        <v>4607</v>
      </c>
      <c r="D1902" s="7" t="s">
        <v>1595</v>
      </c>
      <c r="E1902" s="6" t="s">
        <v>476</v>
      </c>
      <c r="F1902" s="6" t="s">
        <v>7926</v>
      </c>
      <c r="G1902" s="8">
        <v>45790</v>
      </c>
      <c r="H1902" s="6">
        <v>14.3</v>
      </c>
      <c r="I1902" s="6" cm="1">
        <f t="array" ref="I1902">IFERROR(VALUE(TRIM(LEFT(E1902,MIN(FIND({" ";"g";"k";"m";"o"},E1902&amp;" gkmo"))-1))),0)</f>
        <v>45</v>
      </c>
      <c r="J1902" s="6" t="str" cm="1">
        <f t="array" ref="J1902">IFERROR(TRIM(MID(E1902,MIN(FIND({" ";"g";"k";"m";"o"},E1902&amp;" gkmo")),10)),"unknown")</f>
        <v>g</v>
      </c>
      <c r="K1902" s="6" t="str">
        <f t="shared" si="116"/>
        <v>g</v>
      </c>
      <c r="L1902" s="6" t="str">
        <f t="shared" si="117"/>
        <v>Love Corn</v>
      </c>
      <c r="M1902" s="6" t="str">
        <f t="shared" si="118"/>
        <v>Love Corn Smoked Bbq Imp</v>
      </c>
      <c r="N1902" s="6" t="str">
        <f t="shared" si="119"/>
        <v>France, United-Kingdom</v>
      </c>
    </row>
    <row r="1903" spans="1:14" x14ac:dyDescent="0.25">
      <c r="A1903" s="6" t="s">
        <v>4608</v>
      </c>
      <c r="B1903" s="6">
        <v>13947</v>
      </c>
      <c r="C1903" s="6" t="s">
        <v>4609</v>
      </c>
      <c r="D1903" s="7" t="s">
        <v>7784</v>
      </c>
      <c r="E1903" s="6" t="s">
        <v>4610</v>
      </c>
      <c r="F1903" s="6" t="s">
        <v>8112</v>
      </c>
      <c r="G1903" s="8">
        <v>45975</v>
      </c>
      <c r="H1903" s="6">
        <v>13.16</v>
      </c>
      <c r="I1903" s="6" cm="1">
        <f t="array" ref="I1903">IFERROR(VALUE(TRIM(LEFT(E1903,MIN(FIND({" ";"g";"k";"m";"o"},E1903&amp;" gkmo"))-1))),0)</f>
        <v>190</v>
      </c>
      <c r="J1903" s="6" t="str" cm="1">
        <f t="array" ref="J1903">IFERROR(TRIM(MID(E1903,MIN(FIND({" ";"g";"k";"m";"o"},E1903&amp;" gkmo")),10)),"unknown")</f>
        <v>g (24 P)</v>
      </c>
      <c r="K1903" s="6" t="str">
        <f t="shared" si="116"/>
        <v>g</v>
      </c>
      <c r="L1903" s="6" t="str">
        <f t="shared" si="117"/>
        <v>Saà¯Da</v>
      </c>
      <c r="M1903" s="6" t="str">
        <f t="shared" si="118"/>
        <v>Biscuits Super Extra</v>
      </c>
      <c r="N1903" s="6" t="str">
        <f t="shared" si="119"/>
        <v>Tunisia, Morocco</v>
      </c>
    </row>
    <row r="1904" spans="1:14" x14ac:dyDescent="0.25">
      <c r="A1904" s="6" t="s">
        <v>4611</v>
      </c>
      <c r="B1904" s="6">
        <v>6302</v>
      </c>
      <c r="C1904" s="6" t="s">
        <v>4612</v>
      </c>
      <c r="D1904" s="7" t="s">
        <v>7585</v>
      </c>
      <c r="E1904" s="6" t="s">
        <v>1955</v>
      </c>
      <c r="F1904" s="6" t="s">
        <v>139</v>
      </c>
      <c r="G1904" s="8">
        <v>45531</v>
      </c>
      <c r="H1904" s="6">
        <v>18.100000000000001</v>
      </c>
      <c r="I1904" s="6" cm="1">
        <f t="array" ref="I1904">IFERROR(VALUE(TRIM(LEFT(E1904,MIN(FIND({" ";"g";"k";"m";"o"},E1904&amp;" gkmo"))-1))),0)</f>
        <v>180</v>
      </c>
      <c r="J1904" s="6" t="str" cm="1">
        <f t="array" ref="J1904">IFERROR(TRIM(MID(E1904,MIN(FIND({" ";"g";"k";"m";"o"},E1904&amp;" gkmo")),10)),"unknown")</f>
        <v>gr</v>
      </c>
      <c r="K1904" s="6" t="str">
        <f t="shared" si="116"/>
        <v>g</v>
      </c>
      <c r="L1904" s="6" t="str">
        <f t="shared" si="117"/>
        <v>Cà´Te D'Or</v>
      </c>
      <c r="M1904" s="6" t="str">
        <f t="shared" si="118"/>
        <v>180G C Or Lt Raisin Noiset</v>
      </c>
      <c r="N1904" s="6" t="str">
        <f t="shared" si="119"/>
        <v>France</v>
      </c>
    </row>
    <row r="1905" spans="1:14" x14ac:dyDescent="0.25">
      <c r="A1905" s="6" t="s">
        <v>4613</v>
      </c>
      <c r="B1905" s="6">
        <v>5071</v>
      </c>
      <c r="C1905" s="6" t="s">
        <v>1347</v>
      </c>
      <c r="D1905" s="7" t="s">
        <v>1348</v>
      </c>
      <c r="E1905" s="6" t="s">
        <v>4614</v>
      </c>
      <c r="F1905" s="6" t="s">
        <v>8007</v>
      </c>
      <c r="G1905" s="8">
        <v>45509</v>
      </c>
      <c r="H1905" s="6">
        <v>1.34</v>
      </c>
      <c r="I1905" s="6" cm="1">
        <f t="array" ref="I1905">IFERROR(VALUE(TRIM(LEFT(E1905,MIN(FIND({" ";"g";"k";"m";"o"},E1905&amp;" gkmo"))-1))),0)</f>
        <v>110</v>
      </c>
      <c r="J1905" s="6" t="str" cm="1">
        <f t="array" ref="J1905">IFERROR(TRIM(MID(E1905,MIN(FIND({" ";"g";"k";"m";"o"},E1905&amp;" gkmo")),10)),"unknown")</f>
        <v>gram</v>
      </c>
      <c r="K1905" s="6" t="str">
        <f t="shared" si="116"/>
        <v>g</v>
      </c>
      <c r="L1905" s="6" t="str">
        <f t="shared" si="117"/>
        <v>Cadbury</v>
      </c>
      <c r="M1905" s="6" t="str">
        <f t="shared" si="118"/>
        <v>Dairy Milk</v>
      </c>
      <c r="N1905" s="6" t="str">
        <f t="shared" si="119"/>
        <v>France, United States, United-Kingdom</v>
      </c>
    </row>
    <row r="1906" spans="1:14" x14ac:dyDescent="0.25">
      <c r="A1906" s="6" t="s">
        <v>4615</v>
      </c>
      <c r="B1906" s="6">
        <v>10023</v>
      </c>
      <c r="C1906" s="6" t="s">
        <v>4616</v>
      </c>
      <c r="D1906" s="7" t="s">
        <v>173</v>
      </c>
      <c r="E1906" s="6"/>
      <c r="F1906" s="6" t="s">
        <v>8242</v>
      </c>
      <c r="G1906" s="8">
        <v>45799</v>
      </c>
      <c r="H1906" s="6">
        <v>14.76</v>
      </c>
      <c r="I1906" s="6" cm="1">
        <f t="array" ref="I1906">IFERROR(VALUE(TRIM(LEFT(E1906,MIN(FIND({" ";"g";"k";"m";"o"},E1906&amp;" gkmo"))-1))),0)</f>
        <v>0</v>
      </c>
      <c r="J1906" s="6" t="str" cm="1">
        <f t="array" ref="J1906">IFERROR(TRIM(MID(E1906,MIN(FIND({" ";"g";"k";"m";"o"},E1906&amp;" gkmo")),10)),"unknown")</f>
        <v/>
      </c>
      <c r="K1906" s="6" t="str">
        <f t="shared" si="116"/>
        <v>unknown</v>
      </c>
      <c r="L1906" s="6" t="str">
        <f t="shared" si="117"/>
        <v>Kinder</v>
      </c>
      <c r="M1906" s="6" t="str">
        <f t="shared" si="118"/>
        <v>Brioss</v>
      </c>
      <c r="N1906" s="6" t="str">
        <f t="shared" si="119"/>
        <v>France,Italia,Svizzera</v>
      </c>
    </row>
    <row r="1907" spans="1:14" x14ac:dyDescent="0.25">
      <c r="A1907" s="6" t="s">
        <v>4617</v>
      </c>
      <c r="B1907" s="6">
        <v>8627</v>
      </c>
      <c r="C1907" s="6" t="s">
        <v>7017</v>
      </c>
      <c r="D1907" s="7" t="s">
        <v>4618</v>
      </c>
      <c r="E1907" s="6" t="s">
        <v>580</v>
      </c>
      <c r="F1907" s="6" t="s">
        <v>4619</v>
      </c>
      <c r="G1907" s="8">
        <v>45650</v>
      </c>
      <c r="H1907" s="6">
        <v>13.16</v>
      </c>
      <c r="I1907" s="6" cm="1">
        <f t="array" ref="I1907">IFERROR(VALUE(TRIM(LEFT(E1907,MIN(FIND({" ";"g";"k";"m";"o"},E1907&amp;" gkmo"))-1))),0)</f>
        <v>250</v>
      </c>
      <c r="J1907" s="6" t="str" cm="1">
        <f t="array" ref="J1907">IFERROR(TRIM(MID(E1907,MIN(FIND({" ";"g";"k";"m";"o"},E1907&amp;" gkmo")),10)),"unknown")</f>
        <v>g</v>
      </c>
      <c r="K1907" s="6" t="str">
        <f t="shared" si="116"/>
        <v>g</v>
      </c>
      <c r="L1907" s="6" t="str">
        <f t="shared" si="117"/>
        <v>Barilla, Gran Cereale</v>
      </c>
      <c r="M1907" s="6" t="str">
        <f t="shared" si="118"/>
        <v>Unknown</v>
      </c>
      <c r="N1907" s="6" t="str">
        <f t="shared" si="119"/>
        <v>Hrvatska,Francuska,Italija,Å Vicarska,Slovenija</v>
      </c>
    </row>
    <row r="1908" spans="1:14" x14ac:dyDescent="0.25">
      <c r="A1908" s="6" t="s">
        <v>4620</v>
      </c>
      <c r="B1908" s="6">
        <v>9514</v>
      </c>
      <c r="C1908" s="6" t="s">
        <v>4621</v>
      </c>
      <c r="D1908" s="7" t="s">
        <v>7578</v>
      </c>
      <c r="E1908" s="6" t="s">
        <v>573</v>
      </c>
      <c r="F1908" s="6" t="s">
        <v>7573</v>
      </c>
      <c r="G1908" s="8">
        <v>45381</v>
      </c>
      <c r="H1908" s="6">
        <v>24.54</v>
      </c>
      <c r="I1908" s="6" cm="1">
        <f t="array" ref="I1908">IFERROR(VALUE(TRIM(LEFT(E1908,MIN(FIND({" ";"g";"k";"m";"o"},E1908&amp;" gkmo"))-1))),0)</f>
        <v>280</v>
      </c>
      <c r="J1908" s="6" t="str" cm="1">
        <f t="array" ref="J1908">IFERROR(TRIM(MID(E1908,MIN(FIND({" ";"g";"k";"m";"o"},E1908&amp;" gkmo")),10)),"unknown")</f>
        <v>g</v>
      </c>
      <c r="K1908" s="6" t="str">
        <f t="shared" si="116"/>
        <v>g</v>
      </c>
      <c r="L1908" s="6" t="str">
        <f t="shared" si="117"/>
        <v>Gullà³N</v>
      </c>
      <c r="M1908" s="6" t="str">
        <f t="shared" si="118"/>
        <v>Vitalday Crocant Chocolate</v>
      </c>
      <c r="N1908" s="6" t="str">
        <f t="shared" si="119"/>
        <v>Portugal,Espaà±A</v>
      </c>
    </row>
    <row r="1909" spans="1:14" x14ac:dyDescent="0.25">
      <c r="A1909" s="6" t="s">
        <v>4622</v>
      </c>
      <c r="B1909" s="6">
        <v>12768</v>
      </c>
      <c r="C1909" s="6" t="s">
        <v>4623</v>
      </c>
      <c r="D1909" s="7" t="s">
        <v>7598</v>
      </c>
      <c r="E1909" s="6" t="s">
        <v>132</v>
      </c>
      <c r="F1909" s="6" t="s">
        <v>8231</v>
      </c>
      <c r="G1909" s="8">
        <v>45911</v>
      </c>
      <c r="H1909" s="6">
        <v>13.16</v>
      </c>
      <c r="I1909" s="6" cm="1">
        <f t="array" ref="I1909">IFERROR(VALUE(TRIM(LEFT(E1909,MIN(FIND({" ";"g";"k";"m";"o"},E1909&amp;" gkmo"))-1))),0)</f>
        <v>350</v>
      </c>
      <c r="J1909" s="6" t="str" cm="1">
        <f t="array" ref="J1909">IFERROR(TRIM(MID(E1909,MIN(FIND({" ";"g";"k";"m";"o"},E1909&amp;" gkmo")),10)),"unknown")</f>
        <v>g</v>
      </c>
      <c r="K1909" s="6" t="str">
        <f t="shared" si="116"/>
        <v>g</v>
      </c>
      <c r="L1909" s="6" t="str">
        <f t="shared" si="117"/>
        <v>Florbàº</v>
      </c>
      <c r="M1909" s="6" t="str">
        <f t="shared" si="118"/>
        <v>Desayuno Integral</v>
      </c>
      <c r="N1909" s="6" t="str">
        <f t="shared" si="119"/>
        <v>France,Espaà±A</v>
      </c>
    </row>
    <row r="1910" spans="1:14" x14ac:dyDescent="0.25">
      <c r="A1910" s="6" t="s">
        <v>4624</v>
      </c>
      <c r="B1910" s="6">
        <v>12120</v>
      </c>
      <c r="C1910" s="6" t="s">
        <v>4625</v>
      </c>
      <c r="D1910" s="7" t="s">
        <v>452</v>
      </c>
      <c r="E1910" s="6" t="s">
        <v>946</v>
      </c>
      <c r="F1910" s="6" t="s">
        <v>1185</v>
      </c>
      <c r="G1910" s="8">
        <v>45746</v>
      </c>
      <c r="H1910" s="6">
        <v>17.87</v>
      </c>
      <c r="I1910" s="6" cm="1">
        <f t="array" ref="I1910">IFERROR(VALUE(TRIM(LEFT(E1910,MIN(FIND({" ";"g";"k";"m";"o"},E1910&amp;" gkmo"))-1))),0)</f>
        <v>138</v>
      </c>
      <c r="J1910" s="6" t="str" cm="1">
        <f t="array" ref="J1910">IFERROR(TRIM(MID(E1910,MIN(FIND({" ";"g";"k";"m";"o"},E1910&amp;" gkmo")),10)),"unknown")</f>
        <v>g</v>
      </c>
      <c r="K1910" s="6" t="str">
        <f t="shared" si="116"/>
        <v>g</v>
      </c>
      <c r="L1910" s="6" t="str">
        <f t="shared" si="117"/>
        <v>Hacendado</v>
      </c>
      <c r="M1910" s="6" t="str">
        <f t="shared" si="118"/>
        <v>Barritas Muesli Chocolate</v>
      </c>
      <c r="N1910" s="6" t="str">
        <f t="shared" si="119"/>
        <v>Spain</v>
      </c>
    </row>
    <row r="1911" spans="1:14" x14ac:dyDescent="0.25">
      <c r="A1911" s="6" t="s">
        <v>4626</v>
      </c>
      <c r="B1911" s="6">
        <v>8967</v>
      </c>
      <c r="C1911" s="6" t="s">
        <v>4627</v>
      </c>
      <c r="D1911" s="7" t="s">
        <v>4628</v>
      </c>
      <c r="E1911" s="6" t="s">
        <v>39</v>
      </c>
      <c r="F1911" s="6" t="s">
        <v>4629</v>
      </c>
      <c r="G1911" s="8">
        <v>46007</v>
      </c>
      <c r="H1911" s="6">
        <v>21.7</v>
      </c>
      <c r="I1911" s="6" cm="1">
        <f t="array" ref="I1911">IFERROR(VALUE(TRIM(LEFT(E1911,MIN(FIND({" ";"g";"k";"m";"o"},E1911&amp;" gkmo"))-1))),0)</f>
        <v>150</v>
      </c>
      <c r="J1911" s="6" t="str" cm="1">
        <f t="array" ref="J1911">IFERROR(TRIM(MID(E1911,MIN(FIND({" ";"g";"k";"m";"o"},E1911&amp;" gkmo")),10)),"unknown")</f>
        <v>g</v>
      </c>
      <c r="K1911" s="6" t="str">
        <f t="shared" si="116"/>
        <v>g</v>
      </c>
      <c r="L1911" s="6" t="str">
        <f t="shared" si="117"/>
        <v>Becky'S</v>
      </c>
      <c r="M1911" s="6" t="str">
        <f t="shared" si="118"/>
        <v>Garlic Bread</v>
      </c>
      <c r="N1911" s="6" t="str">
        <f t="shared" si="119"/>
        <v>France,Czech Republic</v>
      </c>
    </row>
    <row r="1912" spans="1:14" x14ac:dyDescent="0.25">
      <c r="A1912" s="6" t="s">
        <v>4630</v>
      </c>
      <c r="B1912" s="6">
        <v>14251</v>
      </c>
      <c r="C1912" s="6" t="s">
        <v>7017</v>
      </c>
      <c r="D1912" s="7" t="s">
        <v>7017</v>
      </c>
      <c r="E1912" s="6"/>
      <c r="F1912" s="6" t="s">
        <v>511</v>
      </c>
      <c r="G1912" s="8">
        <v>45666</v>
      </c>
      <c r="H1912" s="6">
        <v>13.16</v>
      </c>
      <c r="I1912" s="6" cm="1">
        <f t="array" ref="I1912">IFERROR(VALUE(TRIM(LEFT(E1912,MIN(FIND({" ";"g";"k";"m";"o"},E1912&amp;" gkmo"))-1))),0)</f>
        <v>0</v>
      </c>
      <c r="J1912" s="6" t="str" cm="1">
        <f t="array" ref="J1912">IFERROR(TRIM(MID(E1912,MIN(FIND({" ";"g";"k";"m";"o"},E1912&amp;" gkmo")),10)),"unknown")</f>
        <v/>
      </c>
      <c r="K1912" s="6" t="str">
        <f t="shared" si="116"/>
        <v>unknown</v>
      </c>
      <c r="L1912" s="6" t="str">
        <f t="shared" si="117"/>
        <v>Unknown</v>
      </c>
      <c r="M1912" s="6" t="str">
        <f t="shared" si="118"/>
        <v>Unknown</v>
      </c>
      <c r="N1912" s="6" t="str">
        <f t="shared" si="119"/>
        <v>France,Morocco</v>
      </c>
    </row>
    <row r="1913" spans="1:14" x14ac:dyDescent="0.25">
      <c r="A1913" s="6" t="s">
        <v>4631</v>
      </c>
      <c r="B1913" s="6">
        <v>13611</v>
      </c>
      <c r="C1913" s="6" t="s">
        <v>4632</v>
      </c>
      <c r="D1913" s="7" t="s">
        <v>525</v>
      </c>
      <c r="E1913" s="6" t="s">
        <v>18</v>
      </c>
      <c r="F1913" s="6" t="s">
        <v>511</v>
      </c>
      <c r="G1913" s="8">
        <v>45717</v>
      </c>
      <c r="H1913" s="6">
        <v>17.34</v>
      </c>
      <c r="I1913" s="6" cm="1">
        <f t="array" ref="I1913">IFERROR(VALUE(TRIM(LEFT(E1913,MIN(FIND({" ";"g";"k";"m";"o"},E1913&amp;" gkmo"))-1))),0)</f>
        <v>100</v>
      </c>
      <c r="J1913" s="6" t="str" cm="1">
        <f t="array" ref="J1913">IFERROR(TRIM(MID(E1913,MIN(FIND({" ";"g";"k";"m";"o"},E1913&amp;" gkmo")),10)),"unknown")</f>
        <v>g</v>
      </c>
      <c r="K1913" s="6" t="str">
        <f t="shared" si="116"/>
        <v>g</v>
      </c>
      <c r="L1913" s="6" t="str">
        <f t="shared" si="117"/>
        <v>Aiguebelle</v>
      </c>
      <c r="M1913" s="6" t="str">
        <f t="shared" si="118"/>
        <v>Tentation</v>
      </c>
      <c r="N1913" s="6" t="str">
        <f t="shared" si="119"/>
        <v>France,Morocco</v>
      </c>
    </row>
    <row r="1914" spans="1:14" x14ac:dyDescent="0.25">
      <c r="A1914" s="6" t="s">
        <v>4633</v>
      </c>
      <c r="B1914" s="6">
        <v>10405</v>
      </c>
      <c r="C1914" s="6" t="s">
        <v>4634</v>
      </c>
      <c r="D1914" s="7" t="s">
        <v>4635</v>
      </c>
      <c r="E1914" s="6" t="s">
        <v>4636</v>
      </c>
      <c r="F1914" s="6" t="s">
        <v>601</v>
      </c>
      <c r="G1914" s="8">
        <v>45464</v>
      </c>
      <c r="H1914" s="6">
        <v>21.34</v>
      </c>
      <c r="I1914" s="6" cm="1">
        <f t="array" ref="I1914">IFERROR(VALUE(TRIM(LEFT(E1914,MIN(FIND({" ";"g";"k";"m";"o"},E1914&amp;" gkmo"))-1))),0)</f>
        <v>96</v>
      </c>
      <c r="J1914" s="6" t="str" cm="1">
        <f t="array" ref="J1914">IFERROR(TRIM(MID(E1914,MIN(FIND({" ";"g";"k";"m";"o"},E1914&amp;" gkmo")),10)),"unknown")</f>
        <v>g, 4 barr</v>
      </c>
      <c r="K1914" s="6" t="str">
        <f t="shared" si="116"/>
        <v>g</v>
      </c>
      <c r="L1914" s="6" t="str">
        <f t="shared" si="117"/>
        <v>Crownfield</v>
      </c>
      <c r="M1914" s="6" t="str">
        <f t="shared" si="118"/>
        <v>Barrette Arachidi E Cioccolato Al Latte</v>
      </c>
      <c r="N1914" s="6" t="str">
        <f t="shared" si="119"/>
        <v>France,Spain</v>
      </c>
    </row>
    <row r="1915" spans="1:14" x14ac:dyDescent="0.25">
      <c r="A1915" s="6" t="s">
        <v>4637</v>
      </c>
      <c r="B1915" s="6">
        <v>5730</v>
      </c>
      <c r="C1915" s="6" t="s">
        <v>179</v>
      </c>
      <c r="D1915" s="7" t="s">
        <v>7017</v>
      </c>
      <c r="E1915" s="6"/>
      <c r="F1915" s="6" t="s">
        <v>8035</v>
      </c>
      <c r="G1915" s="8">
        <v>45365</v>
      </c>
      <c r="H1915" s="6">
        <v>16.16</v>
      </c>
      <c r="I1915" s="6" cm="1">
        <f t="array" ref="I1915">IFERROR(VALUE(TRIM(LEFT(E1915,MIN(FIND({" ";"g";"k";"m";"o"},E1915&amp;" gkmo"))-1))),0)</f>
        <v>0</v>
      </c>
      <c r="J1915" s="6" t="str" cm="1">
        <f t="array" ref="J1915">IFERROR(TRIM(MID(E1915,MIN(FIND({" ";"g";"k";"m";"o"},E1915&amp;" gkmo")),10)),"unknown")</f>
        <v/>
      </c>
      <c r="K1915" s="6" t="str">
        <f t="shared" si="116"/>
        <v>unknown</v>
      </c>
      <c r="L1915" s="6" t="str">
        <f t="shared" si="117"/>
        <v>Unknown</v>
      </c>
      <c r="M1915" s="6" t="str">
        <f t="shared" si="118"/>
        <v>Chips</v>
      </c>
      <c r="N1915" s="6" t="str">
        <f t="shared" si="119"/>
        <v>France, Spain, Morocco</v>
      </c>
    </row>
    <row r="1916" spans="1:14" x14ac:dyDescent="0.25">
      <c r="A1916" s="6" t="s">
        <v>4638</v>
      </c>
      <c r="B1916" s="6">
        <v>7090</v>
      </c>
      <c r="C1916" s="6" t="s">
        <v>4639</v>
      </c>
      <c r="D1916" s="7" t="s">
        <v>7017</v>
      </c>
      <c r="E1916" s="6" t="s">
        <v>151</v>
      </c>
      <c r="F1916" s="6" t="s">
        <v>400</v>
      </c>
      <c r="G1916" s="8">
        <v>45352</v>
      </c>
      <c r="H1916" s="6">
        <v>4.18</v>
      </c>
      <c r="I1916" s="6" cm="1">
        <f t="array" ref="I1916">IFERROR(VALUE(TRIM(LEFT(E1916,MIN(FIND({" ";"g";"k";"m";"o"},E1916&amp;" gkmo"))-1))),0)</f>
        <v>200</v>
      </c>
      <c r="J1916" s="6" t="str" cm="1">
        <f t="array" ref="J1916">IFERROR(TRIM(MID(E1916,MIN(FIND({" ";"g";"k";"m";"o"},E1916&amp;" gkmo")),10)),"unknown")</f>
        <v>g</v>
      </c>
      <c r="K1916" s="6" t="str">
        <f t="shared" si="116"/>
        <v>g</v>
      </c>
      <c r="L1916" s="6" t="str">
        <f t="shared" si="117"/>
        <v>Unknown</v>
      </c>
      <c r="M1916" s="6" t="str">
        <f t="shared" si="118"/>
        <v>Wr Shortbread Fingers 200G</v>
      </c>
      <c r="N1916" s="6" t="str">
        <f t="shared" si="119"/>
        <v>France,United Kingdom</v>
      </c>
    </row>
    <row r="1917" spans="1:14" x14ac:dyDescent="0.25">
      <c r="A1917" s="6" t="s">
        <v>4640</v>
      </c>
      <c r="B1917" s="6">
        <v>11048</v>
      </c>
      <c r="C1917" s="6" t="s">
        <v>4641</v>
      </c>
      <c r="D1917" s="7" t="s">
        <v>7017</v>
      </c>
      <c r="E1917" s="6" t="s">
        <v>4642</v>
      </c>
      <c r="F1917" s="6" t="s">
        <v>2682</v>
      </c>
      <c r="G1917" s="8">
        <v>45360</v>
      </c>
      <c r="H1917" s="6">
        <v>10.210000000000001</v>
      </c>
      <c r="I1917" s="6" cm="1">
        <f t="array" ref="I1917">IFERROR(VALUE(TRIM(LEFT(E1917,MIN(FIND({" ";"g";"k";"m";"o"},E1917&amp;" gkmo"))-1))),0)</f>
        <v>22</v>
      </c>
      <c r="J1917" s="6" t="str" cm="1">
        <f t="array" ref="J1917">IFERROR(TRIM(MID(E1917,MIN(FIND({" ";"g";"k";"m";"o"},E1917&amp;" gkmo")),10)),"unknown")</f>
        <v>oz</v>
      </c>
      <c r="K1917" s="6" t="str">
        <f t="shared" si="116"/>
        <v>unknown</v>
      </c>
      <c r="L1917" s="6" t="str">
        <f t="shared" si="117"/>
        <v>Unknown</v>
      </c>
      <c r="M1917" s="6" t="str">
        <f t="shared" si="118"/>
        <v>Organic Oatmeal Dark Chocolate</v>
      </c>
      <c r="N1917" s="6" t="str">
        <f t="shared" si="119"/>
        <v>United States</v>
      </c>
    </row>
    <row r="1918" spans="1:14" x14ac:dyDescent="0.25">
      <c r="A1918" s="6" t="s">
        <v>4643</v>
      </c>
      <c r="B1918" s="6">
        <v>6237</v>
      </c>
      <c r="C1918" s="6" t="s">
        <v>4644</v>
      </c>
      <c r="D1918" s="7" t="s">
        <v>4645</v>
      </c>
      <c r="E1918" s="6"/>
      <c r="F1918" s="6" t="s">
        <v>177</v>
      </c>
      <c r="G1918" s="8">
        <v>45443</v>
      </c>
      <c r="H1918" s="6">
        <v>7.82</v>
      </c>
      <c r="I1918" s="6" cm="1">
        <f t="array" ref="I1918">IFERROR(VALUE(TRIM(LEFT(E1918,MIN(FIND({" ";"g";"k";"m";"o"},E1918&amp;" gkmo"))-1))),0)</f>
        <v>0</v>
      </c>
      <c r="J1918" s="6" t="str" cm="1">
        <f t="array" ref="J1918">IFERROR(TRIM(MID(E1918,MIN(FIND({" ";"g";"k";"m";"o"},E1918&amp;" gkmo")),10)),"unknown")</f>
        <v/>
      </c>
      <c r="K1918" s="6" t="str">
        <f t="shared" si="116"/>
        <v>unknown</v>
      </c>
      <c r="L1918" s="6" t="str">
        <f t="shared" si="117"/>
        <v>Moser Roth Aldi</v>
      </c>
      <c r="M1918" s="6" t="str">
        <f t="shared" si="118"/>
        <v>Sea Salt Chocolate</v>
      </c>
      <c r="N1918" s="6" t="str">
        <f t="shared" si="119"/>
        <v>United Kingdom</v>
      </c>
    </row>
    <row r="1919" spans="1:14" x14ac:dyDescent="0.25">
      <c r="A1919" s="6" t="s">
        <v>4646</v>
      </c>
      <c r="B1919" s="6">
        <v>9092</v>
      </c>
      <c r="C1919" s="6" t="s">
        <v>4647</v>
      </c>
      <c r="D1919" s="7" t="s">
        <v>4648</v>
      </c>
      <c r="E1919" s="6" t="s">
        <v>4649</v>
      </c>
      <c r="F1919" s="6" t="s">
        <v>2973</v>
      </c>
      <c r="G1919" s="8">
        <v>45637</v>
      </c>
      <c r="H1919" s="6">
        <v>7.54</v>
      </c>
      <c r="I1919" s="6" cm="1">
        <f t="array" ref="I1919">IFERROR(VALUE(TRIM(LEFT(E1919,MIN(FIND({" ";"g";"k";"m";"o"},E1919&amp;" gkmo"))-1))),0)</f>
        <v>0</v>
      </c>
      <c r="J1919" s="6" t="str" cm="1">
        <f t="array" ref="J1919">IFERROR(TRIM(MID(E1919,MIN(FIND({" ";"g";"k";"m";"o"},E1919&amp;" gkmo")),10)),"unknown")</f>
        <v/>
      </c>
      <c r="K1919" s="6" t="str">
        <f t="shared" si="116"/>
        <v>unknown</v>
      </c>
      <c r="L1919" s="6" t="str">
        <f t="shared" si="117"/>
        <v>Raw Halo</v>
      </c>
      <c r="M1919" s="6" t="str">
        <f t="shared" si="118"/>
        <v>Dark &amp; Salted Caramel Vegan Chocolate</v>
      </c>
      <c r="N1919" s="6" t="str">
        <f t="shared" si="119"/>
        <v>Gb</v>
      </c>
    </row>
    <row r="1920" spans="1:14" x14ac:dyDescent="0.25">
      <c r="A1920" s="6" t="s">
        <v>4650</v>
      </c>
      <c r="B1920" s="6">
        <v>8773</v>
      </c>
      <c r="C1920" s="6" t="s">
        <v>4651</v>
      </c>
      <c r="D1920" s="7" t="s">
        <v>1703</v>
      </c>
      <c r="E1920" s="6" t="s">
        <v>1312</v>
      </c>
      <c r="F1920" s="6" t="s">
        <v>139</v>
      </c>
      <c r="G1920" s="8">
        <v>45771</v>
      </c>
      <c r="H1920" s="6">
        <v>17.16</v>
      </c>
      <c r="I1920" s="6" cm="1">
        <f t="array" ref="I1920">IFERROR(VALUE(TRIM(LEFT(E1920,MIN(FIND({" ";"g";"k";"m";"o"},E1920&amp;" gkmo"))-1))),0)</f>
        <v>50</v>
      </c>
      <c r="J1920" s="6" t="str" cm="1">
        <f t="array" ref="J1920">IFERROR(TRIM(MID(E1920,MIN(FIND({" ";"g";"k";"m";"o"},E1920&amp;" gkmo")),10)),"unknown")</f>
        <v>g</v>
      </c>
      <c r="K1920" s="6" t="str">
        <f t="shared" si="116"/>
        <v>g</v>
      </c>
      <c r="L1920" s="6" t="str">
        <f t="shared" si="117"/>
        <v>Ricola</v>
      </c>
      <c r="M1920" s="6" t="str">
        <f t="shared" si="118"/>
        <v>Bonbons Aux Plantes</v>
      </c>
      <c r="N1920" s="6" t="str">
        <f t="shared" si="119"/>
        <v>France</v>
      </c>
    </row>
    <row r="1921" spans="1:14" x14ac:dyDescent="0.25">
      <c r="A1921" s="6" t="s">
        <v>4652</v>
      </c>
      <c r="B1921" s="6">
        <v>5290</v>
      </c>
      <c r="C1921" s="6" t="s">
        <v>2911</v>
      </c>
      <c r="D1921" s="7" t="s">
        <v>7017</v>
      </c>
      <c r="E1921" s="6"/>
      <c r="F1921" s="6" t="s">
        <v>860</v>
      </c>
      <c r="G1921" s="8">
        <v>45684</v>
      </c>
      <c r="H1921" s="6">
        <v>7.63</v>
      </c>
      <c r="I1921" s="6" cm="1">
        <f t="array" ref="I1921">IFERROR(VALUE(TRIM(LEFT(E1921,MIN(FIND({" ";"g";"k";"m";"o"},E1921&amp;" gkmo"))-1))),0)</f>
        <v>0</v>
      </c>
      <c r="J1921" s="6" t="str" cm="1">
        <f t="array" ref="J1921">IFERROR(TRIM(MID(E1921,MIN(FIND({" ";"g";"k";"m";"o"},E1921&amp;" gkmo")),10)),"unknown")</f>
        <v/>
      </c>
      <c r="K1921" s="6" t="str">
        <f t="shared" si="116"/>
        <v>unknown</v>
      </c>
      <c r="L1921" s="6" t="str">
        <f t="shared" si="117"/>
        <v>Unknown</v>
      </c>
      <c r="M1921" s="6" t="str">
        <f t="shared" si="118"/>
        <v>Leader Chips</v>
      </c>
      <c r="N1921" s="6" t="str">
        <f t="shared" si="119"/>
        <v>Ma</v>
      </c>
    </row>
    <row r="1922" spans="1:14" x14ac:dyDescent="0.25">
      <c r="A1922" s="6" t="s">
        <v>4653</v>
      </c>
      <c r="B1922" s="6">
        <v>5448</v>
      </c>
      <c r="C1922" s="6" t="s">
        <v>4654</v>
      </c>
      <c r="D1922" s="7" t="s">
        <v>7017</v>
      </c>
      <c r="E1922" s="6"/>
      <c r="F1922" s="6" t="s">
        <v>2973</v>
      </c>
      <c r="G1922" s="8">
        <v>45393</v>
      </c>
      <c r="H1922" s="6">
        <v>13.16</v>
      </c>
      <c r="I1922" s="6" cm="1">
        <f t="array" ref="I1922">IFERROR(VALUE(TRIM(LEFT(E1922,MIN(FIND({" ";"g";"k";"m";"o"},E1922&amp;" gkmo"))-1))),0)</f>
        <v>0</v>
      </c>
      <c r="J1922" s="6" t="str" cm="1">
        <f t="array" ref="J1922">IFERROR(TRIM(MID(E1922,MIN(FIND({" ";"g";"k";"m";"o"},E1922&amp;" gkmo")),10)),"unknown")</f>
        <v/>
      </c>
      <c r="K1922" s="6" t="str">
        <f t="shared" ref="K1922:K1985" si="120">IF(E1922="","unknown",IF(OR(J1922="g",LEFT(J1922,1)="g"),"g",IF(OR(LEFT(J1922,2)="kg",LEFT(J1922,2)="ki"),"kg",IF(OR(LEFT(J1922,2)="ml",LEFT(J1922,1)="m"),"ml",IF(LEFT(J1922,1)="l","l",IF(ISNUMBER(SEARCH("g",E1922)),"g",IF(ISNUMBER(SEARCH("kg",E1922)),"kg",IF(ISNUMBER(SEARCH("ml",E1922)),"ml","unknown"))))))))</f>
        <v>unknown</v>
      </c>
      <c r="L1922" s="6" t="str">
        <f t="shared" ref="L1922:L1985" si="121">IF(D1922="","Unknown",PROPER(TRIM(D1922)))</f>
        <v>Unknown</v>
      </c>
      <c r="M1922" s="6" t="str">
        <f t="shared" ref="M1922:M1985" si="122">IF(C1922="Unknown","Unknown",PROPER(TRIM(C1922)))</f>
        <v>Seeded Sourdough Flatbreads</v>
      </c>
      <c r="N1922" s="6" t="str">
        <f t="shared" si="119"/>
        <v>Gb</v>
      </c>
    </row>
    <row r="1923" spans="1:14" x14ac:dyDescent="0.25">
      <c r="A1923" s="6" t="s">
        <v>4655</v>
      </c>
      <c r="B1923" s="6">
        <v>7169</v>
      </c>
      <c r="C1923" s="6" t="s">
        <v>4656</v>
      </c>
      <c r="D1923" s="7" t="s">
        <v>4657</v>
      </c>
      <c r="E1923" s="6"/>
      <c r="F1923" s="6" t="s">
        <v>177</v>
      </c>
      <c r="G1923" s="8">
        <v>45332</v>
      </c>
      <c r="H1923" s="6">
        <v>12.51</v>
      </c>
      <c r="I1923" s="6" cm="1">
        <f t="array" ref="I1923">IFERROR(VALUE(TRIM(LEFT(E1923,MIN(FIND({" ";"g";"k";"m";"o"},E1923&amp;" gkmo"))-1))),0)</f>
        <v>0</v>
      </c>
      <c r="J1923" s="6" t="str" cm="1">
        <f t="array" ref="J1923">IFERROR(TRIM(MID(E1923,MIN(FIND({" ";"g";"k";"m";"o"},E1923&amp;" gkmo")),10)),"unknown")</f>
        <v/>
      </c>
      <c r="K1923" s="6" t="str">
        <f t="shared" si="120"/>
        <v>unknown</v>
      </c>
      <c r="L1923" s="6" t="str">
        <f t="shared" si="121"/>
        <v>Crownfield, Lidl</v>
      </c>
      <c r="M1923" s="6" t="str">
        <f t="shared" si="122"/>
        <v>Apple &amp; Cinnamon Porridge Oat Bars</v>
      </c>
      <c r="N1923" s="6" t="str">
        <f t="shared" ref="N1923:N1986" si="123">IF(F1923="","Unknown",PROPER(TRIM(F1923)))</f>
        <v>United Kingdom</v>
      </c>
    </row>
    <row r="1924" spans="1:14" x14ac:dyDescent="0.25">
      <c r="A1924" s="6" t="s">
        <v>4658</v>
      </c>
      <c r="B1924" s="6">
        <v>11518</v>
      </c>
      <c r="C1924" s="6" t="s">
        <v>7305</v>
      </c>
      <c r="D1924" s="7" t="s">
        <v>7785</v>
      </c>
      <c r="E1924" s="6" t="s">
        <v>156</v>
      </c>
      <c r="F1924" s="6" t="s">
        <v>139</v>
      </c>
      <c r="G1924" s="8">
        <v>45503</v>
      </c>
      <c r="H1924" s="6">
        <v>9.83</v>
      </c>
      <c r="I1924" s="6" cm="1">
        <f t="array" ref="I1924">IFERROR(VALUE(TRIM(LEFT(E1924,MIN(FIND({" ";"g";"k";"m";"o"},E1924&amp;" gkmo"))-1))),0)</f>
        <v>500</v>
      </c>
      <c r="J1924" s="6" t="str" cm="1">
        <f t="array" ref="J1924">IFERROR(TRIM(MID(E1924,MIN(FIND({" ";"g";"k";"m";"o"},E1924&amp;" gkmo")),10)),"unknown")</f>
        <v>g</v>
      </c>
      <c r="K1924" s="6" t="str">
        <f t="shared" si="120"/>
        <v>g</v>
      </c>
      <c r="L1924" s="6" t="str">
        <f t="shared" si="121"/>
        <v>Maà®Tre Jean Pierre</v>
      </c>
      <c r="M1924" s="6" t="str">
        <f t="shared" si="122"/>
        <v>Briochettes Aux Pépites De Chocolat Au Lait</v>
      </c>
      <c r="N1924" s="6" t="str">
        <f t="shared" si="123"/>
        <v>France</v>
      </c>
    </row>
    <row r="1925" spans="1:14" x14ac:dyDescent="0.25">
      <c r="A1925" s="6" t="s">
        <v>4659</v>
      </c>
      <c r="B1925" s="6">
        <v>11573</v>
      </c>
      <c r="C1925" s="6" t="s">
        <v>4660</v>
      </c>
      <c r="D1925" s="7" t="s">
        <v>4661</v>
      </c>
      <c r="E1925" s="6"/>
      <c r="F1925" s="6" t="s">
        <v>177</v>
      </c>
      <c r="G1925" s="8">
        <v>45582</v>
      </c>
      <c r="H1925" s="6">
        <v>17.11</v>
      </c>
      <c r="I1925" s="6" cm="1">
        <f t="array" ref="I1925">IFERROR(VALUE(TRIM(LEFT(E1925,MIN(FIND({" ";"g";"k";"m";"o"},E1925&amp;" gkmo"))-1))),0)</f>
        <v>0</v>
      </c>
      <c r="J1925" s="6" t="str" cm="1">
        <f t="array" ref="J1925">IFERROR(TRIM(MID(E1925,MIN(FIND({" ";"g";"k";"m";"o"},E1925&amp;" gkmo")),10)),"unknown")</f>
        <v/>
      </c>
      <c r="K1925" s="6" t="str">
        <f t="shared" si="120"/>
        <v>unknown</v>
      </c>
      <c r="L1925" s="6" t="str">
        <f t="shared" si="121"/>
        <v>Taste The Difference</v>
      </c>
      <c r="M1925" s="6" t="str">
        <f t="shared" si="122"/>
        <v>All Butter Croissants</v>
      </c>
      <c r="N1925" s="6" t="str">
        <f t="shared" si="123"/>
        <v>United Kingdom</v>
      </c>
    </row>
    <row r="1926" spans="1:14" x14ac:dyDescent="0.25">
      <c r="A1926" s="6" t="s">
        <v>4662</v>
      </c>
      <c r="B1926" s="6">
        <v>10919</v>
      </c>
      <c r="C1926" s="6" t="s">
        <v>4663</v>
      </c>
      <c r="D1926" s="7" t="s">
        <v>7186</v>
      </c>
      <c r="E1926" s="6" t="s">
        <v>39</v>
      </c>
      <c r="F1926" s="6" t="s">
        <v>139</v>
      </c>
      <c r="G1926" s="8">
        <v>45429</v>
      </c>
      <c r="H1926" s="6">
        <v>3.86</v>
      </c>
      <c r="I1926" s="6" cm="1">
        <f t="array" ref="I1926">IFERROR(VALUE(TRIM(LEFT(E1926,MIN(FIND({" ";"g";"k";"m";"o"},E1926&amp;" gkmo"))-1))),0)</f>
        <v>150</v>
      </c>
      <c r="J1926" s="6" t="str" cm="1">
        <f t="array" ref="J1926">IFERROR(TRIM(MID(E1926,MIN(FIND({" ";"g";"k";"m";"o"},E1926&amp;" gkmo")),10)),"unknown")</f>
        <v>g</v>
      </c>
      <c r="K1926" s="6" t="str">
        <f t="shared" si="120"/>
        <v>g</v>
      </c>
      <c r="L1926" s="6" t="str">
        <f t="shared" si="121"/>
        <v>Karéléa, Léa Nature</v>
      </c>
      <c r="M1926" s="6" t="str">
        <f t="shared" si="122"/>
        <v>Avoine Chocolat</v>
      </c>
      <c r="N1926" s="6" t="str">
        <f t="shared" si="123"/>
        <v>France</v>
      </c>
    </row>
    <row r="1927" spans="1:14" x14ac:dyDescent="0.25">
      <c r="A1927" s="6" t="s">
        <v>4664</v>
      </c>
      <c r="B1927" s="6">
        <v>13509</v>
      </c>
      <c r="C1927" s="6" t="s">
        <v>4665</v>
      </c>
      <c r="D1927" s="7" t="s">
        <v>660</v>
      </c>
      <c r="E1927" s="6"/>
      <c r="F1927" s="6" t="s">
        <v>177</v>
      </c>
      <c r="G1927" s="8">
        <v>45904</v>
      </c>
      <c r="H1927" s="6">
        <v>9.8800000000000008</v>
      </c>
      <c r="I1927" s="6" cm="1">
        <f t="array" ref="I1927">IFERROR(VALUE(TRIM(LEFT(E1927,MIN(FIND({" ";"g";"k";"m";"o"},E1927&amp;" gkmo"))-1))),0)</f>
        <v>0</v>
      </c>
      <c r="J1927" s="6" t="str" cm="1">
        <f t="array" ref="J1927">IFERROR(TRIM(MID(E1927,MIN(FIND({" ";"g";"k";"m";"o"},E1927&amp;" gkmo")),10)),"unknown")</f>
        <v/>
      </c>
      <c r="K1927" s="6" t="str">
        <f t="shared" si="120"/>
        <v>unknown</v>
      </c>
      <c r="L1927" s="6" t="str">
        <f t="shared" si="121"/>
        <v>Montezuma'S</v>
      </c>
      <c r="M1927" s="6" t="str">
        <f t="shared" si="122"/>
        <v>Giant Buttons</v>
      </c>
      <c r="N1927" s="6" t="str">
        <f t="shared" si="123"/>
        <v>United Kingdom</v>
      </c>
    </row>
    <row r="1928" spans="1:14" x14ac:dyDescent="0.25">
      <c r="A1928" s="6" t="s">
        <v>4666</v>
      </c>
      <c r="B1928" s="6">
        <v>13140</v>
      </c>
      <c r="C1928" s="6" t="s">
        <v>4667</v>
      </c>
      <c r="D1928" s="7" t="s">
        <v>47</v>
      </c>
      <c r="E1928" s="6"/>
      <c r="F1928" s="6" t="s">
        <v>860</v>
      </c>
      <c r="G1928" s="8">
        <v>46055</v>
      </c>
      <c r="H1928" s="6">
        <v>9.2799999999999994</v>
      </c>
      <c r="I1928" s="6" cm="1">
        <f t="array" ref="I1928">IFERROR(VALUE(TRIM(LEFT(E1928,MIN(FIND({" ";"g";"k";"m";"o"},E1928&amp;" gkmo"))-1))),0)</f>
        <v>0</v>
      </c>
      <c r="J1928" s="6" t="str" cm="1">
        <f t="array" ref="J1928">IFERROR(TRIM(MID(E1928,MIN(FIND({" ";"g";"k";"m";"o"},E1928&amp;" gkmo")),10)),"unknown")</f>
        <v/>
      </c>
      <c r="K1928" s="6" t="str">
        <f t="shared" si="120"/>
        <v>unknown</v>
      </c>
      <c r="L1928" s="6" t="str">
        <f t="shared" si="121"/>
        <v>Excelo</v>
      </c>
      <c r="M1928" s="6" t="str">
        <f t="shared" si="122"/>
        <v>Silvia Duo</v>
      </c>
      <c r="N1928" s="6" t="str">
        <f t="shared" si="123"/>
        <v>Ma</v>
      </c>
    </row>
    <row r="1929" spans="1:14" x14ac:dyDescent="0.25">
      <c r="A1929" s="6" t="s">
        <v>4668</v>
      </c>
      <c r="B1929" s="6">
        <v>6314</v>
      </c>
      <c r="C1929" s="6" t="s">
        <v>4669</v>
      </c>
      <c r="D1929" s="7" t="s">
        <v>1878</v>
      </c>
      <c r="E1929" s="6" t="s">
        <v>335</v>
      </c>
      <c r="F1929" s="6" t="s">
        <v>139</v>
      </c>
      <c r="G1929" s="8">
        <v>45667</v>
      </c>
      <c r="H1929" s="6">
        <v>13.16</v>
      </c>
      <c r="I1929" s="6" cm="1">
        <f t="array" ref="I1929">IFERROR(VALUE(TRIM(LEFT(E1929,MIN(FIND({" ";"g";"k";"m";"o"},E1929&amp;" gkmo"))-1))),0)</f>
        <v>250</v>
      </c>
      <c r="J1929" s="6" t="str" cm="1">
        <f t="array" ref="J1929">IFERROR(TRIM(MID(E1929,MIN(FIND({" ";"g";"k";"m";"o"},E1929&amp;" gkmo")),10)),"unknown")</f>
        <v>g</v>
      </c>
      <c r="K1929" s="6" t="str">
        <f t="shared" si="120"/>
        <v>g</v>
      </c>
      <c r="L1929" s="6" t="str">
        <f t="shared" si="121"/>
        <v>Lightbody</v>
      </c>
      <c r="M1929" s="6" t="str">
        <f t="shared" si="122"/>
        <v>Mini Gaufres Au Chocolat Au Lait</v>
      </c>
      <c r="N1929" s="6" t="str">
        <f t="shared" si="123"/>
        <v>France</v>
      </c>
    </row>
    <row r="1930" spans="1:14" x14ac:dyDescent="0.25">
      <c r="A1930" s="6" t="s">
        <v>4670</v>
      </c>
      <c r="B1930" s="6">
        <v>10631</v>
      </c>
      <c r="C1930" s="6" t="s">
        <v>4671</v>
      </c>
      <c r="D1930" s="7" t="s">
        <v>7017</v>
      </c>
      <c r="E1930" s="6" t="s">
        <v>4672</v>
      </c>
      <c r="F1930" s="6" t="s">
        <v>139</v>
      </c>
      <c r="G1930" s="8">
        <v>45725</v>
      </c>
      <c r="H1930" s="6">
        <v>9.85</v>
      </c>
      <c r="I1930" s="6" cm="1">
        <f t="array" ref="I1930">IFERROR(VALUE(TRIM(LEFT(E1930,MIN(FIND({" ";"g";"k";"m";"o"},E1930&amp;" gkmo"))-1))),0)</f>
        <v>750</v>
      </c>
      <c r="J1930" s="6" t="str" cm="1">
        <f t="array" ref="J1930">IFERROR(TRIM(MID(E1930,MIN(FIND({" ";"g";"k";"m";"o"},E1930&amp;" gkmo")),10)),"unknown")</f>
        <v>g</v>
      </c>
      <c r="K1930" s="6" t="str">
        <f t="shared" si="120"/>
        <v>g</v>
      </c>
      <c r="L1930" s="6" t="str">
        <f t="shared" si="121"/>
        <v>Unknown</v>
      </c>
      <c r="M1930" s="6" t="str">
        <f t="shared" si="122"/>
        <v>Haribo Dragolo</v>
      </c>
      <c r="N1930" s="6" t="str">
        <f t="shared" si="123"/>
        <v>France</v>
      </c>
    </row>
    <row r="1931" spans="1:14" x14ac:dyDescent="0.25">
      <c r="A1931" s="6" t="s">
        <v>4673</v>
      </c>
      <c r="B1931" s="6">
        <v>11948</v>
      </c>
      <c r="C1931" s="6" t="s">
        <v>4674</v>
      </c>
      <c r="D1931" s="7" t="s">
        <v>1348</v>
      </c>
      <c r="E1931" s="6" t="s">
        <v>510</v>
      </c>
      <c r="F1931" s="6" t="s">
        <v>177</v>
      </c>
      <c r="G1931" s="8">
        <v>45499</v>
      </c>
      <c r="H1931" s="6">
        <v>15.72</v>
      </c>
      <c r="I1931" s="6" cm="1">
        <f t="array" ref="I1931">IFERROR(VALUE(TRIM(LEFT(E1931,MIN(FIND({" ";"g";"k";"m";"o"},E1931&amp;" gkmo"))-1))),0)</f>
        <v>32</v>
      </c>
      <c r="J1931" s="6" t="str" cm="1">
        <f t="array" ref="J1931">IFERROR(TRIM(MID(E1931,MIN(FIND({" ";"g";"k";"m";"o"},E1931&amp;" gkmo")),10)),"unknown")</f>
        <v>g</v>
      </c>
      <c r="K1931" s="6" t="str">
        <f t="shared" si="120"/>
        <v>g</v>
      </c>
      <c r="L1931" s="6" t="str">
        <f t="shared" si="121"/>
        <v>Cadbury</v>
      </c>
      <c r="M1931" s="6" t="str">
        <f t="shared" si="122"/>
        <v>Brunch Bar Raisin</v>
      </c>
      <c r="N1931" s="6" t="str">
        <f t="shared" si="123"/>
        <v>United Kingdom</v>
      </c>
    </row>
    <row r="1932" spans="1:14" x14ac:dyDescent="0.25">
      <c r="A1932" s="6" t="s">
        <v>4675</v>
      </c>
      <c r="B1932" s="6">
        <v>10882</v>
      </c>
      <c r="C1932" s="6" t="s">
        <v>7306</v>
      </c>
      <c r="D1932" s="7" t="s">
        <v>854</v>
      </c>
      <c r="E1932" s="6" t="s">
        <v>2081</v>
      </c>
      <c r="F1932" s="6" t="s">
        <v>601</v>
      </c>
      <c r="G1932" s="8">
        <v>45988</v>
      </c>
      <c r="H1932" s="6">
        <v>21.33</v>
      </c>
      <c r="I1932" s="6" cm="1">
        <f t="array" ref="I1932">IFERROR(VALUE(TRIM(LEFT(E1932,MIN(FIND({" ";"g";"k";"m";"o"},E1932&amp;" gkmo"))-1))),0)</f>
        <v>120</v>
      </c>
      <c r="J1932" s="6" t="str" cm="1">
        <f t="array" ref="J1932">IFERROR(TRIM(MID(E1932,MIN(FIND({" ";"g";"k";"m";"o"},E1932&amp;" gkmo")),10)),"unknown")</f>
        <v>g</v>
      </c>
      <c r="K1932" s="6" t="str">
        <f t="shared" si="120"/>
        <v>g</v>
      </c>
      <c r="L1932" s="6" t="str">
        <f t="shared" si="121"/>
        <v>Carrefour</v>
      </c>
      <c r="M1932" s="6" t="str">
        <f t="shared" si="122"/>
        <v>Cocktail Sans Sel Ajouté</v>
      </c>
      <c r="N1932" s="6" t="str">
        <f t="shared" si="123"/>
        <v>France,Spain</v>
      </c>
    </row>
    <row r="1933" spans="1:14" x14ac:dyDescent="0.25">
      <c r="A1933" s="6" t="s">
        <v>4676</v>
      </c>
      <c r="B1933" s="6">
        <v>14183</v>
      </c>
      <c r="C1933" s="6" t="s">
        <v>4677</v>
      </c>
      <c r="D1933" s="7" t="s">
        <v>4678</v>
      </c>
      <c r="E1933" s="6" t="s">
        <v>4679</v>
      </c>
      <c r="F1933" s="6" t="s">
        <v>8083</v>
      </c>
      <c r="G1933" s="8">
        <v>45551</v>
      </c>
      <c r="H1933" s="6">
        <v>15.41</v>
      </c>
      <c r="I1933" s="6" cm="1">
        <f t="array" ref="I1933">IFERROR(VALUE(TRIM(LEFT(E1933,MIN(FIND({" ";"g";"k";"m";"o"},E1933&amp;" gkmo"))-1))),0)</f>
        <v>20</v>
      </c>
      <c r="J1933" s="6" t="str" cm="1">
        <f t="array" ref="J1933">IFERROR(TRIM(MID(E1933,MIN(FIND({" ";"g";"k";"m";"o"},E1933&amp;" gkmo")),10)),"unknown")</f>
        <v>OZ (1.25</v>
      </c>
      <c r="K1933" s="6" t="str">
        <f t="shared" si="120"/>
        <v>g</v>
      </c>
      <c r="L1933" s="6" t="str">
        <f t="shared" si="121"/>
        <v>Calbee</v>
      </c>
      <c r="M1933" s="6" t="str">
        <f t="shared" si="122"/>
        <v>Harvest Snaps Lightly Salted Crispy Baked Veggie Snacks</v>
      </c>
      <c r="N1933" s="6" t="str">
        <f t="shared" si="123"/>
        <v>Us, World</v>
      </c>
    </row>
    <row r="1934" spans="1:14" x14ac:dyDescent="0.25">
      <c r="A1934" s="6" t="s">
        <v>4680</v>
      </c>
      <c r="B1934" s="6">
        <v>6302</v>
      </c>
      <c r="C1934" s="6" t="s">
        <v>4681</v>
      </c>
      <c r="D1934" s="7" t="s">
        <v>633</v>
      </c>
      <c r="E1934" s="6" t="s">
        <v>99</v>
      </c>
      <c r="F1934" s="6" t="s">
        <v>177</v>
      </c>
      <c r="G1934" s="8">
        <v>45565</v>
      </c>
      <c r="H1934" s="6">
        <v>10.29</v>
      </c>
      <c r="I1934" s="6" cm="1">
        <f t="array" ref="I1934">IFERROR(VALUE(TRIM(LEFT(E1934,MIN(FIND({" ";"g";"k";"m";"o"},E1934&amp;" gkmo"))-1))),0)</f>
        <v>160</v>
      </c>
      <c r="J1934" s="6" t="str" cm="1">
        <f t="array" ref="J1934">IFERROR(TRIM(MID(E1934,MIN(FIND({" ";"g";"k";"m";"o"},E1934&amp;" gkmo")),10)),"unknown")</f>
        <v>g</v>
      </c>
      <c r="K1934" s="6" t="str">
        <f t="shared" si="120"/>
        <v>g</v>
      </c>
      <c r="L1934" s="6" t="str">
        <f t="shared" si="121"/>
        <v>Nairn'S</v>
      </c>
      <c r="M1934" s="6" t="str">
        <f t="shared" si="122"/>
        <v>Oaties</v>
      </c>
      <c r="N1934" s="6" t="str">
        <f t="shared" si="123"/>
        <v>United Kingdom</v>
      </c>
    </row>
    <row r="1935" spans="1:14" x14ac:dyDescent="0.25">
      <c r="A1935" s="6" t="s">
        <v>4682</v>
      </c>
      <c r="B1935" s="6">
        <v>6150</v>
      </c>
      <c r="C1935" s="6" t="s">
        <v>4683</v>
      </c>
      <c r="D1935" s="7" t="s">
        <v>7017</v>
      </c>
      <c r="E1935" s="6" t="s">
        <v>123</v>
      </c>
      <c r="F1935" s="6" t="s">
        <v>2973</v>
      </c>
      <c r="G1935" s="8">
        <v>45347</v>
      </c>
      <c r="H1935" s="6">
        <v>14.97</v>
      </c>
      <c r="I1935" s="6" cm="1">
        <f t="array" ref="I1935">IFERROR(VALUE(TRIM(LEFT(E1935,MIN(FIND({" ";"g";"k";"m";"o"},E1935&amp;" gkmo"))-1))),0)</f>
        <v>50</v>
      </c>
      <c r="J1935" s="6" t="str" cm="1">
        <f t="array" ref="J1935">IFERROR(TRIM(MID(E1935,MIN(FIND({" ";"g";"k";"m";"o"},E1935&amp;" gkmo")),10)),"unknown")</f>
        <v>g</v>
      </c>
      <c r="K1935" s="6" t="str">
        <f t="shared" si="120"/>
        <v>g</v>
      </c>
      <c r="L1935" s="6" t="str">
        <f t="shared" si="121"/>
        <v>Unknown</v>
      </c>
      <c r="M1935" s="6" t="str">
        <f t="shared" si="122"/>
        <v>Graze Cocoa Vanilla</v>
      </c>
      <c r="N1935" s="6" t="str">
        <f t="shared" si="123"/>
        <v>Gb</v>
      </c>
    </row>
    <row r="1936" spans="1:14" x14ac:dyDescent="0.25">
      <c r="A1936" s="6" t="s">
        <v>4684</v>
      </c>
      <c r="B1936" s="6">
        <v>5914</v>
      </c>
      <c r="C1936" s="6" t="s">
        <v>4685</v>
      </c>
      <c r="D1936" s="7" t="s">
        <v>452</v>
      </c>
      <c r="E1936" s="6" t="s">
        <v>64</v>
      </c>
      <c r="F1936" s="6" t="s">
        <v>7595</v>
      </c>
      <c r="G1936" s="8">
        <v>45408</v>
      </c>
      <c r="H1936" s="6">
        <v>17.850000000000001</v>
      </c>
      <c r="I1936" s="6" cm="1">
        <f t="array" ref="I1936">IFERROR(VALUE(TRIM(LEFT(E1936,MIN(FIND({" ";"g";"k";"m";"o"},E1936&amp;" gkmo"))-1))),0)</f>
        <v>150</v>
      </c>
      <c r="J1936" s="6" t="str" cm="1">
        <f t="array" ref="J1936">IFERROR(TRIM(MID(E1936,MIN(FIND({" ";"g";"k";"m";"o"},E1936&amp;" gkmo")),10)),"unknown")</f>
        <v>g</v>
      </c>
      <c r="K1936" s="6" t="str">
        <f t="shared" si="120"/>
        <v>g</v>
      </c>
      <c r="L1936" s="6" t="str">
        <f t="shared" si="121"/>
        <v>Hacendado</v>
      </c>
      <c r="M1936" s="6" t="str">
        <f t="shared" si="122"/>
        <v>Patatas Fritas Sabor Campestre</v>
      </c>
      <c r="N1936" s="6" t="str">
        <f t="shared" si="123"/>
        <v>Espaà±A</v>
      </c>
    </row>
    <row r="1937" spans="1:14" x14ac:dyDescent="0.25">
      <c r="A1937" s="6" t="s">
        <v>4686</v>
      </c>
      <c r="B1937" s="6">
        <v>8333</v>
      </c>
      <c r="C1937" s="6" t="s">
        <v>4687</v>
      </c>
      <c r="D1937" s="7" t="s">
        <v>4688</v>
      </c>
      <c r="E1937" s="6" t="s">
        <v>352</v>
      </c>
      <c r="F1937" s="6" t="s">
        <v>139</v>
      </c>
      <c r="G1937" s="8">
        <v>45851</v>
      </c>
      <c r="H1937" s="6">
        <v>9.8699999999999992</v>
      </c>
      <c r="I1937" s="6" cm="1">
        <f t="array" ref="I1937">IFERROR(VALUE(TRIM(LEFT(E1937,MIN(FIND({" ";"g";"k";"m";"o"},E1937&amp;" gkmo"))-1))),0)</f>
        <v>170</v>
      </c>
      <c r="J1937" s="6" t="str" cm="1">
        <f t="array" ref="J1937">IFERROR(TRIM(MID(E1937,MIN(FIND({" ";"g";"k";"m";"o"},E1937&amp;" gkmo")),10)),"unknown")</f>
        <v>g</v>
      </c>
      <c r="K1937" s="6" t="str">
        <f t="shared" si="120"/>
        <v>g</v>
      </c>
      <c r="L1937" s="6" t="str">
        <f t="shared" si="121"/>
        <v>Cemoi</v>
      </c>
      <c r="M1937" s="6" t="str">
        <f t="shared" si="122"/>
        <v>Petit Ourson Guimauve</v>
      </c>
      <c r="N1937" s="6" t="str">
        <f t="shared" si="123"/>
        <v>France</v>
      </c>
    </row>
    <row r="1938" spans="1:14" x14ac:dyDescent="0.25">
      <c r="A1938" s="6" t="s">
        <v>4689</v>
      </c>
      <c r="B1938" s="6">
        <v>6226</v>
      </c>
      <c r="C1938" s="6" t="s">
        <v>4690</v>
      </c>
      <c r="D1938" s="7" t="s">
        <v>4691</v>
      </c>
      <c r="E1938" s="6" t="s">
        <v>4692</v>
      </c>
      <c r="F1938" s="6" t="s">
        <v>8113</v>
      </c>
      <c r="G1938" s="8">
        <v>45677</v>
      </c>
      <c r="H1938" s="6">
        <v>17.309999999999999</v>
      </c>
      <c r="I1938" s="6" cm="1">
        <f t="array" ref="I1938">IFERROR(VALUE(TRIM(LEFT(E1938,MIN(FIND({" ";"g";"k";"m";"o"},E1938&amp;" gkmo"))-1))),0)</f>
        <v>92.3</v>
      </c>
      <c r="J1938" s="6" t="str" cm="1">
        <f t="array" ref="J1938">IFERROR(TRIM(MID(E1938,MIN(FIND({" ";"g";"k";"m";"o"},E1938&amp;" gkmo")),10)),"unknown")</f>
        <v>g</v>
      </c>
      <c r="K1938" s="6" t="str">
        <f t="shared" si="120"/>
        <v>g</v>
      </c>
      <c r="L1938" s="6" t="str">
        <f t="shared" si="121"/>
        <v>Takis</v>
      </c>
      <c r="M1938" s="6" t="str">
        <f t="shared" si="122"/>
        <v>Takis Dragon Sweet Chilli</v>
      </c>
      <c r="N1938" s="6" t="str">
        <f t="shared" si="123"/>
        <v>Germany, Romania, United States, United-Kingdom</v>
      </c>
    </row>
    <row r="1939" spans="1:14" x14ac:dyDescent="0.25">
      <c r="A1939" s="6" t="s">
        <v>4693</v>
      </c>
      <c r="B1939" s="6">
        <v>11755</v>
      </c>
      <c r="C1939" s="6" t="s">
        <v>4694</v>
      </c>
      <c r="D1939" s="7" t="s">
        <v>1529</v>
      </c>
      <c r="E1939" s="6" t="s">
        <v>3671</v>
      </c>
      <c r="F1939" s="6" t="s">
        <v>7786</v>
      </c>
      <c r="G1939" s="8">
        <v>45485</v>
      </c>
      <c r="H1939" s="6">
        <v>3.71</v>
      </c>
      <c r="I1939" s="6" cm="1">
        <f t="array" ref="I1939">IFERROR(VALUE(TRIM(LEFT(E1939,MIN(FIND({" ";"g";"k";"m";"o"},E1939&amp;" gkmo"))-1))),0)</f>
        <v>136</v>
      </c>
      <c r="J1939" s="6" t="str" cm="1">
        <f t="array" ref="J1939">IFERROR(TRIM(MID(E1939,MIN(FIND({" ";"g";"k";"m";"o"},E1939&amp;" gkmo")),10)),"unknown")</f>
        <v>g</v>
      </c>
      <c r="K1939" s="6" t="str">
        <f t="shared" si="120"/>
        <v>g</v>
      </c>
      <c r="L1939" s="6" t="str">
        <f t="shared" si="121"/>
        <v>Mars</v>
      </c>
      <c r="M1939" s="6" t="str">
        <f t="shared" si="122"/>
        <v>Skittles Taste The Rainbow Fruits</v>
      </c>
      <c r="N1939" s="6" t="str">
        <f t="shared" si="123"/>
        <v>Marokko, Vereinigtes Kà¶Nigreich, Germany</v>
      </c>
    </row>
    <row r="1940" spans="1:14" x14ac:dyDescent="0.25">
      <c r="A1940" s="6" t="s">
        <v>4695</v>
      </c>
      <c r="B1940" s="6">
        <v>9505</v>
      </c>
      <c r="C1940" s="6" t="s">
        <v>4696</v>
      </c>
      <c r="D1940" s="7" t="s">
        <v>4697</v>
      </c>
      <c r="E1940" s="6" t="s">
        <v>1020</v>
      </c>
      <c r="F1940" s="6" t="s">
        <v>7787</v>
      </c>
      <c r="G1940" s="8">
        <v>45652</v>
      </c>
      <c r="H1940" s="6">
        <v>1.1299999999999999</v>
      </c>
      <c r="I1940" s="6" cm="1">
        <f t="array" ref="I1940">IFERROR(VALUE(TRIM(LEFT(E1940,MIN(FIND({" ";"g";"k";"m";"o"},E1940&amp;" gkmo"))-1))),0)</f>
        <v>60</v>
      </c>
      <c r="J1940" s="6" t="str" cm="1">
        <f t="array" ref="J1940">IFERROR(TRIM(MID(E1940,MIN(FIND({" ";"g";"k";"m";"o"},E1940&amp;" gkmo")),10)),"unknown")</f>
        <v>g</v>
      </c>
      <c r="K1940" s="6" t="str">
        <f t="shared" si="120"/>
        <v>g</v>
      </c>
      <c r="L1940" s="6" t="str">
        <f t="shared" si="121"/>
        <v>Grenade</v>
      </c>
      <c r="M1940" s="6" t="str">
        <f t="shared" si="122"/>
        <v>Oreo White Protein Bar</v>
      </c>
      <c r="N1940" s="6" t="str">
        <f t="shared" si="123"/>
        <v>Vereinigtes Kà¶Nigreich, Germany</v>
      </c>
    </row>
    <row r="1941" spans="1:14" x14ac:dyDescent="0.25">
      <c r="A1941" s="6" t="s">
        <v>4698</v>
      </c>
      <c r="B1941" s="6">
        <v>14165</v>
      </c>
      <c r="C1941" s="6" t="s">
        <v>3072</v>
      </c>
      <c r="D1941" s="7" t="s">
        <v>248</v>
      </c>
      <c r="E1941" s="6" t="s">
        <v>415</v>
      </c>
      <c r="F1941" s="6" t="s">
        <v>7916</v>
      </c>
      <c r="G1941" s="8">
        <v>45871</v>
      </c>
      <c r="H1941" s="6">
        <v>13.16</v>
      </c>
      <c r="I1941" s="6" cm="1">
        <f t="array" ref="I1941">IFERROR(VALUE(TRIM(LEFT(E1941,MIN(FIND({" ";"g";"k";"m";"o"},E1941&amp;" gkmo"))-1))),0)</f>
        <v>185</v>
      </c>
      <c r="J1941" s="6" t="str" cm="1">
        <f t="array" ref="J1941">IFERROR(TRIM(MID(E1941,MIN(FIND({" ";"g";"k";"m";"o"},E1941&amp;" gkmo")),10)),"unknown")</f>
        <v>g</v>
      </c>
      <c r="K1941" s="6" t="str">
        <f t="shared" si="120"/>
        <v>g</v>
      </c>
      <c r="L1941" s="6" t="str">
        <f t="shared" si="121"/>
        <v>Tesco</v>
      </c>
      <c r="M1941" s="6" t="str">
        <f t="shared" si="122"/>
        <v>Rosemary Crackers</v>
      </c>
      <c r="N1941" s="6" t="str">
        <f t="shared" si="123"/>
        <v>United-Kingdom</v>
      </c>
    </row>
    <row r="1942" spans="1:14" x14ac:dyDescent="0.25">
      <c r="A1942" s="6" t="s">
        <v>4699</v>
      </c>
      <c r="B1942" s="6">
        <v>12841</v>
      </c>
      <c r="C1942" s="6" t="s">
        <v>2145</v>
      </c>
      <c r="D1942" s="7" t="s">
        <v>7017</v>
      </c>
      <c r="E1942" s="6" t="s">
        <v>4700</v>
      </c>
      <c r="F1942" s="6" t="s">
        <v>4701</v>
      </c>
      <c r="G1942" s="8">
        <v>45553</v>
      </c>
      <c r="H1942" s="6">
        <v>20.11</v>
      </c>
      <c r="I1942" s="6" cm="1">
        <f t="array" ref="I1942">IFERROR(VALUE(TRIM(LEFT(E1942,MIN(FIND({" ";"g";"k";"m";"o"},E1942&amp;" gkmo"))-1))),0)</f>
        <v>43.75</v>
      </c>
      <c r="J1942" s="6" t="str" cm="1">
        <f t="array" ref="J1942">IFERROR(TRIM(MID(E1942,MIN(FIND({" ";"g";"k";"m";"o"},E1942&amp;" gkmo")),10)),"unknown")</f>
        <v>g</v>
      </c>
      <c r="K1942" s="6" t="str">
        <f t="shared" si="120"/>
        <v>g</v>
      </c>
      <c r="L1942" s="6" t="str">
        <f t="shared" si="121"/>
        <v>Unknown</v>
      </c>
      <c r="M1942" s="6" t="str">
        <f t="shared" si="122"/>
        <v>Oreo</v>
      </c>
      <c r="N1942" s="6" t="str">
        <f t="shared" si="123"/>
        <v>India</v>
      </c>
    </row>
    <row r="1943" spans="1:14" x14ac:dyDescent="0.25">
      <c r="A1943" s="6" t="s">
        <v>1545</v>
      </c>
      <c r="B1943" s="6">
        <v>13365</v>
      </c>
      <c r="C1943" s="6" t="s">
        <v>4702</v>
      </c>
      <c r="D1943" s="7" t="s">
        <v>7017</v>
      </c>
      <c r="E1943" s="6" t="s">
        <v>335</v>
      </c>
      <c r="F1943" s="6" t="s">
        <v>139</v>
      </c>
      <c r="G1943" s="8">
        <v>46006</v>
      </c>
      <c r="H1943" s="6">
        <v>13.77</v>
      </c>
      <c r="I1943" s="6" cm="1">
        <f t="array" ref="I1943">IFERROR(VALUE(TRIM(LEFT(E1943,MIN(FIND({" ";"g";"k";"m";"o"},E1943&amp;" gkmo"))-1))),0)</f>
        <v>250</v>
      </c>
      <c r="J1943" s="6" t="str" cm="1">
        <f t="array" ref="J1943">IFERROR(TRIM(MID(E1943,MIN(FIND({" ";"g";"k";"m";"o"},E1943&amp;" gkmo")),10)),"unknown")</f>
        <v>g</v>
      </c>
      <c r="K1943" s="6" t="str">
        <f t="shared" si="120"/>
        <v>g</v>
      </c>
      <c r="L1943" s="6" t="str">
        <f t="shared" si="121"/>
        <v>Unknown</v>
      </c>
      <c r="M1943" s="6" t="str">
        <f t="shared" si="122"/>
        <v>Mini Tartelettes</v>
      </c>
      <c r="N1943" s="6" t="str">
        <f t="shared" si="123"/>
        <v>France</v>
      </c>
    </row>
    <row r="1944" spans="1:14" x14ac:dyDescent="0.25">
      <c r="A1944" s="6" t="s">
        <v>4703</v>
      </c>
      <c r="B1944" s="6">
        <v>7139</v>
      </c>
      <c r="C1944" s="6" t="s">
        <v>4704</v>
      </c>
      <c r="D1944" s="7" t="s">
        <v>173</v>
      </c>
      <c r="E1944" s="6" t="s">
        <v>4705</v>
      </c>
      <c r="F1944" s="6" t="s">
        <v>3914</v>
      </c>
      <c r="G1944" s="8">
        <v>45535</v>
      </c>
      <c r="H1944" s="6">
        <v>4.76</v>
      </c>
      <c r="I1944" s="6" cm="1">
        <f t="array" ref="I1944">IFERROR(VALUE(TRIM(LEFT(E1944,MIN(FIND({" ";"g";"k";"m";"o"},E1944&amp;" gkmo"))-1))),0)</f>
        <v>8</v>
      </c>
      <c r="J1944" s="6" t="str" cm="1">
        <f t="array" ref="J1944">IFERROR(TRIM(MID(E1944,MIN(FIND({" ";"g";"k";"m";"o"},E1944&amp;" gkmo")),10)),"unknown")</f>
        <v>x 17 g =</v>
      </c>
      <c r="K1944" s="6" t="str">
        <f t="shared" si="120"/>
        <v>g</v>
      </c>
      <c r="L1944" s="6" t="str">
        <f t="shared" si="121"/>
        <v>Kinder</v>
      </c>
      <c r="M1944" s="6" t="str">
        <f t="shared" si="122"/>
        <v>Crunchy Cookies</v>
      </c>
      <c r="N1944" s="6" t="str">
        <f t="shared" si="123"/>
        <v>Frankreich, Germany</v>
      </c>
    </row>
    <row r="1945" spans="1:14" x14ac:dyDescent="0.25">
      <c r="A1945" s="6" t="s">
        <v>4706</v>
      </c>
      <c r="B1945" s="6">
        <v>7615</v>
      </c>
      <c r="C1945" s="6" t="s">
        <v>4707</v>
      </c>
      <c r="D1945" s="7" t="s">
        <v>4708</v>
      </c>
      <c r="E1945" s="6" t="s">
        <v>1309</v>
      </c>
      <c r="F1945" s="6" t="s">
        <v>157</v>
      </c>
      <c r="G1945" s="8">
        <v>45737</v>
      </c>
      <c r="H1945" s="6">
        <v>11.24</v>
      </c>
      <c r="I1945" s="6" cm="1">
        <f t="array" ref="I1945">IFERROR(VALUE(TRIM(LEFT(E1945,MIN(FIND({" ";"g";"k";"m";"o"},E1945&amp;" gkmo"))-1))),0)</f>
        <v>300</v>
      </c>
      <c r="J1945" s="6" t="str" cm="1">
        <f t="array" ref="J1945">IFERROR(TRIM(MID(E1945,MIN(FIND({" ";"g";"k";"m";"o"},E1945&amp;" gkmo")),10)),"unknown")</f>
        <v>g</v>
      </c>
      <c r="K1945" s="6" t="str">
        <f t="shared" si="120"/>
        <v>g</v>
      </c>
      <c r="L1945" s="6" t="str">
        <f t="shared" si="121"/>
        <v>Italiamo, Lidl Realforno, Realforno, Lidl</v>
      </c>
      <c r="M1945" s="6" t="str">
        <f t="shared" si="122"/>
        <v>Cantuccini Alle Mandorle</v>
      </c>
      <c r="N1945" s="6" t="str">
        <f t="shared" si="123"/>
        <v>France,Germany,Switzerland</v>
      </c>
    </row>
    <row r="1946" spans="1:14" x14ac:dyDescent="0.25">
      <c r="A1946" s="6" t="s">
        <v>4709</v>
      </c>
      <c r="B1946" s="6">
        <v>9481</v>
      </c>
      <c r="C1946" s="6" t="s">
        <v>7547</v>
      </c>
      <c r="D1946" s="7" t="s">
        <v>1277</v>
      </c>
      <c r="E1946" s="6" t="s">
        <v>138</v>
      </c>
      <c r="F1946" s="6" t="s">
        <v>139</v>
      </c>
      <c r="G1946" s="8">
        <v>45377</v>
      </c>
      <c r="H1946" s="6">
        <v>18.62</v>
      </c>
      <c r="I1946" s="6" cm="1">
        <f t="array" ref="I1946">IFERROR(VALUE(TRIM(LEFT(E1946,MIN(FIND({" ";"g";"k";"m";"o"},E1946&amp;" gkmo"))-1))),0)</f>
        <v>400</v>
      </c>
      <c r="J1946" s="6" t="str" cm="1">
        <f t="array" ref="J1946">IFERROR(TRIM(MID(E1946,MIN(FIND({" ";"g";"k";"m";"o"},E1946&amp;" gkmo")),10)),"unknown")</f>
        <v>g</v>
      </c>
      <c r="K1946" s="6" t="str">
        <f t="shared" si="120"/>
        <v>g</v>
      </c>
      <c r="L1946" s="6" t="str">
        <f t="shared" si="121"/>
        <v>Deluxe</v>
      </c>
      <c r="M1946" s="6" t="str">
        <f t="shared" si="122"/>
        <v>Pain D'Épices Aux Fruits</v>
      </c>
      <c r="N1946" s="6" t="str">
        <f t="shared" si="123"/>
        <v>France</v>
      </c>
    </row>
    <row r="1947" spans="1:14" x14ac:dyDescent="0.25">
      <c r="A1947" s="6" t="s">
        <v>4710</v>
      </c>
      <c r="B1947" s="6">
        <v>14221</v>
      </c>
      <c r="C1947" s="6" t="s">
        <v>7307</v>
      </c>
      <c r="D1947" s="7" t="s">
        <v>4711</v>
      </c>
      <c r="E1947" s="6" t="s">
        <v>335</v>
      </c>
      <c r="F1947" s="6" t="s">
        <v>7788</v>
      </c>
      <c r="G1947" s="8">
        <v>45707</v>
      </c>
      <c r="H1947" s="6">
        <v>22.57</v>
      </c>
      <c r="I1947" s="6" cm="1">
        <f t="array" ref="I1947">IFERROR(VALUE(TRIM(LEFT(E1947,MIN(FIND({" ";"g";"k";"m";"o"},E1947&amp;" gkmo"))-1))),0)</f>
        <v>250</v>
      </c>
      <c r="J1947" s="6" t="str" cm="1">
        <f t="array" ref="J1947">IFERROR(TRIM(MID(E1947,MIN(FIND({" ";"g";"k";"m";"o"},E1947&amp;" gkmo")),10)),"unknown")</f>
        <v>g</v>
      </c>
      <c r="K1947" s="6" t="str">
        <f t="shared" si="120"/>
        <v>g</v>
      </c>
      <c r="L1947" s="6" t="str">
        <f t="shared" si="121"/>
        <v>Heudebert, Lu, Mondelez</v>
      </c>
      <c r="M1947" s="6" t="str">
        <f t="shared" si="122"/>
        <v>Crackers Apéritif Blé Complet</v>
      </c>
      <c r="N1947" s="6" t="str">
        <f t="shared" si="123"/>
        <v>France,Polynésie Franà§Aise</v>
      </c>
    </row>
    <row r="1948" spans="1:14" x14ac:dyDescent="0.25">
      <c r="A1948" s="6" t="s">
        <v>4712</v>
      </c>
      <c r="B1948" s="6">
        <v>7940</v>
      </c>
      <c r="C1948" s="6" t="s">
        <v>4713</v>
      </c>
      <c r="D1948" s="7" t="s">
        <v>60</v>
      </c>
      <c r="E1948" s="6" t="s">
        <v>495</v>
      </c>
      <c r="F1948" s="6" t="s">
        <v>511</v>
      </c>
      <c r="G1948" s="8">
        <v>45748</v>
      </c>
      <c r="H1948" s="6">
        <v>1.03</v>
      </c>
      <c r="I1948" s="6" cm="1">
        <f t="array" ref="I1948">IFERROR(VALUE(TRIM(LEFT(E1948,MIN(FIND({" ";"g";"k";"m";"o"},E1948&amp;" gkmo"))-1))),0)</f>
        <v>35</v>
      </c>
      <c r="J1948" s="6" t="str" cm="1">
        <f t="array" ref="J1948">IFERROR(TRIM(MID(E1948,MIN(FIND({" ";"g";"k";"m";"o"},E1948&amp;" gkmo")),10)),"unknown")</f>
        <v>g</v>
      </c>
      <c r="K1948" s="6" t="str">
        <f t="shared" si="120"/>
        <v>g</v>
      </c>
      <c r="L1948" s="6" t="str">
        <f t="shared" si="121"/>
        <v>Lindt</v>
      </c>
      <c r="M1948" s="6" t="str">
        <f t="shared" si="122"/>
        <v>Excellence Dark 70% Cocoa</v>
      </c>
      <c r="N1948" s="6" t="str">
        <f t="shared" si="123"/>
        <v>France,Morocco</v>
      </c>
    </row>
    <row r="1949" spans="1:14" x14ac:dyDescent="0.25">
      <c r="A1949" s="6" t="s">
        <v>4714</v>
      </c>
      <c r="B1949" s="6">
        <v>9356</v>
      </c>
      <c r="C1949" s="6" t="s">
        <v>4715</v>
      </c>
      <c r="D1949" s="7" t="s">
        <v>1345</v>
      </c>
      <c r="E1949" s="6" t="s">
        <v>14</v>
      </c>
      <c r="F1949" s="6" t="s">
        <v>139</v>
      </c>
      <c r="G1949" s="8">
        <v>46020</v>
      </c>
      <c r="H1949" s="6">
        <v>18.32</v>
      </c>
      <c r="I1949" s="6" cm="1">
        <f t="array" ref="I1949">IFERROR(VALUE(TRIM(LEFT(E1949,MIN(FIND({" ";"g";"k";"m";"o"},E1949&amp;" gkmo"))-1))),0)</f>
        <v>300</v>
      </c>
      <c r="J1949" s="6" t="str" cm="1">
        <f t="array" ref="J1949">IFERROR(TRIM(MID(E1949,MIN(FIND({" ";"g";"k";"m";"o"},E1949&amp;" gkmo")),10)),"unknown")</f>
        <v>g</v>
      </c>
      <c r="K1949" s="6" t="str">
        <f t="shared" si="120"/>
        <v>g</v>
      </c>
      <c r="L1949" s="6" t="str">
        <f t="shared" si="121"/>
        <v>Haribo</v>
      </c>
      <c r="M1949" s="6" t="str">
        <f t="shared" si="122"/>
        <v>Zanzigliss 300G</v>
      </c>
      <c r="N1949" s="6" t="str">
        <f t="shared" si="123"/>
        <v>France</v>
      </c>
    </row>
    <row r="1950" spans="1:14" x14ac:dyDescent="0.25">
      <c r="A1950" s="6" t="s">
        <v>4716</v>
      </c>
      <c r="B1950" s="6">
        <v>9108</v>
      </c>
      <c r="C1950" s="6" t="s">
        <v>4717</v>
      </c>
      <c r="D1950" s="7" t="s">
        <v>3146</v>
      </c>
      <c r="E1950" s="6" t="s">
        <v>151</v>
      </c>
      <c r="F1950" s="6" t="s">
        <v>1181</v>
      </c>
      <c r="G1950" s="8">
        <v>45690</v>
      </c>
      <c r="H1950" s="6">
        <v>4.04</v>
      </c>
      <c r="I1950" s="6" cm="1">
        <f t="array" ref="I1950">IFERROR(VALUE(TRIM(LEFT(E1950,MIN(FIND({" ";"g";"k";"m";"o"},E1950&amp;" gkmo"))-1))),0)</f>
        <v>200</v>
      </c>
      <c r="J1950" s="6" t="str" cm="1">
        <f t="array" ref="J1950">IFERROR(TRIM(MID(E1950,MIN(FIND({" ";"g";"k";"m";"o"},E1950&amp;" gkmo")),10)),"unknown")</f>
        <v>g</v>
      </c>
      <c r="K1950" s="6" t="str">
        <f t="shared" si="120"/>
        <v>g</v>
      </c>
      <c r="L1950" s="6" t="str">
        <f t="shared" si="121"/>
        <v>Delacre, Ferrero</v>
      </c>
      <c r="M1950" s="6" t="str">
        <f t="shared" si="122"/>
        <v>Biscuits Delacre Cigarettes Russes - 200G</v>
      </c>
      <c r="N1950" s="6" t="str">
        <f t="shared" si="123"/>
        <v>France,Switzerland</v>
      </c>
    </row>
    <row r="1951" spans="1:14" x14ac:dyDescent="0.25">
      <c r="A1951" s="6" t="s">
        <v>4718</v>
      </c>
      <c r="B1951" s="6">
        <v>13698</v>
      </c>
      <c r="C1951" s="6" t="s">
        <v>7789</v>
      </c>
      <c r="D1951" s="7" t="s">
        <v>7030</v>
      </c>
      <c r="E1951" s="6" t="s">
        <v>4719</v>
      </c>
      <c r="F1951" s="6" t="s">
        <v>139</v>
      </c>
      <c r="G1951" s="8">
        <v>45393</v>
      </c>
      <c r="H1951" s="6">
        <v>17.62</v>
      </c>
      <c r="I1951" s="6" cm="1">
        <f t="array" ref="I1951">IFERROR(VALUE(TRIM(LEFT(E1951,MIN(FIND({" ";"g";"k";"m";"o"},E1951&amp;" gkmo"))-1))),0)</f>
        <v>124</v>
      </c>
      <c r="J1951" s="6" t="str" cm="1">
        <f t="array" ref="J1951">IFERROR(TRIM(MID(E1951,MIN(FIND({" ";"g";"k";"m";"o"},E1951&amp;" gkmo")),10)),"unknown")</f>
        <v>g</v>
      </c>
      <c r="K1951" s="6" t="str">
        <f t="shared" si="120"/>
        <v>g</v>
      </c>
      <c r="L1951" s="6" t="str">
        <f t="shared" si="121"/>
        <v>Gerblé</v>
      </c>
      <c r="M1951" s="6" t="str">
        <f t="shared" si="122"/>
        <v>Galette Maà¯S Chocolat Au Lait</v>
      </c>
      <c r="N1951" s="6" t="str">
        <f t="shared" si="123"/>
        <v>France</v>
      </c>
    </row>
    <row r="1952" spans="1:14" x14ac:dyDescent="0.25">
      <c r="A1952" s="6" t="s">
        <v>4720</v>
      </c>
      <c r="B1952" s="6">
        <v>8985</v>
      </c>
      <c r="C1952" s="6" t="s">
        <v>4721</v>
      </c>
      <c r="D1952" s="7" t="s">
        <v>310</v>
      </c>
      <c r="E1952" s="6" t="s">
        <v>156</v>
      </c>
      <c r="F1952" s="6" t="s">
        <v>139</v>
      </c>
      <c r="G1952" s="8">
        <v>45689</v>
      </c>
      <c r="H1952" s="6">
        <v>9.4600000000000009</v>
      </c>
      <c r="I1952" s="6" cm="1">
        <f t="array" ref="I1952">IFERROR(VALUE(TRIM(LEFT(E1952,MIN(FIND({" ";"g";"k";"m";"o"},E1952&amp;" gkmo"))-1))),0)</f>
        <v>500</v>
      </c>
      <c r="J1952" s="6" t="str" cm="1">
        <f t="array" ref="J1952">IFERROR(TRIM(MID(E1952,MIN(FIND({" ";"g";"k";"m";"o"},E1952&amp;" gkmo")),10)),"unknown")</f>
        <v>g</v>
      </c>
      <c r="K1952" s="6" t="str">
        <f t="shared" si="120"/>
        <v>g</v>
      </c>
      <c r="L1952" s="6" t="str">
        <f t="shared" si="121"/>
        <v>St Michel</v>
      </c>
      <c r="M1952" s="6" t="str">
        <f t="shared" si="122"/>
        <v>Cake Moeles</v>
      </c>
      <c r="N1952" s="6" t="str">
        <f t="shared" si="123"/>
        <v>France</v>
      </c>
    </row>
    <row r="1953" spans="1:14" x14ac:dyDescent="0.25">
      <c r="A1953" s="6" t="s">
        <v>4722</v>
      </c>
      <c r="B1953" s="6">
        <v>12865</v>
      </c>
      <c r="C1953" s="6" t="s">
        <v>7308</v>
      </c>
      <c r="D1953" s="7" t="s">
        <v>1084</v>
      </c>
      <c r="E1953" s="6" t="s">
        <v>653</v>
      </c>
      <c r="F1953" s="6" t="s">
        <v>213</v>
      </c>
      <c r="G1953" s="8">
        <v>45407</v>
      </c>
      <c r="H1953" s="6">
        <v>8.99</v>
      </c>
      <c r="I1953" s="6" cm="1">
        <f t="array" ref="I1953">IFERROR(VALUE(TRIM(LEFT(E1953,MIN(FIND({" ";"g";"k";"m";"o"},E1953&amp;" gkmo"))-1))),0)</f>
        <v>310</v>
      </c>
      <c r="J1953" s="6" t="str" cm="1">
        <f t="array" ref="J1953">IFERROR(TRIM(MID(E1953,MIN(FIND({" ";"g";"k";"m";"o"},E1953&amp;" gkmo")),10)),"unknown")</f>
        <v>g</v>
      </c>
      <c r="K1953" s="6" t="str">
        <f t="shared" si="120"/>
        <v>g</v>
      </c>
      <c r="L1953" s="6" t="str">
        <f t="shared" si="121"/>
        <v>Lotus</v>
      </c>
      <c r="M1953" s="6" t="str">
        <f t="shared" si="122"/>
        <v>Lotus Gaufres Fourrées Cå“Ur Fondant Vergeoise 310G (5X2P)</v>
      </c>
      <c r="N1953" s="6" t="str">
        <f t="shared" si="123"/>
        <v>Belgium,France</v>
      </c>
    </row>
    <row r="1954" spans="1:14" x14ac:dyDescent="0.25">
      <c r="A1954" s="6" t="s">
        <v>4723</v>
      </c>
      <c r="B1954" s="6">
        <v>6419</v>
      </c>
      <c r="C1954" s="6" t="s">
        <v>7309</v>
      </c>
      <c r="D1954" s="7" t="s">
        <v>3638</v>
      </c>
      <c r="E1954" s="6" t="s">
        <v>10</v>
      </c>
      <c r="F1954" s="6" t="s">
        <v>8289</v>
      </c>
      <c r="G1954" s="8">
        <v>45593</v>
      </c>
      <c r="H1954" s="6">
        <v>16.489999999999998</v>
      </c>
      <c r="I1954" s="6" cm="1">
        <f t="array" ref="I1954">IFERROR(VALUE(TRIM(LEFT(E1954,MIN(FIND({" ";"g";"k";"m";"o"},E1954&amp;" gkmo"))-1))),0)</f>
        <v>100</v>
      </c>
      <c r="J1954" s="6" t="str" cm="1">
        <f t="array" ref="J1954">IFERROR(TRIM(MID(E1954,MIN(FIND({" ";"g";"k";"m";"o"},E1954&amp;" gkmo")),10)),"unknown")</f>
        <v>g</v>
      </c>
      <c r="K1954" s="6" t="str">
        <f t="shared" si="120"/>
        <v>g</v>
      </c>
      <c r="L1954" s="6" t="str">
        <f t="shared" si="121"/>
        <v>Carrefour, Reflets De France</v>
      </c>
      <c r="M1954" s="6" t="str">
        <f t="shared" si="122"/>
        <v>Palets Bretons Spécialité De Pont-Aven Au Beurre</v>
      </c>
      <c r="N1954" s="6" t="str">
        <f t="shared" si="123"/>
        <v>France, Ca, Italie, Spain, Roumanie</v>
      </c>
    </row>
    <row r="1955" spans="1:14" x14ac:dyDescent="0.25">
      <c r="A1955" s="6" t="s">
        <v>4724</v>
      </c>
      <c r="B1955" s="6">
        <v>14870</v>
      </c>
      <c r="C1955" s="6" t="s">
        <v>4725</v>
      </c>
      <c r="D1955" s="7" t="s">
        <v>854</v>
      </c>
      <c r="E1955" s="6" t="s">
        <v>156</v>
      </c>
      <c r="F1955" s="6" t="s">
        <v>4726</v>
      </c>
      <c r="G1955" s="8">
        <v>45459</v>
      </c>
      <c r="H1955" s="6">
        <v>13.16</v>
      </c>
      <c r="I1955" s="6" cm="1">
        <f t="array" ref="I1955">IFERROR(VALUE(TRIM(LEFT(E1955,MIN(FIND({" ";"g";"k";"m";"o"},E1955&amp;" gkmo"))-1))),0)</f>
        <v>500</v>
      </c>
      <c r="J1955" s="6" t="str" cm="1">
        <f t="array" ref="J1955">IFERROR(TRIM(MID(E1955,MIN(FIND({" ";"g";"k";"m";"o"},E1955&amp;" gkmo")),10)),"unknown")</f>
        <v>g</v>
      </c>
      <c r="K1955" s="6" t="str">
        <f t="shared" si="120"/>
        <v>g</v>
      </c>
      <c r="L1955" s="6" t="str">
        <f t="shared" si="121"/>
        <v>Carrefour</v>
      </c>
      <c r="M1955" s="6" t="str">
        <f t="shared" si="122"/>
        <v>Madeleines Moelleuses</v>
      </c>
      <c r="N1955" s="6" t="str">
        <f t="shared" si="123"/>
        <v>France, Guadeloupe</v>
      </c>
    </row>
    <row r="1956" spans="1:14" x14ac:dyDescent="0.25">
      <c r="A1956" s="6" t="s">
        <v>4727</v>
      </c>
      <c r="B1956" s="6">
        <v>12909</v>
      </c>
      <c r="C1956" s="6" t="s">
        <v>7310</v>
      </c>
      <c r="D1956" s="7" t="s">
        <v>7017</v>
      </c>
      <c r="E1956" s="6"/>
      <c r="F1956" s="6" t="s">
        <v>8243</v>
      </c>
      <c r="G1956" s="8">
        <v>45459</v>
      </c>
      <c r="H1956" s="6">
        <v>21.11</v>
      </c>
      <c r="I1956" s="6" cm="1">
        <f t="array" ref="I1956">IFERROR(VALUE(TRIM(LEFT(E1956,MIN(FIND({" ";"g";"k";"m";"o"},E1956&amp;" gkmo"))-1))),0)</f>
        <v>0</v>
      </c>
      <c r="J1956" s="6" t="str" cm="1">
        <f t="array" ref="J1956">IFERROR(TRIM(MID(E1956,MIN(FIND({" ";"g";"k";"m";"o"},E1956&amp;" gkmo")),10)),"unknown")</f>
        <v/>
      </c>
      <c r="K1956" s="6" t="str">
        <f t="shared" si="120"/>
        <v>unknown</v>
      </c>
      <c r="L1956" s="6" t="str">
        <f t="shared" si="121"/>
        <v>Unknown</v>
      </c>
      <c r="M1956" s="6" t="str">
        <f t="shared" si="122"/>
        <v>Vitality* Sésame</v>
      </c>
      <c r="N1956" s="6" t="str">
        <f t="shared" si="123"/>
        <v>France,Italia,Espaà±A</v>
      </c>
    </row>
    <row r="1957" spans="1:14" x14ac:dyDescent="0.25">
      <c r="A1957" s="6" t="s">
        <v>4728</v>
      </c>
      <c r="B1957" s="6">
        <v>8125</v>
      </c>
      <c r="C1957" s="6" t="s">
        <v>4729</v>
      </c>
      <c r="D1957" s="7" t="s">
        <v>854</v>
      </c>
      <c r="E1957" s="6"/>
      <c r="F1957" s="6" t="s">
        <v>8287</v>
      </c>
      <c r="G1957" s="8">
        <v>45507</v>
      </c>
      <c r="H1957" s="6">
        <v>13.16</v>
      </c>
      <c r="I1957" s="6" cm="1">
        <f t="array" ref="I1957">IFERROR(VALUE(TRIM(LEFT(E1957,MIN(FIND({" ";"g";"k";"m";"o"},E1957&amp;" gkmo"))-1))),0)</f>
        <v>0</v>
      </c>
      <c r="J1957" s="6" t="str" cm="1">
        <f t="array" ref="J1957">IFERROR(TRIM(MID(E1957,MIN(FIND({" ";"g";"k";"m";"o"},E1957&amp;" gkmo")),10)),"unknown")</f>
        <v/>
      </c>
      <c r="K1957" s="6" t="str">
        <f t="shared" si="120"/>
        <v>unknown</v>
      </c>
      <c r="L1957" s="6" t="str">
        <f t="shared" si="121"/>
        <v>Carrefour</v>
      </c>
      <c r="M1957" s="6" t="str">
        <f t="shared" si="122"/>
        <v>Vitality* Orange &amp; Soja</v>
      </c>
      <c r="N1957" s="6" t="str">
        <f t="shared" si="123"/>
        <v>France, Morocco, Italie, Spain</v>
      </c>
    </row>
    <row r="1958" spans="1:14" x14ac:dyDescent="0.25">
      <c r="A1958" s="6" t="s">
        <v>4730</v>
      </c>
      <c r="B1958" s="6">
        <v>12574</v>
      </c>
      <c r="C1958" s="6" t="s">
        <v>7311</v>
      </c>
      <c r="D1958" s="7" t="s">
        <v>4731</v>
      </c>
      <c r="E1958" s="6"/>
      <c r="F1958" s="6" t="s">
        <v>139</v>
      </c>
      <c r="G1958" s="8">
        <v>45480</v>
      </c>
      <c r="H1958" s="6">
        <v>21.16</v>
      </c>
      <c r="I1958" s="6" cm="1">
        <f t="array" ref="I1958">IFERROR(VALUE(TRIM(LEFT(E1958,MIN(FIND({" ";"g";"k";"m";"o"},E1958&amp;" gkmo"))-1))),0)</f>
        <v>0</v>
      </c>
      <c r="J1958" s="6" t="str" cm="1">
        <f t="array" ref="J1958">IFERROR(TRIM(MID(E1958,MIN(FIND({" ";"g";"k";"m";"o"},E1958&amp;" gkmo")),10)),"unknown")</f>
        <v/>
      </c>
      <c r="K1958" s="6" t="str">
        <f t="shared" si="120"/>
        <v>unknown</v>
      </c>
      <c r="L1958" s="6" t="str">
        <f t="shared" si="121"/>
        <v>Chabrior, Chabrior Bio</v>
      </c>
      <c r="M1958" s="6" t="str">
        <f t="shared" si="122"/>
        <v>Biscuit Sésame Bio</v>
      </c>
      <c r="N1958" s="6" t="str">
        <f t="shared" si="123"/>
        <v>France</v>
      </c>
    </row>
    <row r="1959" spans="1:14" x14ac:dyDescent="0.25">
      <c r="A1959" s="6" t="s">
        <v>4732</v>
      </c>
      <c r="B1959" s="6">
        <v>10572</v>
      </c>
      <c r="C1959" s="6" t="s">
        <v>7312</v>
      </c>
      <c r="D1959" s="7" t="s">
        <v>2199</v>
      </c>
      <c r="E1959" s="6" t="s">
        <v>151</v>
      </c>
      <c r="F1959" s="6" t="s">
        <v>1092</v>
      </c>
      <c r="G1959" s="8">
        <v>45467</v>
      </c>
      <c r="H1959" s="6">
        <v>4.71</v>
      </c>
      <c r="I1959" s="6" cm="1">
        <f t="array" ref="I1959">IFERROR(VALUE(TRIM(LEFT(E1959,MIN(FIND({" ";"g";"k";"m";"o"},E1959&amp;" gkmo"))-1))),0)</f>
        <v>200</v>
      </c>
      <c r="J1959" s="6" t="str" cm="1">
        <f t="array" ref="J1959">IFERROR(TRIM(MID(E1959,MIN(FIND({" ";"g";"k";"m";"o"},E1959&amp;" gkmo")),10)),"unknown")</f>
        <v>g</v>
      </c>
      <c r="K1959" s="6" t="str">
        <f t="shared" si="120"/>
        <v>g</v>
      </c>
      <c r="L1959" s="6" t="str">
        <f t="shared" si="121"/>
        <v>U, U Bio</v>
      </c>
      <c r="M1959" s="6" t="str">
        <f t="shared" si="122"/>
        <v>Biscuits Sablés Bio Amandes Citron Paquet De 200G</v>
      </c>
      <c r="N1959" s="6" t="str">
        <f t="shared" si="123"/>
        <v>Frankrijk</v>
      </c>
    </row>
    <row r="1960" spans="1:14" x14ac:dyDescent="0.25">
      <c r="A1960" s="6" t="s">
        <v>4733</v>
      </c>
      <c r="B1960" s="6">
        <v>12273</v>
      </c>
      <c r="C1960" s="6" t="s">
        <v>7313</v>
      </c>
      <c r="D1960" s="7" t="s">
        <v>4734</v>
      </c>
      <c r="E1960" s="6" t="s">
        <v>156</v>
      </c>
      <c r="F1960" s="6" t="s">
        <v>139</v>
      </c>
      <c r="G1960" s="8">
        <v>45879</v>
      </c>
      <c r="H1960" s="6">
        <v>13.16</v>
      </c>
      <c r="I1960" s="6" cm="1">
        <f t="array" ref="I1960">IFERROR(VALUE(TRIM(LEFT(E1960,MIN(FIND({" ";"g";"k";"m";"o"},E1960&amp;" gkmo"))-1))),0)</f>
        <v>500</v>
      </c>
      <c r="J1960" s="6" t="str" cm="1">
        <f t="array" ref="J1960">IFERROR(TRIM(MID(E1960,MIN(FIND({" ";"g";"k";"m";"o"},E1960&amp;" gkmo")),10)),"unknown")</f>
        <v>g</v>
      </c>
      <c r="K1960" s="6" t="str">
        <f t="shared" si="120"/>
        <v>g</v>
      </c>
      <c r="L1960" s="6" t="str">
        <f t="shared" si="121"/>
        <v>Pasquier</v>
      </c>
      <c r="M1960" s="6" t="str">
        <f t="shared" si="122"/>
        <v>Brioche Tressée Tranchée Pépites</v>
      </c>
      <c r="N1960" s="6" t="str">
        <f t="shared" si="123"/>
        <v>France</v>
      </c>
    </row>
    <row r="1961" spans="1:14" x14ac:dyDescent="0.25">
      <c r="A1961" s="6" t="s">
        <v>4735</v>
      </c>
      <c r="B1961" s="6">
        <v>14018</v>
      </c>
      <c r="C1961" s="6" t="s">
        <v>4736</v>
      </c>
      <c r="D1961" s="7" t="s">
        <v>4737</v>
      </c>
      <c r="E1961" s="6" t="s">
        <v>4738</v>
      </c>
      <c r="F1961" s="6" t="s">
        <v>139</v>
      </c>
      <c r="G1961" s="8">
        <v>45782</v>
      </c>
      <c r="H1961" s="6">
        <v>22.09</v>
      </c>
      <c r="I1961" s="6" cm="1">
        <f t="array" ref="I1961">IFERROR(VALUE(TRIM(LEFT(E1961,MIN(FIND({" ";"g";"k";"m";"o"},E1961&amp;" gkmo"))-1))),0)</f>
        <v>250</v>
      </c>
      <c r="J1961" s="6" t="str" cm="1">
        <f t="array" ref="J1961">IFERROR(TRIM(MID(E1961,MIN(FIND({" ";"g";"k";"m";"o"},E1961&amp;" gkmo")),10)),"unknown")</f>
        <v>gr</v>
      </c>
      <c r="K1961" s="6" t="str">
        <f t="shared" si="120"/>
        <v>g</v>
      </c>
      <c r="L1961" s="6" t="str">
        <f t="shared" si="121"/>
        <v>Maison Fossier</v>
      </c>
      <c r="M1961" s="6" t="str">
        <f t="shared" si="122"/>
        <v>Biscuits Rose De Reims</v>
      </c>
      <c r="N1961" s="6" t="str">
        <f t="shared" si="123"/>
        <v>France</v>
      </c>
    </row>
    <row r="1962" spans="1:14" x14ac:dyDescent="0.25">
      <c r="A1962" s="6" t="s">
        <v>4739</v>
      </c>
      <c r="B1962" s="6">
        <v>6658</v>
      </c>
      <c r="C1962" s="6" t="s">
        <v>4740</v>
      </c>
      <c r="D1962" s="7" t="s">
        <v>1944</v>
      </c>
      <c r="E1962" s="6" t="s">
        <v>151</v>
      </c>
      <c r="F1962" s="6" t="s">
        <v>8280</v>
      </c>
      <c r="G1962" s="8">
        <v>45539</v>
      </c>
      <c r="H1962" s="6">
        <v>21.24</v>
      </c>
      <c r="I1962" s="6" cm="1">
        <f t="array" ref="I1962">IFERROR(VALUE(TRIM(LEFT(E1962,MIN(FIND({" ";"g";"k";"m";"o"},E1962&amp;" gkmo"))-1))),0)</f>
        <v>200</v>
      </c>
      <c r="J1962" s="6" t="str" cm="1">
        <f t="array" ref="J1962">IFERROR(TRIM(MID(E1962,MIN(FIND({" ";"g";"k";"m";"o"},E1962&amp;" gkmo")),10)),"unknown")</f>
        <v>g</v>
      </c>
      <c r="K1962" s="6" t="str">
        <f t="shared" si="120"/>
        <v>g</v>
      </c>
      <c r="L1962" s="6" t="str">
        <f t="shared" si="121"/>
        <v>Carrefour Bio</v>
      </c>
      <c r="M1962" s="6" t="str">
        <f t="shared" si="122"/>
        <v>Crackers Emmental &amp; Pipas De Calabaza</v>
      </c>
      <c r="N1962" s="6" t="str">
        <f t="shared" si="123"/>
        <v>France,Italie,Spain</v>
      </c>
    </row>
    <row r="1963" spans="1:14" x14ac:dyDescent="0.25">
      <c r="A1963" s="6" t="s">
        <v>4741</v>
      </c>
      <c r="B1963" s="6">
        <v>14723</v>
      </c>
      <c r="C1963" s="6" t="s">
        <v>4742</v>
      </c>
      <c r="D1963" s="7" t="s">
        <v>4743</v>
      </c>
      <c r="E1963" s="6" t="s">
        <v>423</v>
      </c>
      <c r="F1963" s="6" t="s">
        <v>8315</v>
      </c>
      <c r="G1963" s="8">
        <v>45867</v>
      </c>
      <c r="H1963" s="6">
        <v>13.16</v>
      </c>
      <c r="I1963" s="6" cm="1">
        <f t="array" ref="I1963">IFERROR(VALUE(TRIM(LEFT(E1963,MIN(FIND({" ";"g";"k";"m";"o"},E1963&amp;" gkmo"))-1))),0)</f>
        <v>125</v>
      </c>
      <c r="J1963" s="6" t="str" cm="1">
        <f t="array" ref="J1963">IFERROR(TRIM(MID(E1963,MIN(FIND({" ";"g";"k";"m";"o"},E1963&amp;" gkmo")),10)),"unknown")</f>
        <v>g</v>
      </c>
      <c r="K1963" s="6" t="str">
        <f t="shared" si="120"/>
        <v>g</v>
      </c>
      <c r="L1963" s="6" t="str">
        <f t="shared" si="121"/>
        <v>Carrefour, Carrefour Classic</v>
      </c>
      <c r="M1963" s="6" t="str">
        <f t="shared" si="122"/>
        <v>Noisette</v>
      </c>
      <c r="N1963" s="6" t="str">
        <f t="shared" si="123"/>
        <v>Belgium,France,Italie,Spain</v>
      </c>
    </row>
    <row r="1964" spans="1:14" x14ac:dyDescent="0.25">
      <c r="A1964" s="6" t="s">
        <v>4744</v>
      </c>
      <c r="B1964" s="6">
        <v>10636</v>
      </c>
      <c r="C1964" s="6" t="s">
        <v>7758</v>
      </c>
      <c r="D1964" s="7" t="s">
        <v>854</v>
      </c>
      <c r="E1964" s="6" t="s">
        <v>1790</v>
      </c>
      <c r="F1964" s="6" t="s">
        <v>8280</v>
      </c>
      <c r="G1964" s="8">
        <v>45860</v>
      </c>
      <c r="H1964" s="6">
        <v>21.09</v>
      </c>
      <c r="I1964" s="6" cm="1">
        <f t="array" ref="I1964">IFERROR(VALUE(TRIM(LEFT(E1964,MIN(FIND({" ";"g";"k";"m";"o"},E1964&amp;" gkmo"))-1))),0)</f>
        <v>75</v>
      </c>
      <c r="J1964" s="6" t="str" cm="1">
        <f t="array" ref="J1964">IFERROR(TRIM(MID(E1964,MIN(FIND({" ";"g";"k";"m";"o"},E1964&amp;" gkmo")),10)),"unknown")</f>
        <v>g</v>
      </c>
      <c r="K1964" s="6" t="str">
        <f t="shared" si="120"/>
        <v>g</v>
      </c>
      <c r="L1964" s="6" t="str">
        <f t="shared" si="121"/>
        <v>Carrefour</v>
      </c>
      <c r="M1964" s="6" t="str">
        <f t="shared" si="122"/>
        <v>Chips À  La Crevette</v>
      </c>
      <c r="N1964" s="6" t="str">
        <f t="shared" si="123"/>
        <v>France,Italie,Spain</v>
      </c>
    </row>
    <row r="1965" spans="1:14" x14ac:dyDescent="0.25">
      <c r="A1965" s="6" t="s">
        <v>4745</v>
      </c>
      <c r="B1965" s="6">
        <v>5250</v>
      </c>
      <c r="C1965" s="6" t="s">
        <v>2521</v>
      </c>
      <c r="D1965" s="7" t="s">
        <v>7480</v>
      </c>
      <c r="E1965" s="6" t="s">
        <v>1396</v>
      </c>
      <c r="F1965" s="6" t="s">
        <v>139</v>
      </c>
      <c r="G1965" s="8">
        <v>45340</v>
      </c>
      <c r="H1965" s="6">
        <v>8.8000000000000007</v>
      </c>
      <c r="I1965" s="6" cm="1">
        <f t="array" ref="I1965">IFERROR(VALUE(TRIM(LEFT(E1965,MIN(FIND({" ";"g";"k";"m";"o"},E1965&amp;" gkmo"))-1))),0)</f>
        <v>600</v>
      </c>
      <c r="J1965" s="6" t="str" cm="1">
        <f t="array" ref="J1965">IFERROR(TRIM(MID(E1965,MIN(FIND({" ";"g";"k";"m";"o"},E1965&amp;" gkmo")),10)),"unknown")</f>
        <v>g</v>
      </c>
      <c r="K1965" s="6" t="str">
        <f t="shared" si="120"/>
        <v>g</v>
      </c>
      <c r="L1965" s="6" t="str">
        <f t="shared" si="121"/>
        <v>Marque Repère, P'Tit Déli</v>
      </c>
      <c r="M1965" s="6" t="str">
        <f t="shared" si="122"/>
        <v>Madeleines Coquilles</v>
      </c>
      <c r="N1965" s="6" t="str">
        <f t="shared" si="123"/>
        <v>France</v>
      </c>
    </row>
    <row r="1966" spans="1:14" x14ac:dyDescent="0.25">
      <c r="A1966" s="6" t="s">
        <v>4746</v>
      </c>
      <c r="B1966" s="6">
        <v>13349</v>
      </c>
      <c r="C1966" s="6" t="s">
        <v>4747</v>
      </c>
      <c r="D1966" s="7" t="s">
        <v>7496</v>
      </c>
      <c r="E1966" s="6" t="s">
        <v>151</v>
      </c>
      <c r="F1966" s="6" t="s">
        <v>139</v>
      </c>
      <c r="G1966" s="8">
        <v>45406</v>
      </c>
      <c r="H1966" s="6">
        <v>3.84</v>
      </c>
      <c r="I1966" s="6" cm="1">
        <f t="array" ref="I1966">IFERROR(VALUE(TRIM(LEFT(E1966,MIN(FIND({" ";"g";"k";"m";"o"},E1966&amp;" gkmo"))-1))),0)</f>
        <v>200</v>
      </c>
      <c r="J1966" s="6" t="str" cm="1">
        <f t="array" ref="J1966">IFERROR(TRIM(MID(E1966,MIN(FIND({" ";"g";"k";"m";"o"},E1966&amp;" gkmo")),10)),"unknown")</f>
        <v>g</v>
      </c>
      <c r="K1966" s="6" t="str">
        <f t="shared" si="120"/>
        <v>g</v>
      </c>
      <c r="L1966" s="6" t="str">
        <f t="shared" si="121"/>
        <v>Bio Village, Marque Repère</v>
      </c>
      <c r="M1966" s="6" t="str">
        <f t="shared" si="122"/>
        <v>Chocolat Noir Dessert Bio</v>
      </c>
      <c r="N1966" s="6" t="str">
        <f t="shared" si="123"/>
        <v>France</v>
      </c>
    </row>
    <row r="1967" spans="1:14" x14ac:dyDescent="0.25">
      <c r="A1967" s="6" t="s">
        <v>4748</v>
      </c>
      <c r="B1967" s="6">
        <v>11027</v>
      </c>
      <c r="C1967" s="6" t="s">
        <v>7314</v>
      </c>
      <c r="D1967" s="7" t="s">
        <v>555</v>
      </c>
      <c r="E1967" s="6" t="s">
        <v>10</v>
      </c>
      <c r="F1967" s="6" t="s">
        <v>139</v>
      </c>
      <c r="G1967" s="8">
        <v>46007</v>
      </c>
      <c r="H1967" s="6">
        <v>7.89</v>
      </c>
      <c r="I1967" s="6" cm="1">
        <f t="array" ref="I1967">IFERROR(VALUE(TRIM(LEFT(E1967,MIN(FIND({" ";"g";"k";"m";"o"},E1967&amp;" gkmo"))-1))),0)</f>
        <v>100</v>
      </c>
      <c r="J1967" s="6" t="str" cm="1">
        <f t="array" ref="J1967">IFERROR(TRIM(MID(E1967,MIN(FIND({" ";"g";"k";"m";"o"},E1967&amp;" gkmo")),10)),"unknown")</f>
        <v>g</v>
      </c>
      <c r="K1967" s="6" t="str">
        <f t="shared" si="120"/>
        <v>g</v>
      </c>
      <c r="L1967" s="6" t="str">
        <f t="shared" si="121"/>
        <v>Alter Eco</v>
      </c>
      <c r="M1967" s="6" t="str">
        <f t="shared" si="122"/>
        <v>Chocolat Noir Intense Dégustation</v>
      </c>
      <c r="N1967" s="6" t="str">
        <f t="shared" si="123"/>
        <v>France</v>
      </c>
    </row>
    <row r="1968" spans="1:14" x14ac:dyDescent="0.25">
      <c r="A1968" s="6" t="s">
        <v>4749</v>
      </c>
      <c r="B1968" s="6">
        <v>10387</v>
      </c>
      <c r="C1968" s="6" t="s">
        <v>7315</v>
      </c>
      <c r="D1968" s="7" t="s">
        <v>600</v>
      </c>
      <c r="E1968" s="6" t="s">
        <v>10</v>
      </c>
      <c r="F1968" s="6" t="s">
        <v>139</v>
      </c>
      <c r="G1968" s="8">
        <v>46009</v>
      </c>
      <c r="H1968" s="6">
        <v>21.79</v>
      </c>
      <c r="I1968" s="6" cm="1">
        <f t="array" ref="I1968">IFERROR(VALUE(TRIM(LEFT(E1968,MIN(FIND({" ";"g";"k";"m";"o"},E1968&amp;" gkmo"))-1))),0)</f>
        <v>100</v>
      </c>
      <c r="J1968" s="6" t="str" cm="1">
        <f t="array" ref="J1968">IFERROR(TRIM(MID(E1968,MIN(FIND({" ";"g";"k";"m";"o"},E1968&amp;" gkmo")),10)),"unknown")</f>
        <v>g</v>
      </c>
      <c r="K1968" s="6" t="str">
        <f t="shared" si="120"/>
        <v>g</v>
      </c>
      <c r="L1968" s="6" t="str">
        <f t="shared" si="121"/>
        <v>Ethiquable</v>
      </c>
      <c r="M1968" s="6" t="str">
        <f t="shared" si="122"/>
        <v>Chocolat Au Lait Riz Soufflé</v>
      </c>
      <c r="N1968" s="6" t="str">
        <f t="shared" si="123"/>
        <v>France</v>
      </c>
    </row>
    <row r="1969" spans="1:14" x14ac:dyDescent="0.25">
      <c r="A1969" s="6" t="s">
        <v>4750</v>
      </c>
      <c r="B1969" s="6">
        <v>13477</v>
      </c>
      <c r="C1969" s="6" t="s">
        <v>4751</v>
      </c>
      <c r="D1969" s="7" t="s">
        <v>3812</v>
      </c>
      <c r="E1969" s="6" t="s">
        <v>4752</v>
      </c>
      <c r="F1969" s="6" t="s">
        <v>8421</v>
      </c>
      <c r="G1969" s="8">
        <v>45435</v>
      </c>
      <c r="H1969" s="6">
        <v>24.11</v>
      </c>
      <c r="I1969" s="6" cm="1">
        <f t="array" ref="I1969">IFERROR(VALUE(TRIM(LEFT(E1969,MIN(FIND({" ";"g";"k";"m";"o"},E1969&amp;" gkmo"))-1))),0)</f>
        <v>185</v>
      </c>
      <c r="J1969" s="6" t="str" cm="1">
        <f t="array" ref="J1969">IFERROR(TRIM(MID(E1969,MIN(FIND({" ";"g";"k";"m";"o"},E1969&amp;" gkmo")),10)),"unknown")</f>
        <v>g, 10 bar</v>
      </c>
      <c r="K1969" s="6" t="str">
        <f t="shared" si="120"/>
        <v>g</v>
      </c>
      <c r="L1969" s="6" t="str">
        <f t="shared" si="121"/>
        <v>Balisto</v>
      </c>
      <c r="M1969" s="6" t="str">
        <f t="shared" si="122"/>
        <v>Balisto Miel Amandes X10</v>
      </c>
      <c r="N1969" s="6" t="str">
        <f t="shared" si="123"/>
        <v>Autriche,France,Germany,Italie,Netherlands,Switzerland</v>
      </c>
    </row>
    <row r="1970" spans="1:14" x14ac:dyDescent="0.25">
      <c r="A1970" s="6" t="s">
        <v>4753</v>
      </c>
      <c r="B1970" s="6">
        <v>9705</v>
      </c>
      <c r="C1970" s="6" t="s">
        <v>7316</v>
      </c>
      <c r="D1970" s="7" t="s">
        <v>199</v>
      </c>
      <c r="E1970" s="6" t="s">
        <v>528</v>
      </c>
      <c r="F1970" s="6" t="s">
        <v>139</v>
      </c>
      <c r="G1970" s="8">
        <v>45569</v>
      </c>
      <c r="H1970" s="6">
        <v>16.149999999999999</v>
      </c>
      <c r="I1970" s="6" cm="1">
        <f t="array" ref="I1970">IFERROR(VALUE(TRIM(LEFT(E1970,MIN(FIND({" ";"g";"k";"m";"o"},E1970&amp;" gkmo"))-1))),0)</f>
        <v>200</v>
      </c>
      <c r="J1970" s="6" t="str" cm="1">
        <f t="array" ref="J1970">IFERROR(TRIM(MID(E1970,MIN(FIND({" ";"g";"k";"m";"o"},E1970&amp;" gkmo")),10)),"unknown")</f>
        <v>g</v>
      </c>
      <c r="K1970" s="6" t="str">
        <f t="shared" si="120"/>
        <v>g</v>
      </c>
      <c r="L1970" s="6" t="str">
        <f t="shared" si="121"/>
        <v>Bn</v>
      </c>
      <c r="M1970" s="6" t="str">
        <f t="shared" si="122"/>
        <v>P'Tit Déj - Biscuits Nappés De Chocolat Au Lait</v>
      </c>
      <c r="N1970" s="6" t="str">
        <f t="shared" si="123"/>
        <v>France</v>
      </c>
    </row>
    <row r="1971" spans="1:14" x14ac:dyDescent="0.25">
      <c r="A1971" s="6" t="s">
        <v>4754</v>
      </c>
      <c r="B1971" s="6">
        <v>5675</v>
      </c>
      <c r="C1971" s="6" t="s">
        <v>4755</v>
      </c>
      <c r="D1971" s="7" t="s">
        <v>726</v>
      </c>
      <c r="E1971" s="6"/>
      <c r="F1971" s="6" t="s">
        <v>7926</v>
      </c>
      <c r="G1971" s="8">
        <v>45557</v>
      </c>
      <c r="H1971" s="6">
        <v>13.16</v>
      </c>
      <c r="I1971" s="6" cm="1">
        <f t="array" ref="I1971">IFERROR(VALUE(TRIM(LEFT(E1971,MIN(FIND({" ";"g";"k";"m";"o"},E1971&amp;" gkmo"))-1))),0)</f>
        <v>0</v>
      </c>
      <c r="J1971" s="6" t="str" cm="1">
        <f t="array" ref="J1971">IFERROR(TRIM(MID(E1971,MIN(FIND({" ";"g";"k";"m";"o"},E1971&amp;" gkmo")),10)),"unknown")</f>
        <v/>
      </c>
      <c r="K1971" s="6" t="str">
        <f t="shared" si="120"/>
        <v>unknown</v>
      </c>
      <c r="L1971" s="6" t="str">
        <f t="shared" si="121"/>
        <v>Walkers</v>
      </c>
      <c r="M1971" s="6" t="str">
        <f t="shared" si="122"/>
        <v>Wotsits</v>
      </c>
      <c r="N1971" s="6" t="str">
        <f t="shared" si="123"/>
        <v>France, United-Kingdom</v>
      </c>
    </row>
    <row r="1972" spans="1:14" x14ac:dyDescent="0.25">
      <c r="A1972" s="6" t="s">
        <v>4756</v>
      </c>
      <c r="B1972" s="6">
        <v>13428</v>
      </c>
      <c r="C1972" s="6" t="s">
        <v>4757</v>
      </c>
      <c r="D1972" s="7" t="s">
        <v>248</v>
      </c>
      <c r="E1972" s="6" t="s">
        <v>39</v>
      </c>
      <c r="F1972" s="6" t="s">
        <v>177</v>
      </c>
      <c r="G1972" s="8">
        <v>45680</v>
      </c>
      <c r="H1972" s="6">
        <v>8.98</v>
      </c>
      <c r="I1972" s="6" cm="1">
        <f t="array" ref="I1972">IFERROR(VALUE(TRIM(LEFT(E1972,MIN(FIND({" ";"g";"k";"m";"o"},E1972&amp;" gkmo"))-1))),0)</f>
        <v>150</v>
      </c>
      <c r="J1972" s="6" t="str" cm="1">
        <f t="array" ref="J1972">IFERROR(TRIM(MID(E1972,MIN(FIND({" ";"g";"k";"m";"o"},E1972&amp;" gkmo")),10)),"unknown")</f>
        <v>g</v>
      </c>
      <c r="K1972" s="6" t="str">
        <f t="shared" si="120"/>
        <v>g</v>
      </c>
      <c r="L1972" s="6" t="str">
        <f t="shared" si="121"/>
        <v>Tesco</v>
      </c>
      <c r="M1972" s="6" t="str">
        <f t="shared" si="122"/>
        <v>Mature Cheddar &amp; Red Onion Flavour Hand Cooked Crisps</v>
      </c>
      <c r="N1972" s="6" t="str">
        <f t="shared" si="123"/>
        <v>United Kingdom</v>
      </c>
    </row>
    <row r="1973" spans="1:14" x14ac:dyDescent="0.25">
      <c r="A1973" s="6" t="s">
        <v>4758</v>
      </c>
      <c r="B1973" s="6">
        <v>7567</v>
      </c>
      <c r="C1973" s="6" t="s">
        <v>4759</v>
      </c>
      <c r="D1973" s="7" t="s">
        <v>204</v>
      </c>
      <c r="E1973" s="6" t="s">
        <v>138</v>
      </c>
      <c r="F1973" s="6" t="s">
        <v>8346</v>
      </c>
      <c r="G1973" s="8">
        <v>45801</v>
      </c>
      <c r="H1973" s="6">
        <v>16.88</v>
      </c>
      <c r="I1973" s="6" cm="1">
        <f t="array" ref="I1973">IFERROR(VALUE(TRIM(LEFT(E1973,MIN(FIND({" ";"g";"k";"m";"o"},E1973&amp;" gkmo"))-1))),0)</f>
        <v>400</v>
      </c>
      <c r="J1973" s="6" t="str" cm="1">
        <f t="array" ref="J1973">IFERROR(TRIM(MID(E1973,MIN(FIND({" ";"g";"k";"m";"o"},E1973&amp;" gkmo")),10)),"unknown")</f>
        <v>g</v>
      </c>
      <c r="K1973" s="6" t="str">
        <f t="shared" si="120"/>
        <v>g</v>
      </c>
      <c r="L1973" s="6" t="str">
        <f t="shared" si="121"/>
        <v>Mcvitie'S</v>
      </c>
      <c r="M1973" s="6" t="str">
        <f t="shared" si="122"/>
        <v>The Original Digestive</v>
      </c>
      <c r="N1973" s="6" t="str">
        <f t="shared" si="123"/>
        <v>France, Italie, Switzerland</v>
      </c>
    </row>
    <row r="1974" spans="1:14" x14ac:dyDescent="0.25">
      <c r="A1974" s="6" t="s">
        <v>4760</v>
      </c>
      <c r="B1974" s="6">
        <v>13395</v>
      </c>
      <c r="C1974" s="6" t="s">
        <v>4761</v>
      </c>
      <c r="D1974" s="7" t="s">
        <v>4762</v>
      </c>
      <c r="E1974" s="6" t="s">
        <v>39</v>
      </c>
      <c r="F1974" s="6" t="s">
        <v>7926</v>
      </c>
      <c r="G1974" s="8">
        <v>45681</v>
      </c>
      <c r="H1974" s="6">
        <v>13.16</v>
      </c>
      <c r="I1974" s="6" cm="1">
        <f t="array" ref="I1974">IFERROR(VALUE(TRIM(LEFT(E1974,MIN(FIND({" ";"g";"k";"m";"o"},E1974&amp;" gkmo"))-1))),0)</f>
        <v>150</v>
      </c>
      <c r="J1974" s="6" t="str" cm="1">
        <f t="array" ref="J1974">IFERROR(TRIM(MID(E1974,MIN(FIND({" ";"g";"k";"m";"o"},E1974&amp;" gkmo")),10)),"unknown")</f>
        <v>g</v>
      </c>
      <c r="K1974" s="6" t="str">
        <f t="shared" si="120"/>
        <v>g</v>
      </c>
      <c r="L1974" s="6" t="str">
        <f t="shared" si="121"/>
        <v>Pipers, Trade Mark</v>
      </c>
      <c r="M1974" s="6" t="str">
        <f t="shared" si="122"/>
        <v>Pipers Lye Cross Cheddar &amp; Onion Crisps</v>
      </c>
      <c r="N1974" s="6" t="str">
        <f t="shared" si="123"/>
        <v>France, United-Kingdom</v>
      </c>
    </row>
    <row r="1975" spans="1:14" x14ac:dyDescent="0.25">
      <c r="A1975" s="6" t="s">
        <v>4763</v>
      </c>
      <c r="B1975" s="6">
        <v>11039</v>
      </c>
      <c r="C1975" s="6" t="s">
        <v>4764</v>
      </c>
      <c r="D1975" s="7" t="s">
        <v>4765</v>
      </c>
      <c r="E1975" s="6" t="s">
        <v>1228</v>
      </c>
      <c r="F1975" s="6" t="s">
        <v>8114</v>
      </c>
      <c r="G1975" s="8">
        <v>45805</v>
      </c>
      <c r="H1975" s="6">
        <v>22.45</v>
      </c>
      <c r="I1975" s="6" cm="1">
        <f t="array" ref="I1975">IFERROR(VALUE(TRIM(LEFT(E1975,MIN(FIND({" ";"g";"k";"m";"o"},E1975&amp;" gkmo"))-1))),0)</f>
        <v>60</v>
      </c>
      <c r="J1975" s="6" t="str" cm="1">
        <f t="array" ref="J1975">IFERROR(TRIM(MID(E1975,MIN(FIND({" ";"g";"k";"m";"o"},E1975&amp;" gkmo")),10)),"unknown")</f>
        <v>g</v>
      </c>
      <c r="K1975" s="6" t="str">
        <f t="shared" si="120"/>
        <v>g</v>
      </c>
      <c r="L1975" s="6" t="str">
        <f t="shared" si="121"/>
        <v>Moulin D'Or</v>
      </c>
      <c r="M1975" s="6" t="str">
        <f t="shared" si="122"/>
        <v>Browniz</v>
      </c>
      <c r="N1975" s="6" t="str">
        <f t="shared" si="123"/>
        <v>France, Tunisia, Morocco</v>
      </c>
    </row>
    <row r="1976" spans="1:14" x14ac:dyDescent="0.25">
      <c r="A1976" s="6" t="s">
        <v>4766</v>
      </c>
      <c r="B1976" s="6">
        <v>11238</v>
      </c>
      <c r="C1976" s="6" t="s">
        <v>4767</v>
      </c>
      <c r="D1976" s="7" t="s">
        <v>1703</v>
      </c>
      <c r="E1976" s="6" t="s">
        <v>2225</v>
      </c>
      <c r="F1976" s="6" t="s">
        <v>139</v>
      </c>
      <c r="G1976" s="8">
        <v>45676</v>
      </c>
      <c r="H1976" s="6">
        <v>17.809999999999999</v>
      </c>
      <c r="I1976" s="6" cm="1">
        <f t="array" ref="I1976">IFERROR(VALUE(TRIM(LEFT(E1976,MIN(FIND({" ";"g";"k";"m";"o"},E1976&amp;" gkmo"))-1))),0)</f>
        <v>70</v>
      </c>
      <c r="J1976" s="6" t="str" cm="1">
        <f t="array" ref="J1976">IFERROR(TRIM(MID(E1976,MIN(FIND({" ";"g";"k";"m";"o"},E1976&amp;" gkmo")),10)),"unknown")</f>
        <v>g</v>
      </c>
      <c r="K1976" s="6" t="str">
        <f t="shared" si="120"/>
        <v>g</v>
      </c>
      <c r="L1976" s="6" t="str">
        <f t="shared" si="121"/>
        <v>Ricola</v>
      </c>
      <c r="M1976" s="6" t="str">
        <f t="shared" si="122"/>
        <v>Bonbons Ricola Aux Plantes</v>
      </c>
      <c r="N1976" s="6" t="str">
        <f t="shared" si="123"/>
        <v>France</v>
      </c>
    </row>
    <row r="1977" spans="1:14" x14ac:dyDescent="0.25">
      <c r="A1977" s="6" t="s">
        <v>4768</v>
      </c>
      <c r="B1977" s="6">
        <v>7317</v>
      </c>
      <c r="C1977" s="6" t="s">
        <v>4769</v>
      </c>
      <c r="D1977" s="7" t="s">
        <v>3097</v>
      </c>
      <c r="E1977" s="6" t="s">
        <v>151</v>
      </c>
      <c r="F1977" s="6" t="s">
        <v>7954</v>
      </c>
      <c r="G1977" s="8">
        <v>45783</v>
      </c>
      <c r="H1977" s="6">
        <v>20.83</v>
      </c>
      <c r="I1977" s="6" cm="1">
        <f t="array" ref="I1977">IFERROR(VALUE(TRIM(LEFT(E1977,MIN(FIND({" ";"g";"k";"m";"o"},E1977&amp;" gkmo"))-1))),0)</f>
        <v>200</v>
      </c>
      <c r="J1977" s="6" t="str" cm="1">
        <f t="array" ref="J1977">IFERROR(TRIM(MID(E1977,MIN(FIND({" ";"g";"k";"m";"o"},E1977&amp;" gkmo")),10)),"unknown")</f>
        <v>g</v>
      </c>
      <c r="K1977" s="6" t="str">
        <f t="shared" si="120"/>
        <v>g</v>
      </c>
      <c r="L1977" s="6" t="str">
        <f t="shared" si="121"/>
        <v>Milka</v>
      </c>
      <c r="M1977" s="6" t="str">
        <f t="shared" si="122"/>
        <v>Choco Moo</v>
      </c>
      <c r="N1977" s="6" t="str">
        <f t="shared" si="123"/>
        <v>France, Belgium</v>
      </c>
    </row>
    <row r="1978" spans="1:14" x14ac:dyDescent="0.25">
      <c r="A1978" s="6" t="s">
        <v>4770</v>
      </c>
      <c r="B1978" s="6">
        <v>11665</v>
      </c>
      <c r="C1978" s="6" t="s">
        <v>7317</v>
      </c>
      <c r="D1978" s="7" t="s">
        <v>468</v>
      </c>
      <c r="E1978" s="6" t="s">
        <v>18</v>
      </c>
      <c r="F1978" s="6" t="s">
        <v>8115</v>
      </c>
      <c r="G1978" s="8">
        <v>45706</v>
      </c>
      <c r="H1978" s="6">
        <v>3</v>
      </c>
      <c r="I1978" s="6" cm="1">
        <f t="array" ref="I1978">IFERROR(VALUE(TRIM(LEFT(E1978,MIN(FIND({" ";"g";"k";"m";"o"},E1978&amp;" gkmo"))-1))),0)</f>
        <v>100</v>
      </c>
      <c r="J1978" s="6" t="str" cm="1">
        <f t="array" ref="J1978">IFERROR(TRIM(MID(E1978,MIN(FIND({" ";"g";"k";"m";"o"},E1978&amp;" gkmo")),10)),"unknown")</f>
        <v>g</v>
      </c>
      <c r="K1978" s="6" t="str">
        <f t="shared" si="120"/>
        <v>g</v>
      </c>
      <c r="L1978" s="6" t="str">
        <f t="shared" si="121"/>
        <v>Milka, Mondelez</v>
      </c>
      <c r="M1978" s="6" t="str">
        <f t="shared" si="122"/>
        <v>Luflée Alpenmilch</v>
      </c>
      <c r="N1978" s="6" t="str">
        <f t="shared" si="123"/>
        <v>Germany, Italy, Morocco</v>
      </c>
    </row>
    <row r="1979" spans="1:14" x14ac:dyDescent="0.25">
      <c r="A1979" s="6" t="s">
        <v>4771</v>
      </c>
      <c r="B1979" s="6">
        <v>8505</v>
      </c>
      <c r="C1979" s="6" t="s">
        <v>4772</v>
      </c>
      <c r="D1979" s="7" t="s">
        <v>2398</v>
      </c>
      <c r="E1979" s="6" t="s">
        <v>2671</v>
      </c>
      <c r="F1979" s="6" t="s">
        <v>997</v>
      </c>
      <c r="G1979" s="8">
        <v>45957</v>
      </c>
      <c r="H1979" s="6">
        <v>7.11</v>
      </c>
      <c r="I1979" s="6" cm="1">
        <f t="array" ref="I1979">IFERROR(VALUE(TRIM(LEFT(E1979,MIN(FIND({" ";"g";"k";"m";"o"},E1979&amp;" gkmo"))-1))),0)</f>
        <v>380</v>
      </c>
      <c r="J1979" s="6" t="str" cm="1">
        <f t="array" ref="J1979">IFERROR(TRIM(MID(E1979,MIN(FIND({" ";"g";"k";"m";"o"},E1979&amp;" gkmo")),10)),"unknown")</f>
        <v>g</v>
      </c>
      <c r="K1979" s="6" t="str">
        <f t="shared" si="120"/>
        <v>g</v>
      </c>
      <c r="L1979" s="6" t="str">
        <f t="shared" si="121"/>
        <v>Galbusera</v>
      </c>
      <c r="M1979" s="6" t="str">
        <f t="shared" si="122"/>
        <v>Riso Su Riso Croccantezza Integrale</v>
      </c>
      <c r="N1979" s="6" t="str">
        <f t="shared" si="123"/>
        <v>Italy</v>
      </c>
    </row>
    <row r="1980" spans="1:14" x14ac:dyDescent="0.25">
      <c r="A1980" s="6" t="s">
        <v>4773</v>
      </c>
      <c r="B1980" s="6">
        <v>7458</v>
      </c>
      <c r="C1980" s="6" t="s">
        <v>4774</v>
      </c>
      <c r="D1980" s="7" t="s">
        <v>1172</v>
      </c>
      <c r="E1980" s="6" t="s">
        <v>1590</v>
      </c>
      <c r="F1980" s="6" t="s">
        <v>4775</v>
      </c>
      <c r="G1980" s="8">
        <v>45968</v>
      </c>
      <c r="H1980" s="6">
        <v>24.06</v>
      </c>
      <c r="I1980" s="6" cm="1">
        <f t="array" ref="I1980">IFERROR(VALUE(TRIM(LEFT(E1980,MIN(FIND({" ";"g";"k";"m";"o"},E1980&amp;" gkmo"))-1))),0)</f>
        <v>280</v>
      </c>
      <c r="J1980" s="6" t="str" cm="1">
        <f t="array" ref="J1980">IFERROR(TRIM(MID(E1980,MIN(FIND({" ";"g";"k";"m";"o"},E1980&amp;" gkmo")),10)),"unknown")</f>
        <v>g</v>
      </c>
      <c r="K1980" s="6" t="str">
        <f t="shared" si="120"/>
        <v>g</v>
      </c>
      <c r="L1980" s="6" t="str">
        <f t="shared" si="121"/>
        <v>Barilla, Mulino Bianco</v>
      </c>
      <c r="M1980" s="6" t="str">
        <f t="shared" si="122"/>
        <v>Granetti Integrali</v>
      </c>
      <c r="N1980" s="6" t="str">
        <f t="shared" si="123"/>
        <v>Frankreich, Italien, Germany</v>
      </c>
    </row>
    <row r="1981" spans="1:14" x14ac:dyDescent="0.25">
      <c r="A1981" s="6" t="s">
        <v>4776</v>
      </c>
      <c r="B1981" s="6">
        <v>5117</v>
      </c>
      <c r="C1981" s="6" t="s">
        <v>7790</v>
      </c>
      <c r="D1981" s="7" t="s">
        <v>7578</v>
      </c>
      <c r="E1981" s="6" t="s">
        <v>197</v>
      </c>
      <c r="F1981" s="6" t="s">
        <v>4777</v>
      </c>
      <c r="G1981" s="8">
        <v>46045</v>
      </c>
      <c r="H1981" s="6">
        <v>16.420000000000002</v>
      </c>
      <c r="I1981" s="6" cm="1">
        <f t="array" ref="I1981">IFERROR(VALUE(TRIM(LEFT(E1981,MIN(FIND({" ";"g";"k";"m";"o"},E1981&amp;" gkmo"))-1))),0)</f>
        <v>130</v>
      </c>
      <c r="J1981" s="6" t="str" cm="1">
        <f t="array" ref="J1981">IFERROR(TRIM(MID(E1981,MIN(FIND({" ";"g";"k";"m";"o"},E1981&amp;" gkmo")),10)),"unknown")</f>
        <v>g</v>
      </c>
      <c r="K1981" s="6" t="str">
        <f t="shared" si="120"/>
        <v>g</v>
      </c>
      <c r="L1981" s="6" t="str">
        <f t="shared" si="121"/>
        <v>Gullà³N</v>
      </c>
      <c r="M1981" s="6" t="str">
        <f t="shared" si="122"/>
        <v>Cookies Sin Glàºten Sin Azàºcares Aà±Adidos</v>
      </c>
      <c r="N1981" s="6" t="str">
        <f t="shared" si="123"/>
        <v>Francuska,Maroko,Å Panjolska,Hrvatska</v>
      </c>
    </row>
    <row r="1982" spans="1:14" x14ac:dyDescent="0.25">
      <c r="A1982" s="6" t="s">
        <v>4778</v>
      </c>
      <c r="B1982" s="6">
        <v>12808</v>
      </c>
      <c r="C1982" s="6" t="s">
        <v>4779</v>
      </c>
      <c r="D1982" s="7" t="s">
        <v>1084</v>
      </c>
      <c r="E1982" s="6"/>
      <c r="F1982" s="6" t="s">
        <v>139</v>
      </c>
      <c r="G1982" s="8">
        <v>45718</v>
      </c>
      <c r="H1982" s="6">
        <v>6.97</v>
      </c>
      <c r="I1982" s="6" cm="1">
        <f t="array" ref="I1982">IFERROR(VALUE(TRIM(LEFT(E1982,MIN(FIND({" ";"g";"k";"m";"o"},E1982&amp;" gkmo"))-1))),0)</f>
        <v>0</v>
      </c>
      <c r="J1982" s="6" t="str" cm="1">
        <f t="array" ref="J1982">IFERROR(TRIM(MID(E1982,MIN(FIND({" ";"g";"k";"m";"o"},E1982&amp;" gkmo")),10)),"unknown")</f>
        <v/>
      </c>
      <c r="K1982" s="6" t="str">
        <f t="shared" si="120"/>
        <v>unknown</v>
      </c>
      <c r="L1982" s="6" t="str">
        <f t="shared" si="121"/>
        <v>Lotus</v>
      </c>
      <c r="M1982" s="6" t="str">
        <f t="shared" si="122"/>
        <v>Speculos</v>
      </c>
      <c r="N1982" s="6" t="str">
        <f t="shared" si="123"/>
        <v>France</v>
      </c>
    </row>
    <row r="1983" spans="1:14" x14ac:dyDescent="0.25">
      <c r="A1983" s="6" t="s">
        <v>4780</v>
      </c>
      <c r="B1983" s="6">
        <v>11900</v>
      </c>
      <c r="C1983" s="6" t="s">
        <v>4781</v>
      </c>
      <c r="D1983" s="7" t="s">
        <v>2125</v>
      </c>
      <c r="E1983" s="6" t="s">
        <v>3220</v>
      </c>
      <c r="F1983" s="6" t="s">
        <v>8424</v>
      </c>
      <c r="G1983" s="8">
        <v>45724</v>
      </c>
      <c r="H1983" s="6">
        <v>2.12</v>
      </c>
      <c r="I1983" s="6" cm="1">
        <f t="array" ref="I1983">IFERROR(VALUE(TRIM(LEFT(E1983,MIN(FIND({" ";"g";"k";"m";"o"},E1983&amp;" gkmo"))-1))),0)</f>
        <v>190</v>
      </c>
      <c r="J1983" s="6" t="str" cm="1">
        <f t="array" ref="J1983">IFERROR(TRIM(MID(E1983,MIN(FIND({" ";"g";"k";"m";"o"},E1983&amp;" gkmo")),10)),"unknown")</f>
        <v>g</v>
      </c>
      <c r="K1983" s="6" t="str">
        <f t="shared" si="120"/>
        <v>g</v>
      </c>
      <c r="L1983" s="6" t="str">
        <f t="shared" si="121"/>
        <v>Tom</v>
      </c>
      <c r="M1983" s="6" t="str">
        <f t="shared" si="122"/>
        <v>Chocotom</v>
      </c>
      <c r="N1983" s="6" t="str">
        <f t="shared" si="123"/>
        <v>France,Tunisia</v>
      </c>
    </row>
    <row r="1984" spans="1:14" x14ac:dyDescent="0.25">
      <c r="A1984" s="6" t="s">
        <v>4782</v>
      </c>
      <c r="B1984" s="6">
        <v>8972</v>
      </c>
      <c r="C1984" s="6" t="s">
        <v>7017</v>
      </c>
      <c r="D1984" s="7" t="s">
        <v>3448</v>
      </c>
      <c r="E1984" s="6" t="s">
        <v>2065</v>
      </c>
      <c r="F1984" s="6" t="s">
        <v>8316</v>
      </c>
      <c r="G1984" s="8">
        <v>45475</v>
      </c>
      <c r="H1984" s="6">
        <v>13.16</v>
      </c>
      <c r="I1984" s="6" cm="1">
        <f t="array" ref="I1984">IFERROR(VALUE(TRIM(LEFT(E1984,MIN(FIND({" ";"g";"k";"m";"o"},E1984&amp;" gkmo"))-1))),0)</f>
        <v>30</v>
      </c>
      <c r="J1984" s="6" t="str" cm="1">
        <f t="array" ref="J1984">IFERROR(TRIM(MID(E1984,MIN(FIND({" ";"g";"k";"m";"o"},E1984&amp;" gkmo")),10)),"unknown")</f>
        <v>g</v>
      </c>
      <c r="K1984" s="6" t="str">
        <f t="shared" si="120"/>
        <v>g</v>
      </c>
      <c r="L1984" s="6" t="str">
        <f t="shared" si="121"/>
        <v>Mentos</v>
      </c>
      <c r="M1984" s="6" t="str">
        <f t="shared" si="122"/>
        <v>Unknown</v>
      </c>
      <c r="N1984" s="6" t="str">
        <f t="shared" si="123"/>
        <v>Morocco,Belgium</v>
      </c>
    </row>
    <row r="1985" spans="1:14" x14ac:dyDescent="0.25">
      <c r="A1985" s="6" t="s">
        <v>4783</v>
      </c>
      <c r="B1985" s="6">
        <v>7321</v>
      </c>
      <c r="C1985" s="6" t="s">
        <v>7791</v>
      </c>
      <c r="D1985" s="7" t="s">
        <v>452</v>
      </c>
      <c r="E1985" s="6" t="s">
        <v>4784</v>
      </c>
      <c r="F1985" s="6" t="s">
        <v>7595</v>
      </c>
      <c r="G1985" s="8">
        <v>46007</v>
      </c>
      <c r="H1985" s="6">
        <v>8.59</v>
      </c>
      <c r="I1985" s="6" cm="1">
        <f t="array" ref="I1985">IFERROR(VALUE(TRIM(LEFT(E1985,MIN(FIND({" ";"g";"k";"m";"o"},E1985&amp;" gkmo"))-1))),0)</f>
        <v>800</v>
      </c>
      <c r="J1985" s="6" t="str" cm="1">
        <f t="array" ref="J1985">IFERROR(TRIM(MID(E1985,MIN(FIND({" ";"g";"k";"m";"o"},E1985&amp;" gkmo")),10)),"unknown")</f>
        <v>g</v>
      </c>
      <c r="K1985" s="6" t="str">
        <f t="shared" si="120"/>
        <v>g</v>
      </c>
      <c r="L1985" s="6" t="str">
        <f t="shared" si="121"/>
        <v>Hacendado</v>
      </c>
      <c r="M1985" s="6" t="str">
        <f t="shared" si="122"/>
        <v>Galleta Marà­A Integral</v>
      </c>
      <c r="N1985" s="6" t="str">
        <f t="shared" si="123"/>
        <v>Espaà±A</v>
      </c>
    </row>
    <row r="1986" spans="1:14" x14ac:dyDescent="0.25">
      <c r="A1986" s="6" t="s">
        <v>4785</v>
      </c>
      <c r="B1986" s="6">
        <v>8524</v>
      </c>
      <c r="C1986" s="6" t="s">
        <v>4786</v>
      </c>
      <c r="D1986" s="7" t="s">
        <v>1936</v>
      </c>
      <c r="E1986" s="6"/>
      <c r="F1986" s="6" t="s">
        <v>177</v>
      </c>
      <c r="G1986" s="8">
        <v>45334</v>
      </c>
      <c r="H1986" s="6">
        <v>18.21</v>
      </c>
      <c r="I1986" s="6" cm="1">
        <f t="array" ref="I1986">IFERROR(VALUE(TRIM(LEFT(E1986,MIN(FIND({" ";"g";"k";"m";"o"},E1986&amp;" gkmo"))-1))),0)</f>
        <v>0</v>
      </c>
      <c r="J1986" s="6" t="str" cm="1">
        <f t="array" ref="J1986">IFERROR(TRIM(MID(E1986,MIN(FIND({" ";"g";"k";"m";"o"},E1986&amp;" gkmo")),10)),"unknown")</f>
        <v/>
      </c>
      <c r="K1986" s="6" t="str">
        <f t="shared" ref="K1986:K2049" si="124">IF(E1986="","unknown",IF(OR(J1986="g",LEFT(J1986,1)="g"),"g",IF(OR(LEFT(J1986,2)="kg",LEFT(J1986,2)="ki"),"kg",IF(OR(LEFT(J1986,2)="ml",LEFT(J1986,1)="m"),"ml",IF(LEFT(J1986,1)="l","l",IF(ISNUMBER(SEARCH("g",E1986)),"g",IF(ISNUMBER(SEARCH("kg",E1986)),"kg",IF(ISNUMBER(SEARCH("ml",E1986)),"ml","unknown"))))))))</f>
        <v>unknown</v>
      </c>
      <c r="L1986" s="6" t="str">
        <f t="shared" ref="L1986:L2049" si="125">IF(D1986="","Unknown",PROPER(TRIM(D1986)))</f>
        <v>Belvita</v>
      </c>
      <c r="M1986" s="6" t="str">
        <f t="shared" ref="M1986:M2049" si="126">IF(C1986="Unknown","Unknown",PROPER(TRIM(C1986)))</f>
        <v>Duo Crunch Strawberry &amp; Yogurt</v>
      </c>
      <c r="N1986" s="6" t="str">
        <f t="shared" si="123"/>
        <v>United Kingdom</v>
      </c>
    </row>
    <row r="1987" spans="1:14" x14ac:dyDescent="0.25">
      <c r="A1987" s="6" t="s">
        <v>4787</v>
      </c>
      <c r="B1987" s="6">
        <v>7852</v>
      </c>
      <c r="C1987" s="6" t="s">
        <v>4788</v>
      </c>
      <c r="D1987" s="7" t="s">
        <v>4789</v>
      </c>
      <c r="E1987" s="6" t="s">
        <v>14</v>
      </c>
      <c r="F1987" s="6" t="s">
        <v>7936</v>
      </c>
      <c r="G1987" s="8">
        <v>45490</v>
      </c>
      <c r="H1987" s="6">
        <v>9.06</v>
      </c>
      <c r="I1987" s="6" cm="1">
        <f t="array" ref="I1987">IFERROR(VALUE(TRIM(LEFT(E1987,MIN(FIND({" ";"g";"k";"m";"o"},E1987&amp;" gkmo"))-1))),0)</f>
        <v>300</v>
      </c>
      <c r="J1987" s="6" t="str" cm="1">
        <f t="array" ref="J1987">IFERROR(TRIM(MID(E1987,MIN(FIND({" ";"g";"k";"m";"o"},E1987&amp;" gkmo")),10)),"unknown")</f>
        <v>g</v>
      </c>
      <c r="K1987" s="6" t="str">
        <f t="shared" si="124"/>
        <v>g</v>
      </c>
      <c r="L1987" s="6" t="str">
        <f t="shared" si="125"/>
        <v>Rakusen'S Of Yorkshire</v>
      </c>
      <c r="M1987" s="6" t="str">
        <f t="shared" si="126"/>
        <v>Matzos: Flame Baked Crackers</v>
      </c>
      <c r="N1987" s="6" t="str">
        <f t="shared" ref="N1987:N2050" si="127">IF(F1987="","Unknown",PROPER(TRIM(F1987)))</f>
        <v>France, Ireland, United-Kingdom</v>
      </c>
    </row>
    <row r="1988" spans="1:14" x14ac:dyDescent="0.25">
      <c r="A1988" s="6" t="s">
        <v>4790</v>
      </c>
      <c r="B1988" s="6">
        <v>8517</v>
      </c>
      <c r="C1988" s="6" t="s">
        <v>4292</v>
      </c>
      <c r="D1988" s="7" t="s">
        <v>7017</v>
      </c>
      <c r="E1988" s="6">
        <v>8</v>
      </c>
      <c r="F1988" s="6" t="s">
        <v>177</v>
      </c>
      <c r="G1988" s="8">
        <v>45819</v>
      </c>
      <c r="H1988" s="6">
        <v>18.55</v>
      </c>
      <c r="I1988" s="6" cm="1">
        <f t="array" ref="I1988">IFERROR(VALUE(TRIM(LEFT(E1988,MIN(FIND({" ";"g";"k";"m";"o"},E1988&amp;" gkmo"))-1))),0)</f>
        <v>8</v>
      </c>
      <c r="J1988" s="6" t="str" cm="1">
        <f t="array" ref="J1988">IFERROR(TRIM(MID(E1988,MIN(FIND({" ";"g";"k";"m";"o"},E1988&amp;" gkmo")),10)),"unknown")</f>
        <v/>
      </c>
      <c r="K1988" s="6" t="str">
        <f t="shared" si="124"/>
        <v>unknown</v>
      </c>
      <c r="L1988" s="6" t="str">
        <f t="shared" si="125"/>
        <v>Unknown</v>
      </c>
      <c r="M1988" s="6" t="str">
        <f t="shared" si="126"/>
        <v>Croissants</v>
      </c>
      <c r="N1988" s="6" t="str">
        <f t="shared" si="127"/>
        <v>United Kingdom</v>
      </c>
    </row>
    <row r="1989" spans="1:14" x14ac:dyDescent="0.25">
      <c r="A1989" s="6" t="s">
        <v>4791</v>
      </c>
      <c r="B1989" s="6">
        <v>7614</v>
      </c>
      <c r="C1989" s="6" t="s">
        <v>4792</v>
      </c>
      <c r="D1989" s="7" t="s">
        <v>2102</v>
      </c>
      <c r="E1989" s="6" t="s">
        <v>197</v>
      </c>
      <c r="F1989" s="6" t="s">
        <v>7573</v>
      </c>
      <c r="G1989" s="8">
        <v>45890</v>
      </c>
      <c r="H1989" s="6">
        <v>15.78</v>
      </c>
      <c r="I1989" s="6" cm="1">
        <f t="array" ref="I1989">IFERROR(VALUE(TRIM(LEFT(E1989,MIN(FIND({" ";"g";"k";"m";"o"},E1989&amp;" gkmo"))-1))),0)</f>
        <v>130</v>
      </c>
      <c r="J1989" s="6" t="str" cm="1">
        <f t="array" ref="J1989">IFERROR(TRIM(MID(E1989,MIN(FIND({" ";"g";"k";"m";"o"},E1989&amp;" gkmo")),10)),"unknown")</f>
        <v>g</v>
      </c>
      <c r="K1989" s="6" t="str">
        <f t="shared" si="124"/>
        <v>g</v>
      </c>
      <c r="L1989" s="6" t="str">
        <f t="shared" si="125"/>
        <v>Lay'S,Pepsico</v>
      </c>
      <c r="M1989" s="6" t="str">
        <f t="shared" si="126"/>
        <v>Receta Campesina</v>
      </c>
      <c r="N1989" s="6" t="str">
        <f t="shared" si="127"/>
        <v>Portugal,Espaà±A</v>
      </c>
    </row>
    <row r="1990" spans="1:14" x14ac:dyDescent="0.25">
      <c r="A1990" s="6" t="s">
        <v>4793</v>
      </c>
      <c r="B1990" s="6">
        <v>10890</v>
      </c>
      <c r="C1990" s="6" t="s">
        <v>4794</v>
      </c>
      <c r="D1990" s="7" t="s">
        <v>2338</v>
      </c>
      <c r="E1990" s="6" t="s">
        <v>10</v>
      </c>
      <c r="F1990" s="6" t="s">
        <v>177</v>
      </c>
      <c r="G1990" s="8">
        <v>45792</v>
      </c>
      <c r="H1990" s="6">
        <v>19.93</v>
      </c>
      <c r="I1990" s="6" cm="1">
        <f t="array" ref="I1990">IFERROR(VALUE(TRIM(LEFT(E1990,MIN(FIND({" ";"g";"k";"m";"o"},E1990&amp;" gkmo"))-1))),0)</f>
        <v>100</v>
      </c>
      <c r="J1990" s="6" t="str" cm="1">
        <f t="array" ref="J1990">IFERROR(TRIM(MID(E1990,MIN(FIND({" ";"g";"k";"m";"o"},E1990&amp;" gkmo")),10)),"unknown")</f>
        <v>g</v>
      </c>
      <c r="K1990" s="6" t="str">
        <f t="shared" si="124"/>
        <v>g</v>
      </c>
      <c r="L1990" s="6" t="str">
        <f t="shared" si="125"/>
        <v>Rivercote</v>
      </c>
      <c r="M1990" s="6" t="str">
        <f t="shared" si="126"/>
        <v>Sweet Chilli Crackers</v>
      </c>
      <c r="N1990" s="6" t="str">
        <f t="shared" si="127"/>
        <v>United Kingdom</v>
      </c>
    </row>
    <row r="1991" spans="1:14" x14ac:dyDescent="0.25">
      <c r="A1991" s="6" t="s">
        <v>4795</v>
      </c>
      <c r="B1991" s="6">
        <v>7516</v>
      </c>
      <c r="C1991" s="6" t="s">
        <v>4796</v>
      </c>
      <c r="D1991" s="7" t="s">
        <v>7578</v>
      </c>
      <c r="E1991" s="6" t="s">
        <v>573</v>
      </c>
      <c r="F1991" s="6" t="s">
        <v>8116</v>
      </c>
      <c r="G1991" s="8">
        <v>45877</v>
      </c>
      <c r="H1991" s="6">
        <v>14.95</v>
      </c>
      <c r="I1991" s="6" cm="1">
        <f t="array" ref="I1991">IFERROR(VALUE(TRIM(LEFT(E1991,MIN(FIND({" ";"g";"k";"m";"o"},E1991&amp;" gkmo"))-1))),0)</f>
        <v>280</v>
      </c>
      <c r="J1991" s="6" t="str" cm="1">
        <f t="array" ref="J1991">IFERROR(TRIM(MID(E1991,MIN(FIND({" ";"g";"k";"m";"o"},E1991&amp;" gkmo")),10)),"unknown")</f>
        <v>g</v>
      </c>
      <c r="K1991" s="6" t="str">
        <f t="shared" si="124"/>
        <v>g</v>
      </c>
      <c r="L1991" s="6" t="str">
        <f t="shared" si="125"/>
        <v>Gullà³N</v>
      </c>
      <c r="M1991" s="6" t="str">
        <f t="shared" si="126"/>
        <v>Galleta Crocant Con Copos De Avena Zero</v>
      </c>
      <c r="N1991" s="6" t="str">
        <f t="shared" si="127"/>
        <v>Portugal, Spain, Morocco</v>
      </c>
    </row>
    <row r="1992" spans="1:14" x14ac:dyDescent="0.25">
      <c r="A1992" s="6" t="s">
        <v>4797</v>
      </c>
      <c r="B1992" s="6">
        <v>7647</v>
      </c>
      <c r="C1992" s="6" t="s">
        <v>4798</v>
      </c>
      <c r="D1992" s="7" t="s">
        <v>1345</v>
      </c>
      <c r="E1992" s="6" t="s">
        <v>14</v>
      </c>
      <c r="F1992" s="6" t="s">
        <v>139</v>
      </c>
      <c r="G1992" s="8">
        <v>45492</v>
      </c>
      <c r="H1992" s="6">
        <v>13.16</v>
      </c>
      <c r="I1992" s="6" cm="1">
        <f t="array" ref="I1992">IFERROR(VALUE(TRIM(LEFT(E1992,MIN(FIND({" ";"g";"k";"m";"o"},E1992&amp;" gkmo"))-1))),0)</f>
        <v>300</v>
      </c>
      <c r="J1992" s="6" t="str" cm="1">
        <f t="array" ref="J1992">IFERROR(TRIM(MID(E1992,MIN(FIND({" ";"g";"k";"m";"o"},E1992&amp;" gkmo")),10)),"unknown")</f>
        <v>g</v>
      </c>
      <c r="K1992" s="6" t="str">
        <f t="shared" si="124"/>
        <v>g</v>
      </c>
      <c r="L1992" s="6" t="str">
        <f t="shared" si="125"/>
        <v>Haribo</v>
      </c>
      <c r="M1992" s="6" t="str">
        <f t="shared" si="126"/>
        <v>300G Polka Haribo</v>
      </c>
      <c r="N1992" s="6" t="str">
        <f t="shared" si="127"/>
        <v>France</v>
      </c>
    </row>
    <row r="1993" spans="1:14" x14ac:dyDescent="0.25">
      <c r="A1993" s="6" t="s">
        <v>4799</v>
      </c>
      <c r="B1993" s="6">
        <v>10854</v>
      </c>
      <c r="C1993" s="6" t="s">
        <v>4342</v>
      </c>
      <c r="D1993" s="7" t="s">
        <v>1773</v>
      </c>
      <c r="E1993" s="6" t="s">
        <v>335</v>
      </c>
      <c r="F1993" s="6" t="s">
        <v>177</v>
      </c>
      <c r="G1993" s="8">
        <v>45477</v>
      </c>
      <c r="H1993" s="6">
        <v>15.17</v>
      </c>
      <c r="I1993" s="6" cm="1">
        <f t="array" ref="I1993">IFERROR(VALUE(TRIM(LEFT(E1993,MIN(FIND({" ";"g";"k";"m";"o"},E1993&amp;" gkmo"))-1))),0)</f>
        <v>250</v>
      </c>
      <c r="J1993" s="6" t="str" cm="1">
        <f t="array" ref="J1993">IFERROR(TRIM(MID(E1993,MIN(FIND({" ";"g";"k";"m";"o"},E1993&amp;" gkmo")),10)),"unknown")</f>
        <v>g</v>
      </c>
      <c r="K1993" s="6" t="str">
        <f t="shared" si="124"/>
        <v>g</v>
      </c>
      <c r="L1993" s="6" t="str">
        <f t="shared" si="125"/>
        <v>Aldi</v>
      </c>
      <c r="M1993" s="6" t="str">
        <f t="shared" si="126"/>
        <v>Scottish Seeded Oatcakes</v>
      </c>
      <c r="N1993" s="6" t="str">
        <f t="shared" si="127"/>
        <v>United Kingdom</v>
      </c>
    </row>
    <row r="1994" spans="1:14" x14ac:dyDescent="0.25">
      <c r="A1994" s="6" t="s">
        <v>4800</v>
      </c>
      <c r="B1994" s="6">
        <v>13437</v>
      </c>
      <c r="C1994" s="6" t="s">
        <v>4801</v>
      </c>
      <c r="D1994" s="7" t="s">
        <v>4802</v>
      </c>
      <c r="E1994" s="6" t="s">
        <v>3109</v>
      </c>
      <c r="F1994" s="6" t="s">
        <v>4701</v>
      </c>
      <c r="G1994" s="8">
        <v>45388</v>
      </c>
      <c r="H1994" s="6">
        <v>17.579999999999998</v>
      </c>
      <c r="I1994" s="6" cm="1">
        <f t="array" ref="I1994">IFERROR(VALUE(TRIM(LEFT(E1994,MIN(FIND({" ";"g";"k";"m";"o"},E1994&amp;" gkmo"))-1))),0)</f>
        <v>44</v>
      </c>
      <c r="J1994" s="6" t="str" cm="1">
        <f t="array" ref="J1994">IFERROR(TRIM(MID(E1994,MIN(FIND({" ";"g";"k";"m";"o"},E1994&amp;" gkmo")),10)),"unknown")</f>
        <v>g</v>
      </c>
      <c r="K1994" s="6" t="str">
        <f t="shared" si="124"/>
        <v>g</v>
      </c>
      <c r="L1994" s="6" t="str">
        <f t="shared" si="125"/>
        <v>Kurkure,Pepsico</v>
      </c>
      <c r="M1994" s="6" t="str">
        <f t="shared" si="126"/>
        <v>Masala Munch</v>
      </c>
      <c r="N1994" s="6" t="str">
        <f t="shared" si="127"/>
        <v>India</v>
      </c>
    </row>
    <row r="1995" spans="1:14" x14ac:dyDescent="0.25">
      <c r="A1995" s="6" t="s">
        <v>4803</v>
      </c>
      <c r="B1995" s="6">
        <v>12035</v>
      </c>
      <c r="C1995" s="6" t="s">
        <v>4804</v>
      </c>
      <c r="D1995" s="7" t="s">
        <v>452</v>
      </c>
      <c r="E1995" s="6" t="s">
        <v>1317</v>
      </c>
      <c r="F1995" s="6" t="s">
        <v>7595</v>
      </c>
      <c r="G1995" s="8">
        <v>45671</v>
      </c>
      <c r="H1995" s="6">
        <v>23.24</v>
      </c>
      <c r="I1995" s="6" cm="1">
        <f t="array" ref="I1995">IFERROR(VALUE(TRIM(LEFT(E1995,MIN(FIND({" ";"g";"k";"m";"o"},E1995&amp;" gkmo"))-1))),0)</f>
        <v>80</v>
      </c>
      <c r="J1995" s="6" t="str" cm="1">
        <f t="array" ref="J1995">IFERROR(TRIM(MID(E1995,MIN(FIND({" ";"g";"k";"m";"o"},E1995&amp;" gkmo")),10)),"unknown")</f>
        <v>g</v>
      </c>
      <c r="K1995" s="6" t="str">
        <f t="shared" si="124"/>
        <v>g</v>
      </c>
      <c r="L1995" s="6" t="str">
        <f t="shared" si="125"/>
        <v>Hacendado</v>
      </c>
      <c r="M1995" s="6" t="str">
        <f t="shared" si="126"/>
        <v>Cuquis</v>
      </c>
      <c r="N1995" s="6" t="str">
        <f t="shared" si="127"/>
        <v>Espaà±A</v>
      </c>
    </row>
    <row r="1996" spans="1:14" x14ac:dyDescent="0.25">
      <c r="A1996" s="6" t="s">
        <v>4805</v>
      </c>
      <c r="B1996" s="6">
        <v>11889</v>
      </c>
      <c r="C1996" s="6" t="s">
        <v>7503</v>
      </c>
      <c r="D1996" s="7" t="s">
        <v>1084</v>
      </c>
      <c r="E1996" s="6" t="s">
        <v>39</v>
      </c>
      <c r="F1996" s="6" t="s">
        <v>8117</v>
      </c>
      <c r="G1996" s="8">
        <v>45812</v>
      </c>
      <c r="H1996" s="6">
        <v>7.1</v>
      </c>
      <c r="I1996" s="6" cm="1">
        <f t="array" ref="I1996">IFERROR(VALUE(TRIM(LEFT(E1996,MIN(FIND({" ";"g";"k";"m";"o"},E1996&amp;" gkmo"))-1))),0)</f>
        <v>150</v>
      </c>
      <c r="J1996" s="6" t="str" cm="1">
        <f t="array" ref="J1996">IFERROR(TRIM(MID(E1996,MIN(FIND({" ";"g";"k";"m";"o"},E1996&amp;" gkmo")),10)),"unknown")</f>
        <v>g</v>
      </c>
      <c r="K1996" s="6" t="str">
        <f t="shared" si="124"/>
        <v>g</v>
      </c>
      <c r="L1996" s="6" t="str">
        <f t="shared" si="125"/>
        <v>Lotus</v>
      </c>
      <c r="M1996" s="6" t="str">
        <f t="shared" si="126"/>
        <v>Lotus Biscoff Speculoos Fourré - Crème Saveur Vanille - 150G</v>
      </c>
      <c r="N1996" s="6" t="str">
        <f t="shared" si="127"/>
        <v>Belgium, France, Germany, Morocco, New Zealand, United-Kingdom</v>
      </c>
    </row>
    <row r="1997" spans="1:14" x14ac:dyDescent="0.25">
      <c r="A1997" s="6" t="s">
        <v>4806</v>
      </c>
      <c r="B1997" s="6">
        <v>13979</v>
      </c>
      <c r="C1997" s="6" t="s">
        <v>4807</v>
      </c>
      <c r="D1997" s="7" t="s">
        <v>452</v>
      </c>
      <c r="E1997" s="6"/>
      <c r="F1997" s="6" t="s">
        <v>7573</v>
      </c>
      <c r="G1997" s="8">
        <v>46056</v>
      </c>
      <c r="H1997" s="6">
        <v>21.78</v>
      </c>
      <c r="I1997" s="6" cm="1">
        <f t="array" ref="I1997">IFERROR(VALUE(TRIM(LEFT(E1997,MIN(FIND({" ";"g";"k";"m";"o"},E1997&amp;" gkmo"))-1))),0)</f>
        <v>0</v>
      </c>
      <c r="J1997" s="6" t="str" cm="1">
        <f t="array" ref="J1997">IFERROR(TRIM(MID(E1997,MIN(FIND({" ";"g";"k";"m";"o"},E1997&amp;" gkmo")),10)),"unknown")</f>
        <v/>
      </c>
      <c r="K1997" s="6" t="str">
        <f t="shared" si="124"/>
        <v>unknown</v>
      </c>
      <c r="L1997" s="6" t="str">
        <f t="shared" si="125"/>
        <v>Hacendado</v>
      </c>
      <c r="M1997" s="6" t="str">
        <f t="shared" si="126"/>
        <v>Magdalenas Integrales 0%</v>
      </c>
      <c r="N1997" s="6" t="str">
        <f t="shared" si="127"/>
        <v>Portugal,Espaà±A</v>
      </c>
    </row>
    <row r="1998" spans="1:14" x14ac:dyDescent="0.25">
      <c r="A1998" s="6" t="s">
        <v>4808</v>
      </c>
      <c r="B1998" s="6">
        <v>14529</v>
      </c>
      <c r="C1998" s="6" t="s">
        <v>4809</v>
      </c>
      <c r="D1998" s="7" t="s">
        <v>3122</v>
      </c>
      <c r="E1998" s="6" t="s">
        <v>2862</v>
      </c>
      <c r="F1998" s="6" t="s">
        <v>8118</v>
      </c>
      <c r="G1998" s="8">
        <v>45808</v>
      </c>
      <c r="H1998" s="6">
        <v>2.61</v>
      </c>
      <c r="I1998" s="6" cm="1">
        <f t="array" ref="I1998">IFERROR(VALUE(TRIM(LEFT(E1998,MIN(FIND({" ";"g";"k";"m";"o"},E1998&amp;" gkmo"))-1))),0)</f>
        <v>700</v>
      </c>
      <c r="J1998" s="6" t="str" cm="1">
        <f t="array" ref="J1998">IFERROR(TRIM(MID(E1998,MIN(FIND({" ";"g";"k";"m";"o"},E1998&amp;" gkmo")),10)),"unknown")</f>
        <v>g</v>
      </c>
      <c r="K1998" s="6" t="str">
        <f t="shared" si="124"/>
        <v>g</v>
      </c>
      <c r="L1998" s="6" t="str">
        <f t="shared" si="125"/>
        <v>Balocco</v>
      </c>
      <c r="M1998" s="6" t="str">
        <f t="shared" si="126"/>
        <v>Saracene</v>
      </c>
      <c r="N1998" s="6" t="str">
        <f t="shared" si="127"/>
        <v>Italia,Italy</v>
      </c>
    </row>
    <row r="1999" spans="1:14" x14ac:dyDescent="0.25">
      <c r="A1999" s="6" t="s">
        <v>4810</v>
      </c>
      <c r="B1999" s="6">
        <v>6535</v>
      </c>
      <c r="C1999" s="6" t="s">
        <v>4811</v>
      </c>
      <c r="D1999" s="7" t="s">
        <v>652</v>
      </c>
      <c r="E1999" s="6" t="s">
        <v>653</v>
      </c>
      <c r="F1999" s="6" t="s">
        <v>139</v>
      </c>
      <c r="G1999" s="8">
        <v>45655</v>
      </c>
      <c r="H1999" s="6">
        <v>21.57</v>
      </c>
      <c r="I1999" s="6" cm="1">
        <f t="array" ref="I1999">IFERROR(VALUE(TRIM(LEFT(E1999,MIN(FIND({" ";"g";"k";"m";"o"},E1999&amp;" gkmo"))-1))),0)</f>
        <v>310</v>
      </c>
      <c r="J1999" s="6" t="str" cm="1">
        <f t="array" ref="J1999">IFERROR(TRIM(MID(E1999,MIN(FIND({" ";"g";"k";"m";"o"},E1999&amp;" gkmo")),10)),"unknown")</f>
        <v>g</v>
      </c>
      <c r="K1999" s="6" t="str">
        <f t="shared" si="124"/>
        <v>g</v>
      </c>
      <c r="L1999" s="6" t="str">
        <f t="shared" si="125"/>
        <v>Brossard</v>
      </c>
      <c r="M1999" s="6" t="str">
        <f t="shared" si="126"/>
        <v>Savane Familial Chocolat Noir</v>
      </c>
      <c r="N1999" s="6" t="str">
        <f t="shared" si="127"/>
        <v>France</v>
      </c>
    </row>
    <row r="2000" spans="1:14" x14ac:dyDescent="0.25">
      <c r="A2000" s="6" t="s">
        <v>4812</v>
      </c>
      <c r="B2000" s="6">
        <v>8095</v>
      </c>
      <c r="C2000" s="6" t="s">
        <v>7792</v>
      </c>
      <c r="D2000" s="7" t="s">
        <v>7578</v>
      </c>
      <c r="E2000" s="6" t="s">
        <v>4813</v>
      </c>
      <c r="F2000" s="6" t="s">
        <v>7595</v>
      </c>
      <c r="G2000" s="8">
        <v>45742</v>
      </c>
      <c r="H2000" s="6">
        <v>19.09</v>
      </c>
      <c r="I2000" s="6" cm="1">
        <f t="array" ref="I2000">IFERROR(VALUE(TRIM(LEFT(E2000,MIN(FIND({" ";"g";"k";"m";"o"},E2000&amp;" gkmo"))-1))),0)</f>
        <v>2</v>
      </c>
      <c r="J2000" s="6" t="str" cm="1">
        <f t="array" ref="J2000">IFERROR(TRIM(MID(E2000,MIN(FIND({" ";"g";"k";"m";"o"},E2000&amp;" gkmo")),10)),"unknown")</f>
        <v>x 245 g</v>
      </c>
      <c r="K2000" s="6" t="str">
        <f t="shared" si="124"/>
        <v>g</v>
      </c>
      <c r="L2000" s="6" t="str">
        <f t="shared" si="125"/>
        <v>Gullà³N</v>
      </c>
      <c r="M2000" s="6" t="str">
        <f t="shared" si="126"/>
        <v>Digestive Zero Azàºcares</v>
      </c>
      <c r="N2000" s="6" t="str">
        <f t="shared" si="127"/>
        <v>Espaà±A</v>
      </c>
    </row>
    <row r="2001" spans="1:14" x14ac:dyDescent="0.25">
      <c r="A2001" s="6" t="s">
        <v>4814</v>
      </c>
      <c r="B2001" s="6">
        <v>9352</v>
      </c>
      <c r="C2001" s="6" t="s">
        <v>4815</v>
      </c>
      <c r="D2001" s="7" t="s">
        <v>7017</v>
      </c>
      <c r="E2001" s="6" t="s">
        <v>4816</v>
      </c>
      <c r="F2001" s="6" t="s">
        <v>177</v>
      </c>
      <c r="G2001" s="8">
        <v>46020</v>
      </c>
      <c r="H2001" s="6">
        <v>19.010000000000002</v>
      </c>
      <c r="I2001" s="6" cm="1">
        <f t="array" ref="I2001">IFERROR(VALUE(TRIM(LEFT(E2001,MIN(FIND({" ";"g";"k";"m";"o"},E2001&amp;" gkmo"))-1))),0)</f>
        <v>1</v>
      </c>
      <c r="J2001" s="6" t="str" cm="1">
        <f t="array" ref="J2001">IFERROR(TRIM(MID(E2001,MIN(FIND({" ";"g";"k";"m";"o"},E2001&amp;" gkmo")),10)),"unknown")</f>
        <v>bag, 150g</v>
      </c>
      <c r="K2001" s="6" t="str">
        <f t="shared" si="124"/>
        <v>g</v>
      </c>
      <c r="L2001" s="6" t="str">
        <f t="shared" si="125"/>
        <v>Unknown</v>
      </c>
      <c r="M2001" s="6" t="str">
        <f t="shared" si="126"/>
        <v>Finest Sea Salt And Black Pepper Crisps</v>
      </c>
      <c r="N2001" s="6" t="str">
        <f t="shared" si="127"/>
        <v>United Kingdom</v>
      </c>
    </row>
    <row r="2002" spans="1:14" x14ac:dyDescent="0.25">
      <c r="A2002" s="6" t="s">
        <v>4817</v>
      </c>
      <c r="B2002" s="6">
        <v>7810</v>
      </c>
      <c r="C2002" s="6" t="s">
        <v>4818</v>
      </c>
      <c r="D2002" s="7" t="s">
        <v>2784</v>
      </c>
      <c r="E2002" s="6">
        <v>5</v>
      </c>
      <c r="F2002" s="6" t="s">
        <v>48</v>
      </c>
      <c r="G2002" s="8">
        <v>45542</v>
      </c>
      <c r="H2002" s="6">
        <v>12.21</v>
      </c>
      <c r="I2002" s="6" cm="1">
        <f t="array" ref="I2002">IFERROR(VALUE(TRIM(LEFT(E2002,MIN(FIND({" ";"g";"k";"m";"o"},E2002&amp;" gkmo"))-1))),0)</f>
        <v>5</v>
      </c>
      <c r="J2002" s="6" t="str" cm="1">
        <f t="array" ref="J2002">IFERROR(TRIM(MID(E2002,MIN(FIND({" ";"g";"k";"m";"o"},E2002&amp;" gkmo")),10)),"unknown")</f>
        <v/>
      </c>
      <c r="K2002" s="6" t="str">
        <f t="shared" si="124"/>
        <v>unknown</v>
      </c>
      <c r="L2002" s="6" t="str">
        <f t="shared" si="125"/>
        <v>Trident</v>
      </c>
      <c r="M2002" s="6" t="str">
        <f t="shared" si="126"/>
        <v>Trident Peppermint Flavor</v>
      </c>
      <c r="N2002" s="6" t="str">
        <f t="shared" si="127"/>
        <v>Morocco</v>
      </c>
    </row>
    <row r="2003" spans="1:14" x14ac:dyDescent="0.25">
      <c r="A2003" s="6" t="s">
        <v>4819</v>
      </c>
      <c r="B2003" s="6">
        <v>7828</v>
      </c>
      <c r="C2003" s="6" t="s">
        <v>4820</v>
      </c>
      <c r="D2003" s="7" t="s">
        <v>7017</v>
      </c>
      <c r="E2003" s="6" t="s">
        <v>4821</v>
      </c>
      <c r="F2003" s="6" t="s">
        <v>4822</v>
      </c>
      <c r="G2003" s="8">
        <v>45703</v>
      </c>
      <c r="H2003" s="6">
        <v>17.809999999999999</v>
      </c>
      <c r="I2003" s="6" cm="1">
        <f t="array" ref="I2003">IFERROR(VALUE(TRIM(LEFT(E2003,MIN(FIND({" ";"g";"k";"m";"o"},E2003&amp;" gkmo"))-1))),0)</f>
        <v>0.5</v>
      </c>
      <c r="J2003" s="6" t="str" cm="1">
        <f t="array" ref="J2003">IFERROR(TRIM(MID(E2003,MIN(FIND({" ";"g";"k";"m";"o"},E2003&amp;" gkmo")),10)),"unknown")</f>
        <v>kg</v>
      </c>
      <c r="K2003" s="6" t="str">
        <f t="shared" si="124"/>
        <v>kg</v>
      </c>
      <c r="L2003" s="6" t="str">
        <f t="shared" si="125"/>
        <v>Unknown</v>
      </c>
      <c r="M2003" s="6" t="str">
        <f t="shared" si="126"/>
        <v>Flocons D'Avoine</v>
      </c>
      <c r="N2003" s="6" t="str">
        <f t="shared" si="127"/>
        <v>France,Monde</v>
      </c>
    </row>
    <row r="2004" spans="1:14" x14ac:dyDescent="0.25">
      <c r="A2004" s="6" t="s">
        <v>4823</v>
      </c>
      <c r="B2004" s="6">
        <v>12736</v>
      </c>
      <c r="C2004" s="6" t="s">
        <v>4824</v>
      </c>
      <c r="D2004" s="7" t="s">
        <v>3479</v>
      </c>
      <c r="E2004" s="6" t="s">
        <v>1309</v>
      </c>
      <c r="F2004" s="6" t="s">
        <v>8244</v>
      </c>
      <c r="G2004" s="8">
        <v>45926</v>
      </c>
      <c r="H2004" s="6">
        <v>9.43</v>
      </c>
      <c r="I2004" s="6" cm="1">
        <f t="array" ref="I2004">IFERROR(VALUE(TRIM(LEFT(E2004,MIN(FIND({" ";"g";"k";"m";"o"},E2004&amp;" gkmo"))-1))),0)</f>
        <v>300</v>
      </c>
      <c r="J2004" s="6" t="str" cm="1">
        <f t="array" ref="J2004">IFERROR(TRIM(MID(E2004,MIN(FIND({" ";"g";"k";"m";"o"},E2004&amp;" gkmo")),10)),"unknown")</f>
        <v>g</v>
      </c>
      <c r="K2004" s="6" t="str">
        <f t="shared" si="124"/>
        <v>g</v>
      </c>
      <c r="L2004" s="6" t="str">
        <f t="shared" si="125"/>
        <v>Bonne Maman</v>
      </c>
      <c r="M2004" s="6" t="str">
        <f t="shared" si="126"/>
        <v>Tendre Cå“Ur Chocolat</v>
      </c>
      <c r="N2004" s="6" t="str">
        <f t="shared" si="127"/>
        <v>France,Serbia</v>
      </c>
    </row>
    <row r="2005" spans="1:14" x14ac:dyDescent="0.25">
      <c r="A2005" s="6" t="s">
        <v>4825</v>
      </c>
      <c r="B2005" s="6">
        <v>14655</v>
      </c>
      <c r="C2005" s="6" t="s">
        <v>1481</v>
      </c>
      <c r="D2005" s="7" t="s">
        <v>1773</v>
      </c>
      <c r="E2005" s="6"/>
      <c r="F2005" s="6" t="s">
        <v>177</v>
      </c>
      <c r="G2005" s="8">
        <v>45549</v>
      </c>
      <c r="H2005" s="6">
        <v>1.43</v>
      </c>
      <c r="I2005" s="6" cm="1">
        <f t="array" ref="I2005">IFERROR(VALUE(TRIM(LEFT(E2005,MIN(FIND({" ";"g";"k";"m";"o"},E2005&amp;" gkmo"))-1))),0)</f>
        <v>0</v>
      </c>
      <c r="J2005" s="6" t="str" cm="1">
        <f t="array" ref="J2005">IFERROR(TRIM(MID(E2005,MIN(FIND({" ";"g";"k";"m";"o"},E2005&amp;" gkmo")),10)),"unknown")</f>
        <v/>
      </c>
      <c r="K2005" s="6" t="str">
        <f t="shared" si="124"/>
        <v>unknown</v>
      </c>
      <c r="L2005" s="6" t="str">
        <f t="shared" si="125"/>
        <v>Aldi</v>
      </c>
      <c r="M2005" s="6" t="str">
        <f t="shared" si="126"/>
        <v>Sweet Chilli Rice Crackers</v>
      </c>
      <c r="N2005" s="6" t="str">
        <f t="shared" si="127"/>
        <v>United Kingdom</v>
      </c>
    </row>
    <row r="2006" spans="1:14" x14ac:dyDescent="0.25">
      <c r="A2006" s="6" t="s">
        <v>4826</v>
      </c>
      <c r="B2006" s="6">
        <v>9000</v>
      </c>
      <c r="C2006" s="6" t="s">
        <v>4827</v>
      </c>
      <c r="D2006" s="7" t="s">
        <v>1424</v>
      </c>
      <c r="E2006" s="6" t="s">
        <v>614</v>
      </c>
      <c r="F2006" s="6" t="s">
        <v>177</v>
      </c>
      <c r="G2006" s="8">
        <v>45568</v>
      </c>
      <c r="H2006" s="6">
        <v>13.16</v>
      </c>
      <c r="I2006" s="6" cm="1">
        <f t="array" ref="I2006">IFERROR(VALUE(TRIM(LEFT(E2006,MIN(FIND({" ";"g";"k";"m";"o"},E2006&amp;" gkmo"))-1))),0)</f>
        <v>45</v>
      </c>
      <c r="J2006" s="6" t="str" cm="1">
        <f t="array" ref="J2006">IFERROR(TRIM(MID(E2006,MIN(FIND({" ";"g";"k";"m";"o"},E2006&amp;" gkmo")),10)),"unknown")</f>
        <v>g</v>
      </c>
      <c r="K2006" s="6" t="str">
        <f t="shared" si="124"/>
        <v>g</v>
      </c>
      <c r="L2006" s="6" t="str">
        <f t="shared" si="125"/>
        <v>Jacob'S</v>
      </c>
      <c r="M2006" s="6" t="str">
        <f t="shared" si="126"/>
        <v>Mini Cheddars Original</v>
      </c>
      <c r="N2006" s="6" t="str">
        <f t="shared" si="127"/>
        <v>United Kingdom</v>
      </c>
    </row>
    <row r="2007" spans="1:14" x14ac:dyDescent="0.25">
      <c r="A2007" s="6" t="s">
        <v>4828</v>
      </c>
      <c r="B2007" s="6">
        <v>9616</v>
      </c>
      <c r="C2007" s="6" t="s">
        <v>4829</v>
      </c>
      <c r="D2007" s="7" t="s">
        <v>3272</v>
      </c>
      <c r="E2007" s="6" t="s">
        <v>156</v>
      </c>
      <c r="F2007" s="6" t="s">
        <v>8119</v>
      </c>
      <c r="G2007" s="8">
        <v>45724</v>
      </c>
      <c r="H2007" s="6">
        <v>21.42</v>
      </c>
      <c r="I2007" s="6" cm="1">
        <f t="array" ref="I2007">IFERROR(VALUE(TRIM(LEFT(E2007,MIN(FIND({" ";"g";"k";"m";"o"},E2007&amp;" gkmo"))-1))),0)</f>
        <v>500</v>
      </c>
      <c r="J2007" s="6" t="str" cm="1">
        <f t="array" ref="J2007">IFERROR(TRIM(MID(E2007,MIN(FIND({" ";"g";"k";"m";"o"},E2007&amp;" gkmo")),10)),"unknown")</f>
        <v>g</v>
      </c>
      <c r="K2007" s="6" t="str">
        <f t="shared" si="124"/>
        <v>g</v>
      </c>
      <c r="L2007" s="6" t="str">
        <f t="shared" si="125"/>
        <v>Mulino Bianco</v>
      </c>
      <c r="M2007" s="6" t="str">
        <f t="shared" si="126"/>
        <v>Cracker Salati Con Lievito Madre Mulino Bianco</v>
      </c>
      <c r="N2007" s="6" t="str">
        <f t="shared" si="127"/>
        <v>It:It</v>
      </c>
    </row>
    <row r="2008" spans="1:14" x14ac:dyDescent="0.25">
      <c r="A2008" s="6" t="s">
        <v>4830</v>
      </c>
      <c r="B2008" s="6">
        <v>6455</v>
      </c>
      <c r="C2008" s="6" t="s">
        <v>4831</v>
      </c>
      <c r="D2008" s="7" t="s">
        <v>726</v>
      </c>
      <c r="E2008" s="6" t="s">
        <v>4832</v>
      </c>
      <c r="F2008" s="6" t="s">
        <v>7926</v>
      </c>
      <c r="G2008" s="8">
        <v>45437</v>
      </c>
      <c r="H2008" s="6">
        <v>5.05</v>
      </c>
      <c r="I2008" s="6" cm="1">
        <f t="array" ref="I2008">IFERROR(VALUE(TRIM(LEFT(E2008,MIN(FIND({" ";"g";"k";"m";"o"},E2008&amp;" gkmo"))-1))),0)</f>
        <v>6</v>
      </c>
      <c r="J2008" s="6" t="str" cm="1">
        <f t="array" ref="J2008">IFERROR(TRIM(MID(E2008,MIN(FIND({" ";"g";"k";"m";"o"},E2008&amp;" gkmo")),10)),"unknown")</f>
        <v>x 16g</v>
      </c>
      <c r="K2008" s="6" t="str">
        <f t="shared" si="124"/>
        <v>g</v>
      </c>
      <c r="L2008" s="6" t="str">
        <f t="shared" si="125"/>
        <v>Walkers</v>
      </c>
      <c r="M2008" s="6" t="str">
        <f t="shared" si="126"/>
        <v>Cheese Flavour Potato Snacks</v>
      </c>
      <c r="N2008" s="6" t="str">
        <f t="shared" si="127"/>
        <v>France, United-Kingdom</v>
      </c>
    </row>
    <row r="2009" spans="1:14" x14ac:dyDescent="0.25">
      <c r="A2009" s="6" t="s">
        <v>4833</v>
      </c>
      <c r="B2009" s="6">
        <v>6852</v>
      </c>
      <c r="C2009" s="6" t="s">
        <v>4834</v>
      </c>
      <c r="D2009" s="7" t="s">
        <v>4835</v>
      </c>
      <c r="E2009" s="6">
        <v>20</v>
      </c>
      <c r="F2009" s="6" t="s">
        <v>139</v>
      </c>
      <c r="G2009" s="8">
        <v>45633</v>
      </c>
      <c r="H2009" s="6">
        <v>20.66</v>
      </c>
      <c r="I2009" s="6" cm="1">
        <f t="array" ref="I2009">IFERROR(VALUE(TRIM(LEFT(E2009,MIN(FIND({" ";"g";"k";"m";"o"},E2009&amp;" gkmo"))-1))),0)</f>
        <v>20</v>
      </c>
      <c r="J2009" s="6" t="str" cm="1">
        <f t="array" ref="J2009">IFERROR(TRIM(MID(E2009,MIN(FIND({" ";"g";"k";"m";"o"},E2009&amp;" gkmo")),10)),"unknown")</f>
        <v/>
      </c>
      <c r="K2009" s="6" t="str">
        <f t="shared" si="124"/>
        <v>unknown</v>
      </c>
      <c r="L2009" s="6" t="str">
        <f t="shared" si="125"/>
        <v>Cadbury, Fingers</v>
      </c>
      <c r="M2009" s="6" t="str">
        <f t="shared" si="126"/>
        <v>Fingers</v>
      </c>
      <c r="N2009" s="6" t="str">
        <f t="shared" si="127"/>
        <v>France</v>
      </c>
    </row>
    <row r="2010" spans="1:14" x14ac:dyDescent="0.25">
      <c r="A2010" s="6" t="s">
        <v>4836</v>
      </c>
      <c r="B2010" s="6">
        <v>10084</v>
      </c>
      <c r="C2010" s="6" t="s">
        <v>7793</v>
      </c>
      <c r="D2010" s="7" t="s">
        <v>1345</v>
      </c>
      <c r="E2010" s="6" t="s">
        <v>2045</v>
      </c>
      <c r="F2010" s="6" t="s">
        <v>1986</v>
      </c>
      <c r="G2010" s="8">
        <v>45566</v>
      </c>
      <c r="H2010" s="6">
        <v>5.25</v>
      </c>
      <c r="I2010" s="6" cm="1">
        <f t="array" ref="I2010">IFERROR(VALUE(TRIM(LEFT(E2010,MIN(FIND({" ";"g";"k";"m";"o"},E2010&amp;" gkmo"))-1))),0)</f>
        <v>175</v>
      </c>
      <c r="J2010" s="6" t="str" cm="1">
        <f t="array" ref="J2010">IFERROR(TRIM(MID(E2010,MIN(FIND({" ";"g";"k";"m";"o"},E2010&amp;" gkmo")),10)),"unknown")</f>
        <v>g</v>
      </c>
      <c r="K2010" s="6" t="str">
        <f t="shared" si="124"/>
        <v>g</v>
      </c>
      <c r="L2010" s="6" t="str">
        <f t="shared" si="125"/>
        <v>Haribo</v>
      </c>
      <c r="M2010" s="6" t="str">
        <f t="shared" si="126"/>
        <v>Goldbà¤Ren</v>
      </c>
      <c r="N2010" s="6" t="str">
        <f t="shared" si="127"/>
        <v>Deutschland</v>
      </c>
    </row>
    <row r="2011" spans="1:14" x14ac:dyDescent="0.25">
      <c r="A2011" s="6" t="s">
        <v>4837</v>
      </c>
      <c r="B2011" s="6">
        <v>13459</v>
      </c>
      <c r="C2011" s="6" t="s">
        <v>7318</v>
      </c>
      <c r="D2011" s="7" t="s">
        <v>1742</v>
      </c>
      <c r="E2011" s="6" t="s">
        <v>2069</v>
      </c>
      <c r="F2011" s="6" t="s">
        <v>5759</v>
      </c>
      <c r="G2011" s="8">
        <v>45678</v>
      </c>
      <c r="H2011" s="6">
        <v>20.72</v>
      </c>
      <c r="I2011" s="6" cm="1">
        <f t="array" ref="I2011">IFERROR(VALUE(TRIM(LEFT(E2011,MIN(FIND({" ";"g";"k";"m";"o"},E2011&amp;" gkmo"))-1))),0)</f>
        <v>0</v>
      </c>
      <c r="J2011" s="6" t="str" cm="1">
        <f t="array" ref="J2011">IFERROR(TRIM(MID(E2011,MIN(FIND({" ";"g";"k";"m";"o"},E2011&amp;" gkmo")),10)),"unknown")</f>
        <v>g</v>
      </c>
      <c r="K2011" s="6" t="str">
        <f t="shared" si="124"/>
        <v>g</v>
      </c>
      <c r="L2011" s="6" t="str">
        <f t="shared" si="125"/>
        <v>Crownfield</v>
      </c>
      <c r="M2011" s="6" t="str">
        <f t="shared" si="126"/>
        <v>Barres De Céréales Chocolat Noir</v>
      </c>
      <c r="N2011" s="6" t="str">
        <f t="shared" si="127"/>
        <v>Fr</v>
      </c>
    </row>
    <row r="2012" spans="1:14" x14ac:dyDescent="0.25">
      <c r="A2012" s="6" t="s">
        <v>4838</v>
      </c>
      <c r="B2012" s="6">
        <v>13221</v>
      </c>
      <c r="C2012" s="6" t="s">
        <v>4839</v>
      </c>
      <c r="D2012" s="7" t="s">
        <v>1533</v>
      </c>
      <c r="E2012" s="6" t="s">
        <v>4840</v>
      </c>
      <c r="F2012" s="6" t="s">
        <v>2973</v>
      </c>
      <c r="G2012" s="8">
        <v>45638</v>
      </c>
      <c r="H2012" s="6">
        <v>3.73</v>
      </c>
      <c r="I2012" s="6" cm="1">
        <f t="array" ref="I2012">IFERROR(VALUE(TRIM(LEFT(E2012,MIN(FIND({" ";"g";"k";"m";"o"},E2012&amp;" gkmo"))-1))),0)</f>
        <v>4</v>
      </c>
      <c r="J2012" s="6" t="str" cm="1">
        <f t="array" ref="J2012">IFERROR(TRIM(MID(E2012,MIN(FIND({" ";"g";"k";"m";"o"},E2012&amp;" gkmo")),10)),"unknown")</f>
        <v>x 27 g</v>
      </c>
      <c r="K2012" s="6" t="str">
        <f t="shared" si="124"/>
        <v>g</v>
      </c>
      <c r="L2012" s="6" t="str">
        <f t="shared" si="125"/>
        <v>Bear</v>
      </c>
      <c r="M2012" s="6" t="str">
        <f t="shared" si="126"/>
        <v>Carrot Cake Bars</v>
      </c>
      <c r="N2012" s="6" t="str">
        <f t="shared" si="127"/>
        <v>Gb</v>
      </c>
    </row>
    <row r="2013" spans="1:14" x14ac:dyDescent="0.25">
      <c r="A2013" s="6" t="s">
        <v>4841</v>
      </c>
      <c r="B2013" s="6">
        <v>7812</v>
      </c>
      <c r="C2013" s="6" t="s">
        <v>3181</v>
      </c>
      <c r="D2013" s="7" t="s">
        <v>7017</v>
      </c>
      <c r="E2013" s="6" t="s">
        <v>528</v>
      </c>
      <c r="F2013" s="6" t="s">
        <v>2973</v>
      </c>
      <c r="G2013" s="8">
        <v>45520</v>
      </c>
      <c r="H2013" s="6">
        <v>22.57</v>
      </c>
      <c r="I2013" s="6" cm="1">
        <f t="array" ref="I2013">IFERROR(VALUE(TRIM(LEFT(E2013,MIN(FIND({" ";"g";"k";"m";"o"},E2013&amp;" gkmo"))-1))),0)</f>
        <v>200</v>
      </c>
      <c r="J2013" s="6" t="str" cm="1">
        <f t="array" ref="J2013">IFERROR(TRIM(MID(E2013,MIN(FIND({" ";"g";"k";"m";"o"},E2013&amp;" gkmo")),10)),"unknown")</f>
        <v>g</v>
      </c>
      <c r="K2013" s="6" t="str">
        <f t="shared" si="124"/>
        <v>g</v>
      </c>
      <c r="L2013" s="6" t="str">
        <f t="shared" si="125"/>
        <v>Unknown</v>
      </c>
      <c r="M2013" s="6" t="str">
        <f t="shared" si="126"/>
        <v>Roasted &amp; Salted Peanuts</v>
      </c>
      <c r="N2013" s="6" t="str">
        <f t="shared" si="127"/>
        <v>Gb</v>
      </c>
    </row>
    <row r="2014" spans="1:14" x14ac:dyDescent="0.25">
      <c r="A2014" s="6" t="s">
        <v>4842</v>
      </c>
      <c r="B2014" s="6">
        <v>14101</v>
      </c>
      <c r="C2014" s="6" t="s">
        <v>4843</v>
      </c>
      <c r="D2014" s="7" t="s">
        <v>1167</v>
      </c>
      <c r="E2014" s="6" t="s">
        <v>809</v>
      </c>
      <c r="F2014" s="6" t="s">
        <v>2973</v>
      </c>
      <c r="G2014" s="8">
        <v>45396</v>
      </c>
      <c r="H2014" s="6">
        <v>6.47</v>
      </c>
      <c r="I2014" s="6" cm="1">
        <f t="array" ref="I2014">IFERROR(VALUE(TRIM(LEFT(E2014,MIN(FIND({" ";"g";"k";"m";"o"},E2014&amp;" gkmo"))-1))),0)</f>
        <v>4</v>
      </c>
      <c r="J2014" s="6" t="str" cm="1">
        <f t="array" ref="J2014">IFERROR(TRIM(MID(E2014,MIN(FIND({" ";"g";"k";"m";"o"},E2014&amp;" gkmo")),10)),"unknown")</f>
        <v>x 30g</v>
      </c>
      <c r="K2014" s="6" t="str">
        <f t="shared" si="124"/>
        <v>g</v>
      </c>
      <c r="L2014" s="6" t="str">
        <f t="shared" si="125"/>
        <v>Lidl</v>
      </c>
      <c r="M2014" s="6" t="str">
        <f t="shared" si="126"/>
        <v>Superfood Oat Bites Cocoa &amp; Orange</v>
      </c>
      <c r="N2014" s="6" t="str">
        <f t="shared" si="127"/>
        <v>Gb</v>
      </c>
    </row>
    <row r="2015" spans="1:14" x14ac:dyDescent="0.25">
      <c r="A2015" s="6" t="s">
        <v>4844</v>
      </c>
      <c r="B2015" s="6">
        <v>13194</v>
      </c>
      <c r="C2015" s="6" t="s">
        <v>4845</v>
      </c>
      <c r="D2015" s="7" t="s">
        <v>4846</v>
      </c>
      <c r="E2015" s="6"/>
      <c r="F2015" s="6" t="s">
        <v>2173</v>
      </c>
      <c r="G2015" s="8">
        <v>45973</v>
      </c>
      <c r="H2015" s="6">
        <v>9.74</v>
      </c>
      <c r="I2015" s="6" cm="1">
        <f t="array" ref="I2015">IFERROR(VALUE(TRIM(LEFT(E2015,MIN(FIND({" ";"g";"k";"m";"o"},E2015&amp;" gkmo"))-1))),0)</f>
        <v>0</v>
      </c>
      <c r="J2015" s="6" t="str" cm="1">
        <f t="array" ref="J2015">IFERROR(TRIM(MID(E2015,MIN(FIND({" ";"g";"k";"m";"o"},E2015&amp;" gkmo")),10)),"unknown")</f>
        <v/>
      </c>
      <c r="K2015" s="6" t="str">
        <f t="shared" si="124"/>
        <v>unknown</v>
      </c>
      <c r="L2015" s="6" t="str">
        <f t="shared" si="125"/>
        <v>Alka</v>
      </c>
      <c r="M2015" s="6" t="str">
        <f t="shared" si="126"/>
        <v>Covrigei Italienesti Taralli Cu Masline</v>
      </c>
      <c r="N2015" s="6" t="str">
        <f t="shared" si="127"/>
        <v>Romania</v>
      </c>
    </row>
    <row r="2016" spans="1:14" x14ac:dyDescent="0.25">
      <c r="A2016" s="6" t="s">
        <v>4847</v>
      </c>
      <c r="B2016" s="6">
        <v>13921</v>
      </c>
      <c r="C2016" s="6" t="s">
        <v>4848</v>
      </c>
      <c r="D2016" s="7" t="s">
        <v>1283</v>
      </c>
      <c r="E2016" s="6"/>
      <c r="F2016" s="6" t="s">
        <v>7949</v>
      </c>
      <c r="G2016" s="8">
        <v>45407</v>
      </c>
      <c r="H2016" s="6">
        <v>2.5299999999999998</v>
      </c>
      <c r="I2016" s="6" cm="1">
        <f t="array" ref="I2016">IFERROR(VALUE(TRIM(LEFT(E2016,MIN(FIND({" ";"g";"k";"m";"o"},E2016&amp;" gkmo"))-1))),0)</f>
        <v>0</v>
      </c>
      <c r="J2016" s="6" t="str" cm="1">
        <f t="array" ref="J2016">IFERROR(TRIM(MID(E2016,MIN(FIND({" ";"g";"k";"m";"o"},E2016&amp;" gkmo")),10)),"unknown")</f>
        <v/>
      </c>
      <c r="K2016" s="6" t="str">
        <f t="shared" si="124"/>
        <v>unknown</v>
      </c>
      <c r="L2016" s="6" t="str">
        <f t="shared" si="125"/>
        <v>Tobigo</v>
      </c>
      <c r="M2016" s="6" t="str">
        <f t="shared" si="126"/>
        <v>Tobigo Petit Beurre</v>
      </c>
      <c r="N2016" s="6" t="str">
        <f t="shared" si="127"/>
        <v>Morocco</v>
      </c>
    </row>
    <row r="2017" spans="1:14" x14ac:dyDescent="0.25">
      <c r="A2017" s="6" t="s">
        <v>4849</v>
      </c>
      <c r="B2017" s="6">
        <v>10941</v>
      </c>
      <c r="C2017" s="6" t="s">
        <v>4850</v>
      </c>
      <c r="D2017" s="7" t="s">
        <v>7017</v>
      </c>
      <c r="E2017" s="6"/>
      <c r="F2017" s="6" t="s">
        <v>7949</v>
      </c>
      <c r="G2017" s="8">
        <v>45676</v>
      </c>
      <c r="H2017" s="6">
        <v>11.4</v>
      </c>
      <c r="I2017" s="6" cm="1">
        <f t="array" ref="I2017">IFERROR(VALUE(TRIM(LEFT(E2017,MIN(FIND({" ";"g";"k";"m";"o"},E2017&amp;" gkmo"))-1))),0)</f>
        <v>0</v>
      </c>
      <c r="J2017" s="6" t="str" cm="1">
        <f t="array" ref="J2017">IFERROR(TRIM(MID(E2017,MIN(FIND({" ";"g";"k";"m";"o"},E2017&amp;" gkmo")),10)),"unknown")</f>
        <v/>
      </c>
      <c r="K2017" s="6" t="str">
        <f t="shared" si="124"/>
        <v>unknown</v>
      </c>
      <c r="L2017" s="6" t="str">
        <f t="shared" si="125"/>
        <v>Unknown</v>
      </c>
      <c r="M2017" s="6" t="str">
        <f t="shared" si="126"/>
        <v>Tchambi Choco Up</v>
      </c>
      <c r="N2017" s="6" t="str">
        <f t="shared" si="127"/>
        <v>Morocco</v>
      </c>
    </row>
    <row r="2018" spans="1:14" x14ac:dyDescent="0.25">
      <c r="A2018" s="6" t="s">
        <v>4851</v>
      </c>
      <c r="B2018" s="6">
        <v>5829</v>
      </c>
      <c r="C2018" s="6" t="s">
        <v>4852</v>
      </c>
      <c r="D2018" s="7" t="s">
        <v>4853</v>
      </c>
      <c r="E2018" s="6" t="s">
        <v>10</v>
      </c>
      <c r="F2018" s="6" t="s">
        <v>48</v>
      </c>
      <c r="G2018" s="8">
        <v>45884</v>
      </c>
      <c r="H2018" s="6">
        <v>14.74</v>
      </c>
      <c r="I2018" s="6" cm="1">
        <f t="array" ref="I2018">IFERROR(VALUE(TRIM(LEFT(E2018,MIN(FIND({" ";"g";"k";"m";"o"},E2018&amp;" gkmo"))-1))),0)</f>
        <v>100</v>
      </c>
      <c r="J2018" s="6" t="str" cm="1">
        <f t="array" ref="J2018">IFERROR(TRIM(MID(E2018,MIN(FIND({" ";"g";"k";"m";"o"},E2018&amp;" gkmo")),10)),"unknown")</f>
        <v>g</v>
      </c>
      <c r="K2018" s="6" t="str">
        <f t="shared" si="124"/>
        <v>g</v>
      </c>
      <c r="L2018" s="6" t="str">
        <f t="shared" si="125"/>
        <v>Mecho</v>
      </c>
      <c r="M2018" s="6" t="str">
        <f t="shared" si="126"/>
        <v>Leka Gaufre</v>
      </c>
      <c r="N2018" s="6" t="str">
        <f t="shared" si="127"/>
        <v>Morocco</v>
      </c>
    </row>
    <row r="2019" spans="1:14" x14ac:dyDescent="0.25">
      <c r="A2019" s="6" t="s">
        <v>4854</v>
      </c>
      <c r="B2019" s="6">
        <v>13405</v>
      </c>
      <c r="C2019" s="6" t="s">
        <v>4855</v>
      </c>
      <c r="D2019" s="7" t="s">
        <v>733</v>
      </c>
      <c r="E2019" s="6" t="s">
        <v>4856</v>
      </c>
      <c r="F2019" s="6" t="s">
        <v>4857</v>
      </c>
      <c r="G2019" s="8">
        <v>45663</v>
      </c>
      <c r="H2019" s="6">
        <v>23.62</v>
      </c>
      <c r="I2019" s="6" cm="1">
        <f t="array" ref="I2019">IFERROR(VALUE(TRIM(LEFT(E2019,MIN(FIND({" ";"g";"k";"m";"o"},E2019&amp;" gkmo"))-1))),0)</f>
        <v>14</v>
      </c>
      <c r="J2019" s="6" t="str" cm="1">
        <f t="array" ref="J2019">IFERROR(TRIM(MID(E2019,MIN(FIND({" ";"g";"k";"m";"o"},E2019&amp;" gkmo")),10)),"unknown")</f>
        <v>oz</v>
      </c>
      <c r="K2019" s="6" t="str">
        <f t="shared" si="124"/>
        <v>unknown</v>
      </c>
      <c r="L2019" s="6" t="str">
        <f t="shared" si="125"/>
        <v>Kind</v>
      </c>
      <c r="M2019" s="6" t="str">
        <f t="shared" si="126"/>
        <v>Dark Chocolate Nuts &amp; Sea Salt</v>
      </c>
      <c r="N2019" s="6" t="str">
        <f t="shared" si="127"/>
        <v>Spain,United States</v>
      </c>
    </row>
    <row r="2020" spans="1:14" x14ac:dyDescent="0.25">
      <c r="A2020" s="6" t="s">
        <v>4858</v>
      </c>
      <c r="B2020" s="6">
        <v>6545</v>
      </c>
      <c r="C2020" s="6" t="s">
        <v>4859</v>
      </c>
      <c r="D2020" s="7" t="s">
        <v>4860</v>
      </c>
      <c r="E2020" s="6" t="s">
        <v>1675</v>
      </c>
      <c r="F2020" s="6" t="s">
        <v>4861</v>
      </c>
      <c r="G2020" s="8">
        <v>45793</v>
      </c>
      <c r="H2020" s="6">
        <v>13.14</v>
      </c>
      <c r="I2020" s="6" cm="1">
        <f t="array" ref="I2020">IFERROR(VALUE(TRIM(LEFT(E2020,MIN(FIND({" ";"g";"k";"m";"o"},E2020&amp;" gkmo"))-1))),0)</f>
        <v>600</v>
      </c>
      <c r="J2020" s="6" t="str" cm="1">
        <f t="array" ref="J2020">IFERROR(TRIM(MID(E2020,MIN(FIND({" ";"g";"k";"m";"o"},E2020&amp;" gkmo")),10)),"unknown")</f>
        <v>g</v>
      </c>
      <c r="K2020" s="6" t="str">
        <f t="shared" si="124"/>
        <v>g</v>
      </c>
      <c r="L2020" s="6" t="str">
        <f t="shared" si="125"/>
        <v>Ikea</v>
      </c>
      <c r="M2020" s="6" t="str">
        <f t="shared" si="126"/>
        <v>Kafferep (Aveia)</v>
      </c>
      <c r="N2020" s="6" t="str">
        <f t="shared" si="127"/>
        <v>France,Germany,Switzerland,United Kingdom</v>
      </c>
    </row>
    <row r="2021" spans="1:14" x14ac:dyDescent="0.25">
      <c r="A2021" s="6" t="s">
        <v>4862</v>
      </c>
      <c r="B2021" s="6">
        <v>8175</v>
      </c>
      <c r="C2021" s="6" t="s">
        <v>7319</v>
      </c>
      <c r="D2021" s="7" t="s">
        <v>961</v>
      </c>
      <c r="E2021" s="6" t="s">
        <v>151</v>
      </c>
      <c r="F2021" s="6" t="s">
        <v>139</v>
      </c>
      <c r="G2021" s="8">
        <v>45598</v>
      </c>
      <c r="H2021" s="6">
        <v>9.89</v>
      </c>
      <c r="I2021" s="6" cm="1">
        <f t="array" ref="I2021">IFERROR(VALUE(TRIM(LEFT(E2021,MIN(FIND({" ";"g";"k";"m";"o"},E2021&amp;" gkmo"))-1))),0)</f>
        <v>200</v>
      </c>
      <c r="J2021" s="6" t="str" cm="1">
        <f t="array" ref="J2021">IFERROR(TRIM(MID(E2021,MIN(FIND({" ";"g";"k";"m";"o"},E2021&amp;" gkmo")),10)),"unknown")</f>
        <v>g</v>
      </c>
      <c r="K2021" s="6" t="str">
        <f t="shared" si="124"/>
        <v>g</v>
      </c>
      <c r="L2021" s="6" t="str">
        <f t="shared" si="125"/>
        <v>Sondey</v>
      </c>
      <c r="M2021" s="6" t="str">
        <f t="shared" si="126"/>
        <v>Grandino Pépites De Chocolat &amp; Nougatine</v>
      </c>
      <c r="N2021" s="6" t="str">
        <f t="shared" si="127"/>
        <v>France</v>
      </c>
    </row>
    <row r="2022" spans="1:14" x14ac:dyDescent="0.25">
      <c r="A2022" s="6" t="s">
        <v>4863</v>
      </c>
      <c r="B2022" s="6">
        <v>9284</v>
      </c>
      <c r="C2022" s="6" t="s">
        <v>4864</v>
      </c>
      <c r="D2022" s="7" t="s">
        <v>1176</v>
      </c>
      <c r="E2022" s="6" t="s">
        <v>1286</v>
      </c>
      <c r="F2022" s="6" t="s">
        <v>8120</v>
      </c>
      <c r="G2022" s="8">
        <v>45383</v>
      </c>
      <c r="H2022" s="6">
        <v>24.14</v>
      </c>
      <c r="I2022" s="6" cm="1">
        <f t="array" ref="I2022">IFERROR(VALUE(TRIM(LEFT(E2022,MIN(FIND({" ";"g";"k";"m";"o"},E2022&amp;" gkmo"))-1))),0)</f>
        <v>315</v>
      </c>
      <c r="J2022" s="6" t="str" cm="1">
        <f t="array" ref="J2022">IFERROR(TRIM(MID(E2022,MIN(FIND({" ";"g";"k";"m";"o"},E2022&amp;" gkmo")),10)),"unknown")</f>
        <v>g</v>
      </c>
      <c r="K2022" s="6" t="str">
        <f t="shared" si="124"/>
        <v>g</v>
      </c>
      <c r="L2022" s="6" t="str">
        <f t="shared" si="125"/>
        <v>Snack Day</v>
      </c>
      <c r="M2022" s="6" t="str">
        <f t="shared" si="126"/>
        <v>Salsa Dip Medium</v>
      </c>
      <c r="N2022" s="6" t="str">
        <f t="shared" si="127"/>
        <v>France, Germany, It</v>
      </c>
    </row>
    <row r="2023" spans="1:14" x14ac:dyDescent="0.25">
      <c r="A2023" s="6" t="s">
        <v>4865</v>
      </c>
      <c r="B2023" s="6">
        <v>8815</v>
      </c>
      <c r="C2023" s="6" t="s">
        <v>4866</v>
      </c>
      <c r="D2023" s="7" t="s">
        <v>961</v>
      </c>
      <c r="E2023" s="6" t="s">
        <v>2081</v>
      </c>
      <c r="F2023" s="6" t="s">
        <v>139</v>
      </c>
      <c r="G2023" s="8">
        <v>45534</v>
      </c>
      <c r="H2023" s="6">
        <v>3.19</v>
      </c>
      <c r="I2023" s="6" cm="1">
        <f t="array" ref="I2023">IFERROR(VALUE(TRIM(LEFT(E2023,MIN(FIND({" ";"g";"k";"m";"o"},E2023&amp;" gkmo"))-1))),0)</f>
        <v>120</v>
      </c>
      <c r="J2023" s="6" t="str" cm="1">
        <f t="array" ref="J2023">IFERROR(TRIM(MID(E2023,MIN(FIND({" ";"g";"k";"m";"o"},E2023&amp;" gkmo")),10)),"unknown")</f>
        <v>g</v>
      </c>
      <c r="K2023" s="6" t="str">
        <f t="shared" si="124"/>
        <v>g</v>
      </c>
      <c r="L2023" s="6" t="str">
        <f t="shared" si="125"/>
        <v>Sondey</v>
      </c>
      <c r="M2023" s="6" t="str">
        <f t="shared" si="126"/>
        <v>Barquette Fraise</v>
      </c>
      <c r="N2023" s="6" t="str">
        <f t="shared" si="127"/>
        <v>France</v>
      </c>
    </row>
    <row r="2024" spans="1:14" x14ac:dyDescent="0.25">
      <c r="A2024" s="6" t="s">
        <v>4867</v>
      </c>
      <c r="B2024" s="6">
        <v>12545</v>
      </c>
      <c r="C2024" s="6" t="s">
        <v>4868</v>
      </c>
      <c r="D2024" s="7" t="s">
        <v>4869</v>
      </c>
      <c r="E2024" s="6" t="s">
        <v>10</v>
      </c>
      <c r="F2024" s="6" t="s">
        <v>1181</v>
      </c>
      <c r="G2024" s="8">
        <v>45525</v>
      </c>
      <c r="H2024" s="6">
        <v>13.16</v>
      </c>
      <c r="I2024" s="6" cm="1">
        <f t="array" ref="I2024">IFERROR(VALUE(TRIM(LEFT(E2024,MIN(FIND({" ";"g";"k";"m";"o"},E2024&amp;" gkmo"))-1))),0)</f>
        <v>100</v>
      </c>
      <c r="J2024" s="6" t="str" cm="1">
        <f t="array" ref="J2024">IFERROR(TRIM(MID(E2024,MIN(FIND({" ";"g";"k";"m";"o"},E2024&amp;" gkmo")),10)),"unknown")</f>
        <v>g</v>
      </c>
      <c r="K2024" s="6" t="str">
        <f t="shared" si="124"/>
        <v>g</v>
      </c>
      <c r="L2024" s="6" t="str">
        <f t="shared" si="125"/>
        <v>Crusti Croc, Snack Day</v>
      </c>
      <c r="M2024" s="6" t="str">
        <f t="shared" si="126"/>
        <v>Vegetable Crisps</v>
      </c>
      <c r="N2024" s="6" t="str">
        <f t="shared" si="127"/>
        <v>France,Switzerland</v>
      </c>
    </row>
    <row r="2025" spans="1:14" x14ac:dyDescent="0.25">
      <c r="A2025" s="6" t="s">
        <v>4870</v>
      </c>
      <c r="B2025" s="6">
        <v>10718</v>
      </c>
      <c r="C2025" s="6" t="s">
        <v>4871</v>
      </c>
      <c r="D2025" s="7" t="s">
        <v>13</v>
      </c>
      <c r="E2025" s="6" t="s">
        <v>1582</v>
      </c>
      <c r="F2025" s="6" t="s">
        <v>1356</v>
      </c>
      <c r="G2025" s="8">
        <v>45521</v>
      </c>
      <c r="H2025" s="6">
        <v>10.37</v>
      </c>
      <c r="I2025" s="6" cm="1">
        <f t="array" ref="I2025">IFERROR(VALUE(TRIM(LEFT(E2025,MIN(FIND({" ";"g";"k";"m";"o"},E2025&amp;" gkmo"))-1))),0)</f>
        <v>120</v>
      </c>
      <c r="J2025" s="6" t="str" cm="1">
        <f t="array" ref="J2025">IFERROR(TRIM(MID(E2025,MIN(FIND({" ";"g";"k";"m";"o"},E2025&amp;" gkmo")),10)),"unknown")</f>
        <v>g</v>
      </c>
      <c r="K2025" s="6" t="str">
        <f t="shared" si="124"/>
        <v>g</v>
      </c>
      <c r="L2025" s="6" t="str">
        <f t="shared" si="125"/>
        <v>Lu</v>
      </c>
      <c r="M2025" s="6" t="str">
        <f t="shared" si="126"/>
        <v>La Barquette (Chocolat)</v>
      </c>
      <c r="N2025" s="6" t="str">
        <f t="shared" si="127"/>
        <v>France,Germany</v>
      </c>
    </row>
    <row r="2026" spans="1:14" x14ac:dyDescent="0.25">
      <c r="A2026" s="6" t="s">
        <v>4872</v>
      </c>
      <c r="B2026" s="6">
        <v>7430</v>
      </c>
      <c r="C2026" s="6" t="s">
        <v>7320</v>
      </c>
      <c r="D2026" s="7" t="s">
        <v>7017</v>
      </c>
      <c r="E2026" s="6" t="s">
        <v>120</v>
      </c>
      <c r="F2026" s="6" t="s">
        <v>139</v>
      </c>
      <c r="G2026" s="8">
        <v>45722</v>
      </c>
      <c r="H2026" s="6">
        <v>24.91</v>
      </c>
      <c r="I2026" s="6" cm="1">
        <f t="array" ref="I2026">IFERROR(VALUE(TRIM(LEFT(E2026,MIN(FIND({" ";"g";"k";"m";"o"},E2026&amp;" gkmo"))-1))),0)</f>
        <v>210</v>
      </c>
      <c r="J2026" s="6" t="str" cm="1">
        <f t="array" ref="J2026">IFERROR(TRIM(MID(E2026,MIN(FIND({" ";"g";"k";"m";"o"},E2026&amp;" gkmo")),10)),"unknown")</f>
        <v>g</v>
      </c>
      <c r="K2026" s="6" t="str">
        <f t="shared" si="124"/>
        <v>g</v>
      </c>
      <c r="L2026" s="6" t="str">
        <f t="shared" si="125"/>
        <v>Unknown</v>
      </c>
      <c r="M2026" s="6" t="str">
        <f t="shared" si="126"/>
        <v>Nestle Les Recettes De L'Atelier - Carrés Dégustation Chocolat Noir 70% - 210G</v>
      </c>
      <c r="N2026" s="6" t="str">
        <f t="shared" si="127"/>
        <v>France</v>
      </c>
    </row>
    <row r="2027" spans="1:14" x14ac:dyDescent="0.25">
      <c r="A2027" s="6" t="s">
        <v>4873</v>
      </c>
      <c r="B2027" s="6">
        <v>11601</v>
      </c>
      <c r="C2027" s="6" t="s">
        <v>7321</v>
      </c>
      <c r="D2027" s="7" t="s">
        <v>7794</v>
      </c>
      <c r="E2027" s="6" t="s">
        <v>4874</v>
      </c>
      <c r="F2027" s="6" t="s">
        <v>8312</v>
      </c>
      <c r="G2027" s="8">
        <v>45639</v>
      </c>
      <c r="H2027" s="6">
        <v>1.19</v>
      </c>
      <c r="I2027" s="6" cm="1">
        <f t="array" ref="I2027">IFERROR(VALUE(TRIM(LEFT(E2027,MIN(FIND({" ";"g";"k";"m";"o"},E2027&amp;" gkmo"))-1))),0)</f>
        <v>200</v>
      </c>
      <c r="J2027" s="6" t="str" cm="1">
        <f t="array" ref="J2027">IFERROR(TRIM(MID(E2027,MIN(FIND({" ";"g";"k";"m";"o"},E2027&amp;" gkmo")),10)),"unknown")</f>
        <v>g e (10 *</v>
      </c>
      <c r="K2027" s="6" t="str">
        <f t="shared" si="124"/>
        <v>g</v>
      </c>
      <c r="L2027" s="6" t="str">
        <f t="shared" si="125"/>
        <v>Cà´Te D'Or, Mondelez, Mondelez International</v>
      </c>
      <c r="M2027" s="6" t="str">
        <f t="shared" si="126"/>
        <v>Carrés Noir Noisette</v>
      </c>
      <c r="N2027" s="6" t="str">
        <f t="shared" si="127"/>
        <v>Belgium,Chine,France</v>
      </c>
    </row>
    <row r="2028" spans="1:14" x14ac:dyDescent="0.25">
      <c r="A2028" s="6" t="s">
        <v>4875</v>
      </c>
      <c r="B2028" s="6">
        <v>8891</v>
      </c>
      <c r="C2028" s="6" t="s">
        <v>4876</v>
      </c>
      <c r="D2028" s="7" t="s">
        <v>7017</v>
      </c>
      <c r="E2028" s="6" t="s">
        <v>10</v>
      </c>
      <c r="F2028" s="6" t="s">
        <v>8362</v>
      </c>
      <c r="G2028" s="8">
        <v>45697</v>
      </c>
      <c r="H2028" s="6">
        <v>1.32</v>
      </c>
      <c r="I2028" s="6" cm="1">
        <f t="array" ref="I2028">IFERROR(VALUE(TRIM(LEFT(E2028,MIN(FIND({" ";"g";"k";"m";"o"},E2028&amp;" gkmo"))-1))),0)</f>
        <v>100</v>
      </c>
      <c r="J2028" s="6" t="str" cm="1">
        <f t="array" ref="J2028">IFERROR(TRIM(MID(E2028,MIN(FIND({" ";"g";"k";"m";"o"},E2028&amp;" gkmo")),10)),"unknown")</f>
        <v>g</v>
      </c>
      <c r="K2028" s="6" t="str">
        <f t="shared" si="124"/>
        <v>g</v>
      </c>
      <c r="L2028" s="6" t="str">
        <f t="shared" si="125"/>
        <v>Unknown</v>
      </c>
      <c r="M2028" s="6" t="str">
        <f t="shared" si="126"/>
        <v>Caramel Feinherb</v>
      </c>
      <c r="N2028" s="6" t="str">
        <f t="shared" si="127"/>
        <v>Australia,Austria,Belgium,Bulgaria,France,Germany,Marruecos,Nueva Zelanda,Suecia,Switzerland</v>
      </c>
    </row>
    <row r="2029" spans="1:14" x14ac:dyDescent="0.25">
      <c r="A2029" s="6" t="s">
        <v>4877</v>
      </c>
      <c r="B2029" s="6">
        <v>14141</v>
      </c>
      <c r="C2029" s="6" t="s">
        <v>4878</v>
      </c>
      <c r="D2029" s="7" t="s">
        <v>744</v>
      </c>
      <c r="E2029" s="6" t="s">
        <v>4879</v>
      </c>
      <c r="F2029" s="6" t="s">
        <v>139</v>
      </c>
      <c r="G2029" s="8">
        <v>45478</v>
      </c>
      <c r="H2029" s="6">
        <v>15.81</v>
      </c>
      <c r="I2029" s="6" cm="1">
        <f t="array" ref="I2029">IFERROR(VALUE(TRIM(LEFT(E2029,MIN(FIND({" ";"g";"k";"m";"o"},E2029&amp;" gkmo"))-1))),0)</f>
        <v>90</v>
      </c>
      <c r="J2029" s="6" t="str" cm="1">
        <f t="array" ref="J2029">IFERROR(TRIM(MID(E2029,MIN(FIND({" ";"g";"k";"m";"o"},E2029&amp;" gkmo")),10)),"unknown")</f>
        <v>g â„®</v>
      </c>
      <c r="K2029" s="6" t="str">
        <f t="shared" si="124"/>
        <v>g</v>
      </c>
      <c r="L2029" s="6" t="str">
        <f t="shared" si="125"/>
        <v>Lu, Mondelez</v>
      </c>
      <c r="M2029" s="6" t="str">
        <f t="shared" si="126"/>
        <v>Petits Coeurs Choco'Croc</v>
      </c>
      <c r="N2029" s="6" t="str">
        <f t="shared" si="127"/>
        <v>France</v>
      </c>
    </row>
    <row r="2030" spans="1:14" x14ac:dyDescent="0.25">
      <c r="A2030" s="6" t="s">
        <v>4880</v>
      </c>
      <c r="B2030" s="6">
        <v>5763</v>
      </c>
      <c r="C2030" s="6" t="s">
        <v>7322</v>
      </c>
      <c r="D2030" s="7" t="s">
        <v>7017</v>
      </c>
      <c r="E2030" s="6" t="s">
        <v>4881</v>
      </c>
      <c r="F2030" s="6" t="s">
        <v>8222</v>
      </c>
      <c r="G2030" s="8">
        <v>45637</v>
      </c>
      <c r="H2030" s="6">
        <v>18.149999999999999</v>
      </c>
      <c r="I2030" s="6" cm="1">
        <f t="array" ref="I2030">IFERROR(VALUE(TRIM(LEFT(E2030,MIN(FIND({" ";"g";"k";"m";"o"},E2030&amp;" gkmo"))-1))),0)</f>
        <v>162</v>
      </c>
      <c r="J2030" s="6" t="str" cm="1">
        <f t="array" ref="J2030">IFERROR(TRIM(MID(E2030,MIN(FIND({" ";"g";"k";"m";"o"},E2030&amp;" gkmo")),10)),"unknown")</f>
        <v>g</v>
      </c>
      <c r="K2030" s="6" t="str">
        <f t="shared" si="124"/>
        <v>g</v>
      </c>
      <c r="L2030" s="6" t="str">
        <f t="shared" si="125"/>
        <v>Unknown</v>
      </c>
      <c r="M2030" s="6" t="str">
        <f t="shared" si="126"/>
        <v>Croquant Miel Sésame</v>
      </c>
      <c r="N2030" s="6" t="str">
        <f t="shared" si="127"/>
        <v>France,Reunià³N</v>
      </c>
    </row>
    <row r="2031" spans="1:14" x14ac:dyDescent="0.25">
      <c r="A2031" s="6" t="s">
        <v>4882</v>
      </c>
      <c r="B2031" s="6">
        <v>6408</v>
      </c>
      <c r="C2031" s="6" t="s">
        <v>4883</v>
      </c>
      <c r="D2031" s="7" t="s">
        <v>7030</v>
      </c>
      <c r="E2031" s="6" t="s">
        <v>946</v>
      </c>
      <c r="F2031" s="6" t="s">
        <v>1181</v>
      </c>
      <c r="G2031" s="8">
        <v>45421</v>
      </c>
      <c r="H2031" s="6">
        <v>13.2</v>
      </c>
      <c r="I2031" s="6" cm="1">
        <f t="array" ref="I2031">IFERROR(VALUE(TRIM(LEFT(E2031,MIN(FIND({" ";"g";"k";"m";"o"},E2031&amp;" gkmo"))-1))),0)</f>
        <v>138</v>
      </c>
      <c r="J2031" s="6" t="str" cm="1">
        <f t="array" ref="J2031">IFERROR(TRIM(MID(E2031,MIN(FIND({" ";"g";"k";"m";"o"},E2031&amp;" gkmo")),10)),"unknown")</f>
        <v>g</v>
      </c>
      <c r="K2031" s="6" t="str">
        <f t="shared" si="124"/>
        <v>g</v>
      </c>
      <c r="L2031" s="6" t="str">
        <f t="shared" si="125"/>
        <v>Gerblé</v>
      </c>
      <c r="M2031" s="6" t="str">
        <f t="shared" si="126"/>
        <v>Biscuit Moelleux Pomme Saveur Framboise</v>
      </c>
      <c r="N2031" s="6" t="str">
        <f t="shared" si="127"/>
        <v>France,Switzerland</v>
      </c>
    </row>
    <row r="2032" spans="1:14" x14ac:dyDescent="0.25">
      <c r="A2032" s="6" t="s">
        <v>4884</v>
      </c>
      <c r="B2032" s="6">
        <v>9824</v>
      </c>
      <c r="C2032" s="6" t="s">
        <v>4885</v>
      </c>
      <c r="D2032" s="7" t="s">
        <v>488</v>
      </c>
      <c r="E2032" s="6" t="s">
        <v>4886</v>
      </c>
      <c r="F2032" s="6" t="s">
        <v>8108</v>
      </c>
      <c r="G2032" s="8">
        <v>45440</v>
      </c>
      <c r="H2032" s="6">
        <v>22.51</v>
      </c>
      <c r="I2032" s="6" cm="1">
        <f t="array" ref="I2032">IFERROR(VALUE(TRIM(LEFT(E2032,MIN(FIND({" ";"g";"k";"m";"o"},E2032&amp;" gkmo"))-1))),0)</f>
        <v>235</v>
      </c>
      <c r="J2032" s="6" t="str" cm="1">
        <f t="array" ref="J2032">IFERROR(TRIM(MID(E2032,MIN(FIND({" ";"g";"k";"m";"o"},E2032&amp;" gkmo")),10)),"unknown")</f>
        <v>g</v>
      </c>
      <c r="K2032" s="6" t="str">
        <f t="shared" si="124"/>
        <v>g</v>
      </c>
      <c r="L2032" s="6" t="str">
        <f t="shared" si="125"/>
        <v>Bonne Maman</v>
      </c>
      <c r="M2032" s="6" t="str">
        <f t="shared" si="126"/>
        <v>Petit Muffins</v>
      </c>
      <c r="N2032" s="6" t="str">
        <f t="shared" si="127"/>
        <v>France, Germany, United-Kingdom</v>
      </c>
    </row>
    <row r="2033" spans="1:14" x14ac:dyDescent="0.25">
      <c r="A2033" s="6" t="s">
        <v>4887</v>
      </c>
      <c r="B2033" s="6">
        <v>5689</v>
      </c>
      <c r="C2033" s="6" t="s">
        <v>4888</v>
      </c>
      <c r="D2033" s="7" t="s">
        <v>4889</v>
      </c>
      <c r="E2033" s="6" t="s">
        <v>151</v>
      </c>
      <c r="F2033" s="6" t="s">
        <v>139</v>
      </c>
      <c r="G2033" s="8">
        <v>45589</v>
      </c>
      <c r="H2033" s="6">
        <v>2.83</v>
      </c>
      <c r="I2033" s="6" cm="1">
        <f t="array" ref="I2033">IFERROR(VALUE(TRIM(LEFT(E2033,MIN(FIND({" ";"g";"k";"m";"o"},E2033&amp;" gkmo"))-1))),0)</f>
        <v>200</v>
      </c>
      <c r="J2033" s="6" t="str" cm="1">
        <f t="array" ref="J2033">IFERROR(TRIM(MID(E2033,MIN(FIND({" ";"g";"k";"m";"o"},E2033&amp;" gkmo")),10)),"unknown")</f>
        <v>g</v>
      </c>
      <c r="K2033" s="6" t="str">
        <f t="shared" si="124"/>
        <v>g</v>
      </c>
      <c r="L2033" s="6" t="str">
        <f t="shared" si="125"/>
        <v>Chabrior</v>
      </c>
      <c r="M2033" s="6" t="str">
        <f t="shared" si="126"/>
        <v>Cookies Nougatine - 200G</v>
      </c>
      <c r="N2033" s="6" t="str">
        <f t="shared" si="127"/>
        <v>France</v>
      </c>
    </row>
    <row r="2034" spans="1:14" x14ac:dyDescent="0.25">
      <c r="A2034" s="6" t="s">
        <v>4890</v>
      </c>
      <c r="B2034" s="6">
        <v>12116</v>
      </c>
      <c r="C2034" s="6" t="s">
        <v>4891</v>
      </c>
      <c r="D2034" s="7" t="s">
        <v>7323</v>
      </c>
      <c r="E2034" s="6" t="s">
        <v>14</v>
      </c>
      <c r="F2034" s="6" t="s">
        <v>139</v>
      </c>
      <c r="G2034" s="8">
        <v>45710</v>
      </c>
      <c r="H2034" s="6">
        <v>3.4</v>
      </c>
      <c r="I2034" s="6" cm="1">
        <f t="array" ref="I2034">IFERROR(VALUE(TRIM(LEFT(E2034,MIN(FIND({" ";"g";"k";"m";"o"},E2034&amp;" gkmo"))-1))),0)</f>
        <v>300</v>
      </c>
      <c r="J2034" s="6" t="str" cm="1">
        <f t="array" ref="J2034">IFERROR(TRIM(MID(E2034,MIN(FIND({" ";"g";"k";"m";"o"},E2034&amp;" gkmo")),10)),"unknown")</f>
        <v>g</v>
      </c>
      <c r="K2034" s="6" t="str">
        <f t="shared" si="124"/>
        <v>g</v>
      </c>
      <c r="L2034" s="6" t="str">
        <f t="shared" si="125"/>
        <v>Bouton D'Or, Intermarché</v>
      </c>
      <c r="M2034" s="6" t="str">
        <f t="shared" si="126"/>
        <v>Tubo Sticks &amp; Bretzels</v>
      </c>
      <c r="N2034" s="6" t="str">
        <f t="shared" si="127"/>
        <v>France</v>
      </c>
    </row>
    <row r="2035" spans="1:14" x14ac:dyDescent="0.25">
      <c r="A2035" s="6" t="s">
        <v>4892</v>
      </c>
      <c r="B2035" s="6">
        <v>5737</v>
      </c>
      <c r="C2035" s="6" t="s">
        <v>7795</v>
      </c>
      <c r="D2035" s="7" t="s">
        <v>3594</v>
      </c>
      <c r="E2035" s="6" t="s">
        <v>352</v>
      </c>
      <c r="F2035" s="6" t="s">
        <v>139</v>
      </c>
      <c r="G2035" s="8">
        <v>45577</v>
      </c>
      <c r="H2035" s="6">
        <v>21</v>
      </c>
      <c r="I2035" s="6" cm="1">
        <f t="array" ref="I2035">IFERROR(VALUE(TRIM(LEFT(E2035,MIN(FIND({" ";"g";"k";"m";"o"},E2035&amp;" gkmo"))-1))),0)</f>
        <v>170</v>
      </c>
      <c r="J2035" s="6" t="str" cm="1">
        <f t="array" ref="J2035">IFERROR(TRIM(MID(E2035,MIN(FIND({" ";"g";"k";"m";"o"},E2035&amp;" gkmo")),10)),"unknown")</f>
        <v>g</v>
      </c>
      <c r="K2035" s="6" t="str">
        <f t="shared" si="124"/>
        <v>g</v>
      </c>
      <c r="L2035" s="6" t="str">
        <f t="shared" si="125"/>
        <v>U</v>
      </c>
      <c r="M2035" s="6" t="str">
        <f t="shared" si="126"/>
        <v>Tuiles Goà»T Crème Et Oignon Boà®Te De 170G</v>
      </c>
      <c r="N2035" s="6" t="str">
        <f t="shared" si="127"/>
        <v>France</v>
      </c>
    </row>
    <row r="2036" spans="1:14" x14ac:dyDescent="0.25">
      <c r="A2036" s="6" t="s">
        <v>4893</v>
      </c>
      <c r="B2036" s="6">
        <v>11404</v>
      </c>
      <c r="C2036" s="6" t="s">
        <v>7796</v>
      </c>
      <c r="D2036" s="7" t="s">
        <v>3156</v>
      </c>
      <c r="E2036" s="6" t="s">
        <v>4894</v>
      </c>
      <c r="F2036" s="6" t="s">
        <v>1181</v>
      </c>
      <c r="G2036" s="8">
        <v>45898</v>
      </c>
      <c r="H2036" s="6">
        <v>7.49</v>
      </c>
      <c r="I2036" s="6" cm="1">
        <f t="array" ref="I2036">IFERROR(VALUE(TRIM(LEFT(E2036,MIN(FIND({" ";"g";"k";"m";"o"},E2036&amp;" gkmo"))-1))),0)</f>
        <v>300</v>
      </c>
      <c r="J2036" s="6" t="str" cm="1">
        <f t="array" ref="J2036">IFERROR(TRIM(MID(E2036,MIN(FIND({" ";"g";"k";"m";"o"},E2036&amp;" gkmo")),10)),"unknown")</f>
        <v>gr</v>
      </c>
      <c r="K2036" s="6" t="str">
        <f t="shared" si="124"/>
        <v>g</v>
      </c>
      <c r="L2036" s="6" t="str">
        <f t="shared" si="125"/>
        <v>Pierre Martinet</v>
      </c>
      <c r="M2036" s="6" t="str">
        <f t="shared" si="126"/>
        <v>Céleri Rémoulade À  La Moutarde À  L'Ancienne</v>
      </c>
      <c r="N2036" s="6" t="str">
        <f t="shared" si="127"/>
        <v>France,Switzerland</v>
      </c>
    </row>
    <row r="2037" spans="1:14" x14ac:dyDescent="0.25">
      <c r="A2037" s="6" t="s">
        <v>4895</v>
      </c>
      <c r="B2037" s="6">
        <v>13402</v>
      </c>
      <c r="C2037" s="6" t="s">
        <v>4896</v>
      </c>
      <c r="D2037" s="7" t="s">
        <v>4054</v>
      </c>
      <c r="E2037" s="6" t="s">
        <v>1582</v>
      </c>
      <c r="F2037" s="6" t="s">
        <v>139</v>
      </c>
      <c r="G2037" s="8">
        <v>45475</v>
      </c>
      <c r="H2037" s="6">
        <v>7.03</v>
      </c>
      <c r="I2037" s="6" cm="1">
        <f t="array" ref="I2037">IFERROR(VALUE(TRIM(LEFT(E2037,MIN(FIND({" ";"g";"k";"m";"o"},E2037&amp;" gkmo"))-1))),0)</f>
        <v>120</v>
      </c>
      <c r="J2037" s="6" t="str" cm="1">
        <f t="array" ref="J2037">IFERROR(TRIM(MID(E2037,MIN(FIND({" ";"g";"k";"m";"o"},E2037&amp;" gkmo")),10)),"unknown")</f>
        <v>g</v>
      </c>
      <c r="K2037" s="6" t="str">
        <f t="shared" si="124"/>
        <v>g</v>
      </c>
      <c r="L2037" s="6" t="str">
        <f t="shared" si="125"/>
        <v>Intersnack, Vico</v>
      </c>
      <c r="M2037" s="6" t="str">
        <f t="shared" si="126"/>
        <v>La Gourmande</v>
      </c>
      <c r="N2037" s="6" t="str">
        <f t="shared" si="127"/>
        <v>France</v>
      </c>
    </row>
    <row r="2038" spans="1:14" x14ac:dyDescent="0.25">
      <c r="A2038" s="6" t="s">
        <v>4897</v>
      </c>
      <c r="B2038" s="6">
        <v>6968</v>
      </c>
      <c r="C2038" s="6" t="s">
        <v>4898</v>
      </c>
      <c r="D2038" s="7" t="s">
        <v>4899</v>
      </c>
      <c r="E2038" s="6" t="s">
        <v>99</v>
      </c>
      <c r="F2038" s="6" t="s">
        <v>557</v>
      </c>
      <c r="G2038" s="8">
        <v>45885</v>
      </c>
      <c r="H2038" s="6">
        <v>5.93</v>
      </c>
      <c r="I2038" s="6" cm="1">
        <f t="array" ref="I2038">IFERROR(VALUE(TRIM(LEFT(E2038,MIN(FIND({" ";"g";"k";"m";"o"},E2038&amp;" gkmo"))-1))),0)</f>
        <v>160</v>
      </c>
      <c r="J2038" s="6" t="str" cm="1">
        <f t="array" ref="J2038">IFERROR(TRIM(MID(E2038,MIN(FIND({" ";"g";"k";"m";"o"},E2038&amp;" gkmo")),10)),"unknown")</f>
        <v>g</v>
      </c>
      <c r="K2038" s="6" t="str">
        <f t="shared" si="124"/>
        <v>g</v>
      </c>
      <c r="L2038" s="6" t="str">
        <f t="shared" si="125"/>
        <v>Ekibio, Le Pain Des Fleurs</v>
      </c>
      <c r="M2038" s="6" t="str">
        <f t="shared" si="126"/>
        <v>Tartines Craquantes Bio Cacao</v>
      </c>
      <c r="N2038" s="6" t="str">
        <f t="shared" si="127"/>
        <v>Belgium,France,Switzerland</v>
      </c>
    </row>
    <row r="2039" spans="1:14" x14ac:dyDescent="0.25">
      <c r="A2039" s="6" t="s">
        <v>4900</v>
      </c>
      <c r="B2039" s="6">
        <v>10133</v>
      </c>
      <c r="C2039" s="6" t="s">
        <v>4901</v>
      </c>
      <c r="D2039" s="7" t="s">
        <v>3923</v>
      </c>
      <c r="E2039" s="6" t="s">
        <v>10</v>
      </c>
      <c r="F2039" s="6" t="s">
        <v>139</v>
      </c>
      <c r="G2039" s="8">
        <v>45886</v>
      </c>
      <c r="H2039" s="6">
        <v>18.989999999999998</v>
      </c>
      <c r="I2039" s="6" cm="1">
        <f t="array" ref="I2039">IFERROR(VALUE(TRIM(LEFT(E2039,MIN(FIND({" ";"g";"k";"m";"o"},E2039&amp;" gkmo"))-1))),0)</f>
        <v>100</v>
      </c>
      <c r="J2039" s="6" t="str" cm="1">
        <f t="array" ref="J2039">IFERROR(TRIM(MID(E2039,MIN(FIND({" ";"g";"k";"m";"o"},E2039&amp;" gkmo")),10)),"unknown")</f>
        <v>g</v>
      </c>
      <c r="K2039" s="6" t="str">
        <f t="shared" si="124"/>
        <v>g</v>
      </c>
      <c r="L2039" s="6" t="str">
        <f t="shared" si="125"/>
        <v>Kaoka</v>
      </c>
      <c r="M2039" s="6" t="str">
        <f t="shared" si="126"/>
        <v>Chocolat Noir 70% Bio</v>
      </c>
      <c r="N2039" s="6" t="str">
        <f t="shared" si="127"/>
        <v>France</v>
      </c>
    </row>
    <row r="2040" spans="1:14" x14ac:dyDescent="0.25">
      <c r="A2040" s="6" t="s">
        <v>4902</v>
      </c>
      <c r="B2040" s="6">
        <v>11844</v>
      </c>
      <c r="C2040" s="6" t="s">
        <v>4903</v>
      </c>
      <c r="D2040" s="7" t="s">
        <v>7017</v>
      </c>
      <c r="E2040" s="6"/>
      <c r="F2040" s="6" t="s">
        <v>8121</v>
      </c>
      <c r="G2040" s="8">
        <v>45624</v>
      </c>
      <c r="H2040" s="6">
        <v>11.49</v>
      </c>
      <c r="I2040" s="6" cm="1">
        <f t="array" ref="I2040">IFERROR(VALUE(TRIM(LEFT(E2040,MIN(FIND({" ";"g";"k";"m";"o"},E2040&amp;" gkmo"))-1))),0)</f>
        <v>0</v>
      </c>
      <c r="J2040" s="6" t="str" cm="1">
        <f t="array" ref="J2040">IFERROR(TRIM(MID(E2040,MIN(FIND({" ";"g";"k";"m";"o"},E2040&amp;" gkmo")),10)),"unknown")</f>
        <v/>
      </c>
      <c r="K2040" s="6" t="str">
        <f t="shared" si="124"/>
        <v>unknown</v>
      </c>
      <c r="L2040" s="6" t="str">
        <f t="shared" si="125"/>
        <v>Unknown</v>
      </c>
      <c r="M2040" s="6" t="str">
        <f t="shared" si="126"/>
        <v>Chocolate Negro Con Almendras Caramelizadas</v>
      </c>
      <c r="N2040" s="6" t="str">
        <f t="shared" si="127"/>
        <v>France, Italy, Kenya, Spain, Belgium</v>
      </c>
    </row>
    <row r="2041" spans="1:14" x14ac:dyDescent="0.25">
      <c r="A2041" s="6" t="s">
        <v>4904</v>
      </c>
      <c r="B2041" s="6">
        <v>6265</v>
      </c>
      <c r="C2041" s="6" t="s">
        <v>4905</v>
      </c>
      <c r="D2041" s="7" t="s">
        <v>7496</v>
      </c>
      <c r="E2041" s="6" t="s">
        <v>39</v>
      </c>
      <c r="F2041" s="6" t="s">
        <v>139</v>
      </c>
      <c r="G2041" s="8">
        <v>45852</v>
      </c>
      <c r="H2041" s="6">
        <v>12.69</v>
      </c>
      <c r="I2041" s="6" cm="1">
        <f t="array" ref="I2041">IFERROR(VALUE(TRIM(LEFT(E2041,MIN(FIND({" ";"g";"k";"m";"o"},E2041&amp;" gkmo"))-1))),0)</f>
        <v>150</v>
      </c>
      <c r="J2041" s="6" t="str" cm="1">
        <f t="array" ref="J2041">IFERROR(TRIM(MID(E2041,MIN(FIND({" ";"g";"k";"m";"o"},E2041&amp;" gkmo")),10)),"unknown")</f>
        <v>g</v>
      </c>
      <c r="K2041" s="6" t="str">
        <f t="shared" si="124"/>
        <v>g</v>
      </c>
      <c r="L2041" s="6" t="str">
        <f t="shared" si="125"/>
        <v>Bio Village, Marque Repère</v>
      </c>
      <c r="M2041" s="6" t="str">
        <f t="shared" si="126"/>
        <v>Petit-Beurre Bio</v>
      </c>
      <c r="N2041" s="6" t="str">
        <f t="shared" si="127"/>
        <v>France</v>
      </c>
    </row>
    <row r="2042" spans="1:14" x14ac:dyDescent="0.25">
      <c r="A2042" s="6" t="s">
        <v>4906</v>
      </c>
      <c r="B2042" s="6">
        <v>8625</v>
      </c>
      <c r="C2042" s="6" t="s">
        <v>7017</v>
      </c>
      <c r="D2042" s="7" t="s">
        <v>4907</v>
      </c>
      <c r="E2042" s="6"/>
      <c r="F2042" s="6" t="s">
        <v>2701</v>
      </c>
      <c r="G2042" s="8">
        <v>45463</v>
      </c>
      <c r="H2042" s="6">
        <v>13.16</v>
      </c>
      <c r="I2042" s="6" cm="1">
        <f t="array" ref="I2042">IFERROR(VALUE(TRIM(LEFT(E2042,MIN(FIND({" ";"g";"k";"m";"o"},E2042&amp;" gkmo"))-1))),0)</f>
        <v>0</v>
      </c>
      <c r="J2042" s="6" t="str" cm="1">
        <f t="array" ref="J2042">IFERROR(TRIM(MID(E2042,MIN(FIND({" ";"g";"k";"m";"o"},E2042&amp;" gkmo")),10)),"unknown")</f>
        <v/>
      </c>
      <c r="K2042" s="6" t="str">
        <f t="shared" si="124"/>
        <v>unknown</v>
      </c>
      <c r="L2042" s="6" t="str">
        <f t="shared" si="125"/>
        <v>Carambar</v>
      </c>
      <c r="M2042" s="6" t="str">
        <f t="shared" si="126"/>
        <v>Unknown</v>
      </c>
      <c r="N2042" s="6" t="str">
        <f t="shared" si="127"/>
        <v>Frankrijk,Zwitserland</v>
      </c>
    </row>
    <row r="2043" spans="1:14" x14ac:dyDescent="0.25">
      <c r="A2043" s="6" t="s">
        <v>4908</v>
      </c>
      <c r="B2043" s="6">
        <v>14432</v>
      </c>
      <c r="C2043" s="6" t="s">
        <v>4909</v>
      </c>
      <c r="D2043" s="7" t="s">
        <v>7548</v>
      </c>
      <c r="E2043" s="6" t="s">
        <v>335</v>
      </c>
      <c r="F2043" s="6" t="s">
        <v>139</v>
      </c>
      <c r="G2043" s="8">
        <v>45450</v>
      </c>
      <c r="H2043" s="6">
        <v>2.13</v>
      </c>
      <c r="I2043" s="6" cm="1">
        <f t="array" ref="I2043">IFERROR(VALUE(TRIM(LEFT(E2043,MIN(FIND({" ";"g";"k";"m";"o"},E2043&amp;" gkmo"))-1))),0)</f>
        <v>250</v>
      </c>
      <c r="J2043" s="6" t="str" cm="1">
        <f t="array" ref="J2043">IFERROR(TRIM(MID(E2043,MIN(FIND({" ";"g";"k";"m";"o"},E2043&amp;" gkmo")),10)),"unknown")</f>
        <v>g</v>
      </c>
      <c r="K2043" s="6" t="str">
        <f t="shared" si="124"/>
        <v>g</v>
      </c>
      <c r="L2043" s="6" t="str">
        <f t="shared" si="125"/>
        <v>Karéléa, Léa Nature</v>
      </c>
      <c r="M2043" s="6" t="str">
        <f t="shared" si="126"/>
        <v>Speculoos Sans Sucres</v>
      </c>
      <c r="N2043" s="6" t="str">
        <f t="shared" si="127"/>
        <v>France</v>
      </c>
    </row>
    <row r="2044" spans="1:14" x14ac:dyDescent="0.25">
      <c r="A2044" s="6" t="s">
        <v>4910</v>
      </c>
      <c r="B2044" s="6">
        <v>6768</v>
      </c>
      <c r="C2044" s="6" t="s">
        <v>4911</v>
      </c>
      <c r="D2044" s="7" t="s">
        <v>7324</v>
      </c>
      <c r="E2044" s="6" t="s">
        <v>151</v>
      </c>
      <c r="F2044" s="6" t="s">
        <v>139</v>
      </c>
      <c r="G2044" s="8">
        <v>45391</v>
      </c>
      <c r="H2044" s="6">
        <v>18.82</v>
      </c>
      <c r="I2044" s="6" cm="1">
        <f t="array" ref="I2044">IFERROR(VALUE(TRIM(LEFT(E2044,MIN(FIND({" ";"g";"k";"m";"o"},E2044&amp;" gkmo"))-1))),0)</f>
        <v>200</v>
      </c>
      <c r="J2044" s="6" t="str" cm="1">
        <f t="array" ref="J2044">IFERROR(TRIM(MID(E2044,MIN(FIND({" ";"g";"k";"m";"o"},E2044&amp;" gkmo")),10)),"unknown")</f>
        <v>g</v>
      </c>
      <c r="K2044" s="6" t="str">
        <f t="shared" si="124"/>
        <v>g</v>
      </c>
      <c r="L2044" s="6" t="str">
        <f t="shared" si="125"/>
        <v>Jardin Bio, Jardin Biologique, Léa Nature</v>
      </c>
      <c r="M2044" s="6" t="str">
        <f t="shared" si="126"/>
        <v>Gaufrettes Chocolat</v>
      </c>
      <c r="N2044" s="6" t="str">
        <f t="shared" si="127"/>
        <v>France</v>
      </c>
    </row>
    <row r="2045" spans="1:14" x14ac:dyDescent="0.25">
      <c r="A2045" s="6" t="s">
        <v>4912</v>
      </c>
      <c r="B2045" s="6">
        <v>7245</v>
      </c>
      <c r="C2045" s="6" t="s">
        <v>7017</v>
      </c>
      <c r="D2045" s="7" t="s">
        <v>4913</v>
      </c>
      <c r="E2045" s="6" t="s">
        <v>2225</v>
      </c>
      <c r="F2045" s="6" t="s">
        <v>8122</v>
      </c>
      <c r="G2045" s="8">
        <v>45779</v>
      </c>
      <c r="H2045" s="6">
        <v>13.16</v>
      </c>
      <c r="I2045" s="6" cm="1">
        <f t="array" ref="I2045">IFERROR(VALUE(TRIM(LEFT(E2045,MIN(FIND({" ";"g";"k";"m";"o"},E2045&amp;" gkmo"))-1))),0)</f>
        <v>70</v>
      </c>
      <c r="J2045" s="6" t="str" cm="1">
        <f t="array" ref="J2045">IFERROR(TRIM(MID(E2045,MIN(FIND({" ";"g";"k";"m";"o"},E2045&amp;" gkmo")),10)),"unknown")</f>
        <v>g</v>
      </c>
      <c r="K2045" s="6" t="str">
        <f t="shared" si="124"/>
        <v>g</v>
      </c>
      <c r="L2045" s="6" t="str">
        <f t="shared" si="125"/>
        <v>Maretti</v>
      </c>
      <c r="M2045" s="6" t="str">
        <f t="shared" si="126"/>
        <v>Unknown</v>
      </c>
      <c r="N2045" s="6" t="str">
        <f t="shared" si="127"/>
        <v>Romania, Serbia, Morocco</v>
      </c>
    </row>
    <row r="2046" spans="1:14" x14ac:dyDescent="0.25">
      <c r="A2046" s="6" t="s">
        <v>4914</v>
      </c>
      <c r="B2046" s="6">
        <v>11321</v>
      </c>
      <c r="C2046" s="6" t="s">
        <v>4915</v>
      </c>
      <c r="D2046" s="7" t="s">
        <v>7325</v>
      </c>
      <c r="E2046" s="6" t="s">
        <v>4916</v>
      </c>
      <c r="F2046" s="6" t="s">
        <v>8470</v>
      </c>
      <c r="G2046" s="8">
        <v>45463</v>
      </c>
      <c r="H2046" s="6">
        <v>12.97</v>
      </c>
      <c r="I2046" s="6" cm="1">
        <f t="array" ref="I2046">IFERROR(VALUE(TRIM(LEFT(E2046,MIN(FIND({" ";"g";"k";"m";"o"},E2046&amp;" gkmo"))-1))),0)</f>
        <v>41.5</v>
      </c>
      <c r="J2046" s="6" t="str" cm="1">
        <f t="array" ref="J2046">IFERROR(TRIM(MID(E2046,MIN(FIND({" ";"g";"k";"m";"o"},E2046&amp;" gkmo")),10)),"unknown")</f>
        <v>g</v>
      </c>
      <c r="K2046" s="6" t="str">
        <f t="shared" si="124"/>
        <v>g</v>
      </c>
      <c r="L2046" s="6" t="str">
        <f t="shared" si="125"/>
        <v>Nestlé, Kitkat</v>
      </c>
      <c r="M2046" s="6" t="str">
        <f t="shared" si="126"/>
        <v>Kitkat 4 Fingers Barre Au Chocolat Au Lait 41,5G, Unitaire</v>
      </c>
      <c r="N2046" s="6" t="str">
        <f t="shared" si="127"/>
        <v>France,Mexique,La Reunion,Spain</v>
      </c>
    </row>
    <row r="2047" spans="1:14" x14ac:dyDescent="0.25">
      <c r="A2047" s="6" t="s">
        <v>4917</v>
      </c>
      <c r="B2047" s="6">
        <v>12390</v>
      </c>
      <c r="C2047" s="6" t="s">
        <v>4918</v>
      </c>
      <c r="D2047" s="7" t="s">
        <v>4919</v>
      </c>
      <c r="E2047" s="6" t="s">
        <v>1389</v>
      </c>
      <c r="F2047" s="6" t="s">
        <v>3183</v>
      </c>
      <c r="G2047" s="8">
        <v>46039</v>
      </c>
      <c r="H2047" s="6">
        <v>24.21</v>
      </c>
      <c r="I2047" s="6" cm="1">
        <f t="array" ref="I2047">IFERROR(VALUE(TRIM(LEFT(E2047,MIN(FIND({" ";"g";"k";"m";"o"},E2047&amp;" gkmo"))-1))),0)</f>
        <v>40</v>
      </c>
      <c r="J2047" s="6" t="str" cm="1">
        <f t="array" ref="J2047">IFERROR(TRIM(MID(E2047,MIN(FIND({" ";"g";"k";"m";"o"},E2047&amp;" gkmo")),10)),"unknown")</f>
        <v>g</v>
      </c>
      <c r="K2047" s="6" t="str">
        <f t="shared" si="124"/>
        <v>g</v>
      </c>
      <c r="L2047" s="6" t="str">
        <f t="shared" si="125"/>
        <v>Mr. Tom</v>
      </c>
      <c r="M2047" s="6" t="str">
        <f t="shared" si="126"/>
        <v>Mr. Tom Peanuts In Caramel</v>
      </c>
      <c r="N2047" s="6" t="str">
        <f t="shared" si="127"/>
        <v>France,Germany,United Kingdom</v>
      </c>
    </row>
    <row r="2048" spans="1:14" x14ac:dyDescent="0.25">
      <c r="A2048" s="6" t="s">
        <v>4920</v>
      </c>
      <c r="B2048" s="6">
        <v>13212</v>
      </c>
      <c r="C2048" s="6" t="s">
        <v>4921</v>
      </c>
      <c r="D2048" s="7" t="s">
        <v>4922</v>
      </c>
      <c r="E2048" s="6" t="s">
        <v>1393</v>
      </c>
      <c r="F2048" s="6" t="s">
        <v>3684</v>
      </c>
      <c r="G2048" s="8">
        <v>45460</v>
      </c>
      <c r="H2048" s="6">
        <v>13.16</v>
      </c>
      <c r="I2048" s="6" cm="1">
        <f t="array" ref="I2048">IFERROR(VALUE(TRIM(LEFT(E2048,MIN(FIND({" ";"g";"k";"m";"o"},E2048&amp;" gkmo"))-1))),0)</f>
        <v>220</v>
      </c>
      <c r="J2048" s="6" t="str" cm="1">
        <f t="array" ref="J2048">IFERROR(TRIM(MID(E2048,MIN(FIND({" ";"g";"k";"m";"o"},E2048&amp;" gkmo")),10)),"unknown")</f>
        <v>g</v>
      </c>
      <c r="K2048" s="6" t="str">
        <f t="shared" si="124"/>
        <v>g</v>
      </c>
      <c r="L2048" s="6" t="str">
        <f t="shared" si="125"/>
        <v>M&amp;M'S</v>
      </c>
      <c r="M2048" s="6" t="str">
        <f t="shared" si="126"/>
        <v>M&amp;M'S Erdnuss</v>
      </c>
      <c r="N2048" s="6" t="str">
        <f t="shared" si="127"/>
        <v>France,Germany,Spain</v>
      </c>
    </row>
    <row r="2049" spans="1:14" x14ac:dyDescent="0.25">
      <c r="A2049" s="6" t="s">
        <v>4923</v>
      </c>
      <c r="B2049" s="6">
        <v>8000</v>
      </c>
      <c r="C2049" s="6" t="s">
        <v>4924</v>
      </c>
      <c r="D2049" s="7" t="s">
        <v>248</v>
      </c>
      <c r="E2049" s="6" t="s">
        <v>3267</v>
      </c>
      <c r="F2049" s="6" t="s">
        <v>4925</v>
      </c>
      <c r="G2049" s="8">
        <v>45667</v>
      </c>
      <c r="H2049" s="6">
        <v>4.13</v>
      </c>
      <c r="I2049" s="6" cm="1">
        <f t="array" ref="I2049">IFERROR(VALUE(TRIM(LEFT(E2049,MIN(FIND({" ";"g";"k";"m";"o"},E2049&amp;" gkmo"))-1))),0)</f>
        <v>256</v>
      </c>
      <c r="J2049" s="6" t="str" cm="1">
        <f t="array" ref="J2049">IFERROR(TRIM(MID(E2049,MIN(FIND({" ";"g";"k";"m";"o"},E2049&amp;" gkmo")),10)),"unknown")</f>
        <v>g</v>
      </c>
      <c r="K2049" s="6" t="str">
        <f t="shared" si="124"/>
        <v>g</v>
      </c>
      <c r="L2049" s="6" t="str">
        <f t="shared" si="125"/>
        <v>Tesco</v>
      </c>
      <c r="M2049" s="6" t="str">
        <f t="shared" si="126"/>
        <v>Butter Broiche Rolls</v>
      </c>
      <c r="N2049" s="6" t="str">
        <f t="shared" si="127"/>
        <v>France, United Kingdom, Germany</v>
      </c>
    </row>
    <row r="2050" spans="1:14" x14ac:dyDescent="0.25">
      <c r="A2050" s="6" t="s">
        <v>4926</v>
      </c>
      <c r="B2050" s="6">
        <v>10815</v>
      </c>
      <c r="C2050" s="6" t="s">
        <v>4927</v>
      </c>
      <c r="D2050" s="7" t="s">
        <v>4928</v>
      </c>
      <c r="E2050" s="6" t="s">
        <v>4929</v>
      </c>
      <c r="F2050" s="6" t="s">
        <v>8040</v>
      </c>
      <c r="G2050" s="8">
        <v>45938</v>
      </c>
      <c r="H2050" s="6">
        <v>10.06</v>
      </c>
      <c r="I2050" s="6" cm="1">
        <f t="array" ref="I2050">IFERROR(VALUE(TRIM(LEFT(E2050,MIN(FIND({" ";"g";"k";"m";"o"},E2050&amp;" gkmo"))-1))),0)</f>
        <v>750</v>
      </c>
      <c r="J2050" s="6" t="str" cm="1">
        <f t="array" ref="J2050">IFERROR(TRIM(MID(E2050,MIN(FIND({" ";"g";"k";"m";"o"},E2050&amp;" gkmo")),10)),"unknown")</f>
        <v>g (6x125g</v>
      </c>
      <c r="K2050" s="6" t="str">
        <f t="shared" ref="K2050:K2113" si="128">IF(E2050="","unknown",IF(OR(J2050="g",LEFT(J2050,1)="g"),"g",IF(OR(LEFT(J2050,2)="kg",LEFT(J2050,2)="ki"),"kg",IF(OR(LEFT(J2050,2)="ml",LEFT(J2050,1)="m"),"ml",IF(LEFT(J2050,1)="l","l",IF(ISNUMBER(SEARCH("g",E2050)),"g",IF(ISNUMBER(SEARCH("kg",E2050)),"kg",IF(ISNUMBER(SEARCH("ml",E2050)),"ml","unknown"))))))))</f>
        <v>g</v>
      </c>
      <c r="L2050" s="6" t="str">
        <f t="shared" ref="L2050:L2113" si="129">IF(D2050="","Unknown",PROPER(TRIM(D2050)))</f>
        <v>Lotus, Biscoff</v>
      </c>
      <c r="M2050" s="6" t="str">
        <f t="shared" ref="M2050:M2113" si="130">IF(C2050="Unknown","Unknown",PROPER(TRIM(C2050)))</f>
        <v>Speculoos Original Format Familial</v>
      </c>
      <c r="N2050" s="6" t="str">
        <f t="shared" si="127"/>
        <v>United Kingdom, France</v>
      </c>
    </row>
    <row r="2051" spans="1:14" x14ac:dyDescent="0.25">
      <c r="A2051" s="6" t="s">
        <v>4930</v>
      </c>
      <c r="B2051" s="6">
        <v>12920</v>
      </c>
      <c r="C2051" s="6" t="s">
        <v>4931</v>
      </c>
      <c r="D2051" s="7" t="s">
        <v>1219</v>
      </c>
      <c r="E2051" s="6" t="s">
        <v>4932</v>
      </c>
      <c r="F2051" s="6" t="s">
        <v>139</v>
      </c>
      <c r="G2051" s="8">
        <v>45652</v>
      </c>
      <c r="H2051" s="6">
        <v>23.06</v>
      </c>
      <c r="I2051" s="6" cm="1">
        <f t="array" ref="I2051">IFERROR(VALUE(TRIM(LEFT(E2051,MIN(FIND({" ";"g";"k";"m";"o"},E2051&amp;" gkmo"))-1))),0)</f>
        <v>198</v>
      </c>
      <c r="J2051" s="6" t="str" cm="1">
        <f t="array" ref="J2051">IFERROR(TRIM(MID(E2051,MIN(FIND({" ";"g";"k";"m";"o"},E2051&amp;" gkmo")),10)),"unknown")</f>
        <v>g (10x19.</v>
      </c>
      <c r="K2051" s="6" t="str">
        <f t="shared" si="128"/>
        <v>g</v>
      </c>
      <c r="L2051" s="6" t="str">
        <f t="shared" si="129"/>
        <v>M&amp;M'S, Mars</v>
      </c>
      <c r="M2051" s="6" t="str">
        <f t="shared" si="130"/>
        <v>M&amp;M'S Biscuit</v>
      </c>
      <c r="N2051" s="6" t="str">
        <f t="shared" ref="N2051:N2114" si="131">IF(F2051="","Unknown",PROPER(TRIM(F2051)))</f>
        <v>France</v>
      </c>
    </row>
    <row r="2052" spans="1:14" x14ac:dyDescent="0.25">
      <c r="A2052" s="6" t="s">
        <v>4933</v>
      </c>
      <c r="B2052" s="6">
        <v>9793</v>
      </c>
      <c r="C2052" s="6" t="s">
        <v>7797</v>
      </c>
      <c r="D2052" s="7" t="s">
        <v>4934</v>
      </c>
      <c r="E2052" s="6"/>
      <c r="F2052" s="6" t="s">
        <v>8425</v>
      </c>
      <c r="G2052" s="8">
        <v>45950</v>
      </c>
      <c r="H2052" s="6">
        <v>13.16</v>
      </c>
      <c r="I2052" s="6" cm="1">
        <f t="array" ref="I2052">IFERROR(VALUE(TRIM(LEFT(E2052,MIN(FIND({" ";"g";"k";"m";"o"},E2052&amp;" gkmo"))-1))),0)</f>
        <v>0</v>
      </c>
      <c r="J2052" s="6" t="str" cm="1">
        <f t="array" ref="J2052">IFERROR(TRIM(MID(E2052,MIN(FIND({" ";"g";"k";"m";"o"},E2052&amp;" gkmo")),10)),"unknown")</f>
        <v/>
      </c>
      <c r="K2052" s="6" t="str">
        <f t="shared" si="128"/>
        <v>unknown</v>
      </c>
      <c r="L2052" s="6" t="str">
        <f t="shared" si="129"/>
        <v>Lu,Prince</v>
      </c>
      <c r="M2052" s="6" t="str">
        <f t="shared" si="130"/>
        <v>Prince Mini Gà¢Teau</v>
      </c>
      <c r="N2052" s="6" t="str">
        <f t="shared" si="131"/>
        <v>France,Qatar,Tunisia</v>
      </c>
    </row>
    <row r="2053" spans="1:14" x14ac:dyDescent="0.25">
      <c r="A2053" s="6" t="s">
        <v>4935</v>
      </c>
      <c r="B2053" s="6">
        <v>7023</v>
      </c>
      <c r="C2053" s="6" t="s">
        <v>7326</v>
      </c>
      <c r="D2053" s="7" t="s">
        <v>1800</v>
      </c>
      <c r="E2053" s="6" t="s">
        <v>10</v>
      </c>
      <c r="F2053" s="6" t="s">
        <v>8123</v>
      </c>
      <c r="G2053" s="8">
        <v>45484</v>
      </c>
      <c r="H2053" s="6">
        <v>2.91</v>
      </c>
      <c r="I2053" s="6" cm="1">
        <f t="array" ref="I2053">IFERROR(VALUE(TRIM(LEFT(E2053,MIN(FIND({" ";"g";"k";"m";"o"},E2053&amp;" gkmo"))-1))),0)</f>
        <v>100</v>
      </c>
      <c r="J2053" s="6" t="str" cm="1">
        <f t="array" ref="J2053">IFERROR(TRIM(MID(E2053,MIN(FIND({" ";"g";"k";"m";"o"},E2053&amp;" gkmo")),10)),"unknown")</f>
        <v>g</v>
      </c>
      <c r="K2053" s="6" t="str">
        <f t="shared" si="128"/>
        <v>g</v>
      </c>
      <c r="L2053" s="6" t="str">
        <f t="shared" si="129"/>
        <v>Villars</v>
      </c>
      <c r="M2053" s="6" t="str">
        <f t="shared" si="130"/>
        <v>Chocolat Villars Noir 70% Sans Sucre Ajouté 100G</v>
      </c>
      <c r="N2053" s="6" t="str">
        <f t="shared" si="131"/>
        <v>France, Guadeloupe, Switzerland, Morocco</v>
      </c>
    </row>
    <row r="2054" spans="1:14" x14ac:dyDescent="0.25">
      <c r="A2054" s="6" t="s">
        <v>4936</v>
      </c>
      <c r="B2054" s="6">
        <v>12641</v>
      </c>
      <c r="C2054" s="6" t="s">
        <v>7798</v>
      </c>
      <c r="D2054" s="7" t="s">
        <v>7327</v>
      </c>
      <c r="E2054" s="6" t="s">
        <v>1001</v>
      </c>
      <c r="F2054" s="6" t="s">
        <v>8347</v>
      </c>
      <c r="G2054" s="8">
        <v>45607</v>
      </c>
      <c r="H2054" s="6">
        <v>13.16</v>
      </c>
      <c r="I2054" s="6" cm="1">
        <f t="array" ref="I2054">IFERROR(VALUE(TRIM(LEFT(E2054,MIN(FIND({" ";"g";"k";"m";"o"},E2054&amp;" gkmo"))-1))),0)</f>
        <v>205</v>
      </c>
      <c r="J2054" s="6" t="str" cm="1">
        <f t="array" ref="J2054">IFERROR(TRIM(MID(E2054,MIN(FIND({" ";"g";"k";"m";"o"},E2054&amp;" gkmo")),10)),"unknown")</f>
        <v>g</v>
      </c>
      <c r="K2054" s="6" t="str">
        <f t="shared" si="128"/>
        <v>g</v>
      </c>
      <c r="L2054" s="6" t="str">
        <f t="shared" si="129"/>
        <v>Nestlé, Nestlé Dessert, Tablettes</v>
      </c>
      <c r="M2054" s="6" t="str">
        <f t="shared" si="130"/>
        <v>Chocolat Noir Pour Préparation Pà¢Tissière</v>
      </c>
      <c r="N2054" s="6" t="str">
        <f t="shared" si="131"/>
        <v>Belgium,France,Guadeloupe,Martinique,Switzerland</v>
      </c>
    </row>
    <row r="2055" spans="1:14" x14ac:dyDescent="0.25">
      <c r="A2055" s="6" t="s">
        <v>4937</v>
      </c>
      <c r="B2055" s="6">
        <v>6725</v>
      </c>
      <c r="C2055" s="6" t="s">
        <v>7017</v>
      </c>
      <c r="D2055" s="7" t="s">
        <v>2145</v>
      </c>
      <c r="E2055" s="6" t="s">
        <v>4938</v>
      </c>
      <c r="F2055" s="6" t="s">
        <v>8124</v>
      </c>
      <c r="G2055" s="8">
        <v>45437</v>
      </c>
      <c r="H2055" s="6">
        <v>13.16</v>
      </c>
      <c r="I2055" s="6" cm="1">
        <f t="array" ref="I2055">IFERROR(VALUE(TRIM(LEFT(E2055,MIN(FIND({" ";"g";"k";"m";"o"},E2055&amp;" gkmo"))-1))),0)</f>
        <v>176</v>
      </c>
      <c r="J2055" s="6" t="str" cm="1">
        <f t="array" ref="J2055">IFERROR(TRIM(MID(E2055,MIN(FIND({" ";"g";"k";"m";"o"},E2055&amp;" gkmo")),10)),"unknown")</f>
        <v>g</v>
      </c>
      <c r="K2055" s="6" t="str">
        <f t="shared" si="128"/>
        <v>g</v>
      </c>
      <c r="L2055" s="6" t="str">
        <f t="shared" si="129"/>
        <v>Oreo</v>
      </c>
      <c r="M2055" s="6" t="str">
        <f t="shared" si="130"/>
        <v>Unknown</v>
      </c>
      <c r="N2055" s="6" t="str">
        <f t="shared" si="131"/>
        <v>France,Romania,Bulgaria</v>
      </c>
    </row>
    <row r="2056" spans="1:14" x14ac:dyDescent="0.25">
      <c r="A2056" s="6" t="s">
        <v>4939</v>
      </c>
      <c r="B2056" s="6">
        <v>13783</v>
      </c>
      <c r="C2056" s="6" t="s">
        <v>4940</v>
      </c>
      <c r="D2056" s="7" t="s">
        <v>4941</v>
      </c>
      <c r="E2056" s="6" t="s">
        <v>4942</v>
      </c>
      <c r="F2056" s="6" t="s">
        <v>139</v>
      </c>
      <c r="G2056" s="8">
        <v>46041</v>
      </c>
      <c r="H2056" s="6">
        <v>17.97</v>
      </c>
      <c r="I2056" s="6" cm="1">
        <f t="array" ref="I2056">IFERROR(VALUE(TRIM(LEFT(E2056,MIN(FIND({" ";"g";"k";"m";"o"},E2056&amp;" gkmo"))-1))),0)</f>
        <v>312</v>
      </c>
      <c r="J2056" s="6" t="str" cm="1">
        <f t="array" ref="J2056">IFERROR(TRIM(MID(E2056,MIN(FIND({" ";"g";"k";"m";"o"},E2056&amp;" gkmo")),10)),"unknown")</f>
        <v>g</v>
      </c>
      <c r="K2056" s="6" t="str">
        <f t="shared" si="128"/>
        <v>g</v>
      </c>
      <c r="L2056" s="6" t="str">
        <f t="shared" si="129"/>
        <v>Granola, Lu</v>
      </c>
      <c r="M2056" s="6" t="str">
        <f t="shared" si="130"/>
        <v>Granola Cå“Ur Extra Moelleux Chocolat</v>
      </c>
      <c r="N2056" s="6" t="str">
        <f t="shared" si="131"/>
        <v>France</v>
      </c>
    </row>
    <row r="2057" spans="1:14" x14ac:dyDescent="0.25">
      <c r="A2057" s="6" t="s">
        <v>4943</v>
      </c>
      <c r="B2057" s="6">
        <v>10449</v>
      </c>
      <c r="C2057" s="6" t="s">
        <v>4944</v>
      </c>
      <c r="D2057" s="7" t="s">
        <v>2050</v>
      </c>
      <c r="E2057" s="6" t="s">
        <v>10</v>
      </c>
      <c r="F2057" s="6" t="s">
        <v>4945</v>
      </c>
      <c r="G2057" s="8">
        <v>45962</v>
      </c>
      <c r="H2057" s="6">
        <v>8.6300000000000008</v>
      </c>
      <c r="I2057" s="6" cm="1">
        <f t="array" ref="I2057">IFERROR(VALUE(TRIM(LEFT(E2057,MIN(FIND({" ";"g";"k";"m";"o"},E2057&amp;" gkmo"))-1))),0)</f>
        <v>100</v>
      </c>
      <c r="J2057" s="6" t="str" cm="1">
        <f t="array" ref="J2057">IFERROR(TRIM(MID(E2057,MIN(FIND({" ";"g";"k";"m";"o"},E2057&amp;" gkmo")),10)),"unknown")</f>
        <v>g</v>
      </c>
      <c r="K2057" s="6" t="str">
        <f t="shared" si="128"/>
        <v>g</v>
      </c>
      <c r="L2057" s="6" t="str">
        <f t="shared" si="129"/>
        <v>Milka,Mondelez</v>
      </c>
      <c r="M2057" s="6" t="str">
        <f t="shared" si="130"/>
        <v>Happy Cow</v>
      </c>
      <c r="N2057" s="6" t="str">
        <f t="shared" si="131"/>
        <v>Austria,France,Germany,Poland,United Kingdom</v>
      </c>
    </row>
    <row r="2058" spans="1:14" x14ac:dyDescent="0.25">
      <c r="A2058" s="6" t="s">
        <v>4946</v>
      </c>
      <c r="B2058" s="6">
        <v>11285</v>
      </c>
      <c r="C2058" s="6" t="s">
        <v>7799</v>
      </c>
      <c r="D2058" s="7" t="s">
        <v>4947</v>
      </c>
      <c r="E2058" s="6" t="s">
        <v>4948</v>
      </c>
      <c r="F2058" s="6" t="s">
        <v>8231</v>
      </c>
      <c r="G2058" s="8">
        <v>45610</v>
      </c>
      <c r="H2058" s="6">
        <v>23.7</v>
      </c>
      <c r="I2058" s="6" cm="1">
        <f t="array" ref="I2058">IFERROR(VALUE(TRIM(LEFT(E2058,MIN(FIND({" ";"g";"k";"m";"o"},E2058&amp;" gkmo"))-1))),0)</f>
        <v>120</v>
      </c>
      <c r="J2058" s="6" t="str" cm="1">
        <f t="array" ref="J2058">IFERROR(TRIM(MID(E2058,MIN(FIND({" ";"g";"k";"m";"o"},E2058&amp;" gkmo")),10)),"unknown")</f>
        <v>g (3 x 40</v>
      </c>
      <c r="K2058" s="6" t="str">
        <f t="shared" si="128"/>
        <v>g</v>
      </c>
      <c r="L2058" s="6" t="str">
        <f t="shared" si="129"/>
        <v>Enervit</v>
      </c>
      <c r="M2058" s="6" t="str">
        <f t="shared" si="130"/>
        <v>Barritas Con Proteà­Nas Sabor Coco Y Chocolate</v>
      </c>
      <c r="N2058" s="6" t="str">
        <f t="shared" si="131"/>
        <v>France,Espaà±A</v>
      </c>
    </row>
    <row r="2059" spans="1:14" x14ac:dyDescent="0.25">
      <c r="A2059" s="6" t="s">
        <v>4949</v>
      </c>
      <c r="B2059" s="6">
        <v>12982</v>
      </c>
      <c r="C2059" s="6" t="s">
        <v>4950</v>
      </c>
      <c r="D2059" s="7" t="s">
        <v>4951</v>
      </c>
      <c r="E2059" s="6" t="s">
        <v>1265</v>
      </c>
      <c r="F2059" s="6" t="s">
        <v>3018</v>
      </c>
      <c r="G2059" s="8">
        <v>45469</v>
      </c>
      <c r="H2059" s="6">
        <v>6.3</v>
      </c>
      <c r="I2059" s="6" cm="1">
        <f t="array" ref="I2059">IFERROR(VALUE(TRIM(LEFT(E2059,MIN(FIND({" ";"g";"k";"m";"o"},E2059&amp;" gkmo"))-1))),0)</f>
        <v>185</v>
      </c>
      <c r="J2059" s="6" t="str" cm="1">
        <f t="array" ref="J2059">IFERROR(TRIM(MID(E2059,MIN(FIND({" ";"g";"k";"m";"o"},E2059&amp;" gkmo")),10)),"unknown")</f>
        <v>g</v>
      </c>
      <c r="K2059" s="6" t="str">
        <f t="shared" si="128"/>
        <v>g</v>
      </c>
      <c r="L2059" s="6" t="str">
        <f t="shared" si="129"/>
        <v>Grand' Italia</v>
      </c>
      <c r="M2059" s="6" t="str">
        <f t="shared" si="130"/>
        <v>Grand' Italia Pesto Alla Genovese</v>
      </c>
      <c r="N2059" s="6" t="str">
        <f t="shared" si="131"/>
        <v>Belgium</v>
      </c>
    </row>
    <row r="2060" spans="1:14" x14ac:dyDescent="0.25">
      <c r="A2060" s="6" t="s">
        <v>4952</v>
      </c>
      <c r="B2060" s="6">
        <v>7543</v>
      </c>
      <c r="C2060" s="6" t="s">
        <v>4953</v>
      </c>
      <c r="D2060" s="7" t="s">
        <v>7017</v>
      </c>
      <c r="E2060" s="6" t="s">
        <v>156</v>
      </c>
      <c r="F2060" s="6" t="s">
        <v>4954</v>
      </c>
      <c r="G2060" s="8">
        <v>45727</v>
      </c>
      <c r="H2060" s="6">
        <v>13.16</v>
      </c>
      <c r="I2060" s="6" cm="1">
        <f t="array" ref="I2060">IFERROR(VALUE(TRIM(LEFT(E2060,MIN(FIND({" ";"g";"k";"m";"o"},E2060&amp;" gkmo"))-1))),0)</f>
        <v>500</v>
      </c>
      <c r="J2060" s="6" t="str" cm="1">
        <f t="array" ref="J2060">IFERROR(TRIM(MID(E2060,MIN(FIND({" ";"g";"k";"m";"o"},E2060&amp;" gkmo")),10)),"unknown")</f>
        <v>g</v>
      </c>
      <c r="K2060" s="6" t="str">
        <f t="shared" si="128"/>
        <v>g</v>
      </c>
      <c r="L2060" s="6" t="str">
        <f t="shared" si="129"/>
        <v>Unknown</v>
      </c>
      <c r="M2060" s="6" t="str">
        <f t="shared" si="130"/>
        <v>Cracker Integrali</v>
      </c>
      <c r="N2060" s="6" t="str">
        <f t="shared" si="131"/>
        <v>France,Guadeloupe,Italy,Romania</v>
      </c>
    </row>
    <row r="2061" spans="1:14" x14ac:dyDescent="0.25">
      <c r="A2061" s="6" t="s">
        <v>4955</v>
      </c>
      <c r="B2061" s="6">
        <v>11719</v>
      </c>
      <c r="C2061" s="6" t="s">
        <v>4956</v>
      </c>
      <c r="D2061" s="7" t="s">
        <v>7578</v>
      </c>
      <c r="E2061" s="6" t="s">
        <v>851</v>
      </c>
      <c r="F2061" s="6" t="s">
        <v>8245</v>
      </c>
      <c r="G2061" s="8">
        <v>45803</v>
      </c>
      <c r="H2061" s="6">
        <v>24.87</v>
      </c>
      <c r="I2061" s="6" cm="1">
        <f t="array" ref="I2061">IFERROR(VALUE(TRIM(LEFT(E2061,MIN(FIND({" ";"g";"k";"m";"o"},E2061&amp;" gkmo"))-1))),0)</f>
        <v>250</v>
      </c>
      <c r="J2061" s="6" t="str" cm="1">
        <f t="array" ref="J2061">IFERROR(TRIM(MID(E2061,MIN(FIND({" ";"g";"k";"m";"o"},E2061&amp;" gkmo")),10)),"unknown")</f>
        <v>gram</v>
      </c>
      <c r="K2061" s="6" t="str">
        <f t="shared" si="128"/>
        <v>g</v>
      </c>
      <c r="L2061" s="6" t="str">
        <f t="shared" si="129"/>
        <v>Gullà³N</v>
      </c>
      <c r="M2061" s="6" t="str">
        <f t="shared" si="130"/>
        <v>Peak Fish Crackers 250G</v>
      </c>
      <c r="N2061" s="6" t="str">
        <f t="shared" si="131"/>
        <v>France,Marruecos</v>
      </c>
    </row>
    <row r="2062" spans="1:14" x14ac:dyDescent="0.25">
      <c r="A2062" s="6" t="s">
        <v>4957</v>
      </c>
      <c r="B2062" s="6">
        <v>13198</v>
      </c>
      <c r="C2062" s="6" t="s">
        <v>4958</v>
      </c>
      <c r="D2062" s="7" t="s">
        <v>7578</v>
      </c>
      <c r="E2062" s="6"/>
      <c r="F2062" s="6" t="s">
        <v>8270</v>
      </c>
      <c r="G2062" s="8">
        <v>45363</v>
      </c>
      <c r="H2062" s="6">
        <v>3.84</v>
      </c>
      <c r="I2062" s="6" cm="1">
        <f t="array" ref="I2062">IFERROR(VALUE(TRIM(LEFT(E2062,MIN(FIND({" ";"g";"k";"m";"o"},E2062&amp;" gkmo"))-1))),0)</f>
        <v>0</v>
      </c>
      <c r="J2062" s="6" t="str" cm="1">
        <f t="array" ref="J2062">IFERROR(TRIM(MID(E2062,MIN(FIND({" ";"g";"k";"m";"o"},E2062&amp;" gkmo")),10)),"unknown")</f>
        <v/>
      </c>
      <c r="K2062" s="6" t="str">
        <f t="shared" si="128"/>
        <v>unknown</v>
      </c>
      <c r="L2062" s="6" t="str">
        <f t="shared" si="129"/>
        <v>Gullà³N</v>
      </c>
      <c r="M2062" s="6" t="str">
        <f t="shared" si="130"/>
        <v>Dibus Sharkies Imp</v>
      </c>
      <c r="N2062" s="6" t="str">
        <f t="shared" si="131"/>
        <v>Germany,Espaà±A</v>
      </c>
    </row>
    <row r="2063" spans="1:14" x14ac:dyDescent="0.25">
      <c r="A2063" s="6" t="s">
        <v>4959</v>
      </c>
      <c r="B2063" s="6">
        <v>8127</v>
      </c>
      <c r="C2063" s="6" t="s">
        <v>4960</v>
      </c>
      <c r="D2063" s="7" t="s">
        <v>47</v>
      </c>
      <c r="E2063" s="6">
        <v>300</v>
      </c>
      <c r="F2063" s="6" t="s">
        <v>7919</v>
      </c>
      <c r="G2063" s="8">
        <v>45582</v>
      </c>
      <c r="H2063" s="6">
        <v>15.8</v>
      </c>
      <c r="I2063" s="6" cm="1">
        <f t="array" ref="I2063">IFERROR(VALUE(TRIM(LEFT(E2063,MIN(FIND({" ";"g";"k";"m";"o"},E2063&amp;" gkmo"))-1))),0)</f>
        <v>300</v>
      </c>
      <c r="J2063" s="6" t="str" cm="1">
        <f t="array" ref="J2063">IFERROR(TRIM(MID(E2063,MIN(FIND({" ";"g";"k";"m";"o"},E2063&amp;" gkmo")),10)),"unknown")</f>
        <v/>
      </c>
      <c r="K2063" s="6" t="str">
        <f t="shared" si="128"/>
        <v>unknown</v>
      </c>
      <c r="L2063" s="6" t="str">
        <f t="shared" si="129"/>
        <v>Excelo</v>
      </c>
      <c r="M2063" s="6" t="str">
        <f t="shared" si="130"/>
        <v>Mary Trini - -</v>
      </c>
      <c r="N2063" s="6" t="str">
        <f t="shared" si="131"/>
        <v>France, Morocco</v>
      </c>
    </row>
    <row r="2064" spans="1:14" x14ac:dyDescent="0.25">
      <c r="A2064" s="6" t="s">
        <v>4961</v>
      </c>
      <c r="B2064" s="6">
        <v>13119</v>
      </c>
      <c r="C2064" s="6" t="s">
        <v>67</v>
      </c>
      <c r="D2064" s="7" t="s">
        <v>248</v>
      </c>
      <c r="E2064" s="6"/>
      <c r="F2064" s="6" t="s">
        <v>177</v>
      </c>
      <c r="G2064" s="8">
        <v>45790</v>
      </c>
      <c r="H2064" s="6">
        <v>13.16</v>
      </c>
      <c r="I2064" s="6" cm="1">
        <f t="array" ref="I2064">IFERROR(VALUE(TRIM(LEFT(E2064,MIN(FIND({" ";"g";"k";"m";"o"},E2064&amp;" gkmo"))-1))),0)</f>
        <v>0</v>
      </c>
      <c r="J2064" s="6" t="str" cm="1">
        <f t="array" ref="J2064">IFERROR(TRIM(MID(E2064,MIN(FIND({" ";"g";"k";"m";"o"},E2064&amp;" gkmo")),10)),"unknown")</f>
        <v/>
      </c>
      <c r="K2064" s="6" t="str">
        <f t="shared" si="128"/>
        <v>unknown</v>
      </c>
      <c r="L2064" s="6" t="str">
        <f t="shared" si="129"/>
        <v>Tesco</v>
      </c>
      <c r="M2064" s="6" t="str">
        <f t="shared" si="130"/>
        <v>Dark Chocolate</v>
      </c>
      <c r="N2064" s="6" t="str">
        <f t="shared" si="131"/>
        <v>United Kingdom</v>
      </c>
    </row>
    <row r="2065" spans="1:14" x14ac:dyDescent="0.25">
      <c r="A2065" s="6" t="s">
        <v>4962</v>
      </c>
      <c r="B2065" s="6">
        <v>13391</v>
      </c>
      <c r="C2065" s="6" t="s">
        <v>4963</v>
      </c>
      <c r="D2065" s="7" t="s">
        <v>3849</v>
      </c>
      <c r="E2065" s="6" t="s">
        <v>352</v>
      </c>
      <c r="F2065" s="6" t="s">
        <v>7926</v>
      </c>
      <c r="G2065" s="8">
        <v>45664</v>
      </c>
      <c r="H2065" s="6">
        <v>13.16</v>
      </c>
      <c r="I2065" s="6" cm="1">
        <f t="array" ref="I2065">IFERROR(VALUE(TRIM(LEFT(E2065,MIN(FIND({" ";"g";"k";"m";"o"},E2065&amp;" gkmo"))-1))),0)</f>
        <v>170</v>
      </c>
      <c r="J2065" s="6" t="str" cm="1">
        <f t="array" ref="J2065">IFERROR(TRIM(MID(E2065,MIN(FIND({" ";"g";"k";"m";"o"},E2065&amp;" gkmo")),10)),"unknown")</f>
        <v>g</v>
      </c>
      <c r="K2065" s="6" t="str">
        <f t="shared" si="128"/>
        <v>g</v>
      </c>
      <c r="L2065" s="6" t="str">
        <f t="shared" si="129"/>
        <v>Butterkist</v>
      </c>
      <c r="M2065" s="6" t="str">
        <f t="shared" si="130"/>
        <v>Crunchy Toffee Popcorn</v>
      </c>
      <c r="N2065" s="6" t="str">
        <f t="shared" si="131"/>
        <v>France, United-Kingdom</v>
      </c>
    </row>
    <row r="2066" spans="1:14" x14ac:dyDescent="0.25">
      <c r="A2066" s="6" t="s">
        <v>4964</v>
      </c>
      <c r="B2066" s="6">
        <v>10888</v>
      </c>
      <c r="C2066" s="6" t="s">
        <v>7328</v>
      </c>
      <c r="D2066" s="7" t="s">
        <v>7017</v>
      </c>
      <c r="E2066" s="6" t="s">
        <v>4965</v>
      </c>
      <c r="F2066" s="6" t="s">
        <v>139</v>
      </c>
      <c r="G2066" s="8">
        <v>45416</v>
      </c>
      <c r="H2066" s="6">
        <v>22.58</v>
      </c>
      <c r="I2066" s="6" cm="1">
        <f t="array" ref="I2066">IFERROR(VALUE(TRIM(LEFT(E2066,MIN(FIND({" ";"g";"k";"m";"o"},E2066&amp;" gkmo"))-1))),0)</f>
        <v>450</v>
      </c>
      <c r="J2066" s="6" t="str" cm="1">
        <f t="array" ref="J2066">IFERROR(TRIM(MID(E2066,MIN(FIND({" ";"g";"k";"m";"o"},E2066&amp;" gkmo")),10)),"unknown")</f>
        <v>g</v>
      </c>
      <c r="K2066" s="6" t="str">
        <f t="shared" si="128"/>
        <v>g</v>
      </c>
      <c r="L2066" s="6" t="str">
        <f t="shared" si="129"/>
        <v>Unknown</v>
      </c>
      <c r="M2066" s="6" t="str">
        <f t="shared" si="130"/>
        <v>Brioche Tressée Aux Perles De Sucre</v>
      </c>
      <c r="N2066" s="6" t="str">
        <f t="shared" si="131"/>
        <v>France</v>
      </c>
    </row>
    <row r="2067" spans="1:14" x14ac:dyDescent="0.25">
      <c r="A2067" s="6" t="s">
        <v>4966</v>
      </c>
      <c r="B2067" s="6">
        <v>6229</v>
      </c>
      <c r="C2067" s="6" t="s">
        <v>4967</v>
      </c>
      <c r="D2067" s="7" t="s">
        <v>4968</v>
      </c>
      <c r="E2067" s="6" t="s">
        <v>4969</v>
      </c>
      <c r="F2067" s="6" t="s">
        <v>4970</v>
      </c>
      <c r="G2067" s="8">
        <v>45994</v>
      </c>
      <c r="H2067" s="6">
        <v>6.72</v>
      </c>
      <c r="I2067" s="6" cm="1">
        <f t="array" ref="I2067">IFERROR(VALUE(TRIM(LEFT(E2067,MIN(FIND({" ";"g";"k";"m";"o"},E2067&amp;" gkmo"))-1))),0)</f>
        <v>50</v>
      </c>
      <c r="J2067" s="6" t="str" cm="1">
        <f t="array" ref="J2067">IFERROR(TRIM(MID(E2067,MIN(FIND({" ";"g";"k";"m";"o"},E2067&amp;" gkmo")),10)),"unknown")</f>
        <v>gm</v>
      </c>
      <c r="K2067" s="6" t="str">
        <f t="shared" si="128"/>
        <v>g</v>
      </c>
      <c r="L2067" s="6" t="str">
        <f t="shared" si="129"/>
        <v>Be Kind Protein</v>
      </c>
      <c r="M2067" s="6" t="str">
        <f t="shared" si="130"/>
        <v>Dark Chocolate Nut</v>
      </c>
      <c r="N2067" s="6" t="str">
        <f t="shared" si="131"/>
        <v>Finland,France,Spain,Switzerland</v>
      </c>
    </row>
    <row r="2068" spans="1:14" x14ac:dyDescent="0.25">
      <c r="A2068" s="6" t="s">
        <v>4971</v>
      </c>
      <c r="B2068" s="6">
        <v>14488</v>
      </c>
      <c r="C2068" s="6" t="s">
        <v>4972</v>
      </c>
      <c r="D2068" s="7" t="s">
        <v>7800</v>
      </c>
      <c r="E2068" s="6" t="s">
        <v>14</v>
      </c>
      <c r="F2068" s="6" t="s">
        <v>4973</v>
      </c>
      <c r="G2068" s="8">
        <v>45537</v>
      </c>
      <c r="H2068" s="6">
        <v>8.94</v>
      </c>
      <c r="I2068" s="6" cm="1">
        <f t="array" ref="I2068">IFERROR(VALUE(TRIM(LEFT(E2068,MIN(FIND({" ";"g";"k";"m";"o"},E2068&amp;" gkmo"))-1))),0)</f>
        <v>300</v>
      </c>
      <c r="J2068" s="6" t="str" cm="1">
        <f t="array" ref="J2068">IFERROR(TRIM(MID(E2068,MIN(FIND({" ";"g";"k";"m";"o"},E2068&amp;" gkmo")),10)),"unknown")</f>
        <v>g</v>
      </c>
      <c r="K2068" s="6" t="str">
        <f t="shared" si="128"/>
        <v>g</v>
      </c>
      <c r="L2068" s="6" t="str">
        <f t="shared" si="129"/>
        <v>Pà¥Gen</v>
      </c>
      <c r="M2068" s="6" t="str">
        <f t="shared" si="130"/>
        <v>Kanel Gifflar</v>
      </c>
      <c r="N2068" s="6" t="str">
        <f t="shared" si="131"/>
        <v>Denmark,Norway,Sweden,Finland</v>
      </c>
    </row>
    <row r="2069" spans="1:14" x14ac:dyDescent="0.25">
      <c r="A2069" s="6" t="s">
        <v>4974</v>
      </c>
      <c r="B2069" s="6">
        <v>7222</v>
      </c>
      <c r="C2069" s="6" t="s">
        <v>4975</v>
      </c>
      <c r="D2069" s="7" t="s">
        <v>4976</v>
      </c>
      <c r="E2069" s="6"/>
      <c r="F2069" s="6" t="s">
        <v>48</v>
      </c>
      <c r="G2069" s="8">
        <v>45888</v>
      </c>
      <c r="H2069" s="6">
        <v>23.41</v>
      </c>
      <c r="I2069" s="6" cm="1">
        <f t="array" ref="I2069">IFERROR(VALUE(TRIM(LEFT(E2069,MIN(FIND({" ";"g";"k";"m";"o"},E2069&amp;" gkmo"))-1))),0)</f>
        <v>0</v>
      </c>
      <c r="J2069" s="6" t="str" cm="1">
        <f t="array" ref="J2069">IFERROR(TRIM(MID(E2069,MIN(FIND({" ";"g";"k";"m";"o"},E2069&amp;" gkmo")),10)),"unknown")</f>
        <v/>
      </c>
      <c r="K2069" s="6" t="str">
        <f t="shared" si="128"/>
        <v>unknown</v>
      </c>
      <c r="L2069" s="6" t="str">
        <f t="shared" si="129"/>
        <v>Toren</v>
      </c>
      <c r="M2069" s="6" t="str">
        <f t="shared" si="130"/>
        <v>Cococoa</v>
      </c>
      <c r="N2069" s="6" t="str">
        <f t="shared" si="131"/>
        <v>Morocco</v>
      </c>
    </row>
    <row r="2070" spans="1:14" x14ac:dyDescent="0.25">
      <c r="A2070" s="6" t="s">
        <v>4977</v>
      </c>
      <c r="B2070" s="6">
        <v>14217</v>
      </c>
      <c r="C2070" s="6" t="s">
        <v>4978</v>
      </c>
      <c r="D2070" s="7" t="s">
        <v>4979</v>
      </c>
      <c r="E2070" s="6" t="s">
        <v>44</v>
      </c>
      <c r="F2070" s="6" t="s">
        <v>139</v>
      </c>
      <c r="G2070" s="8">
        <v>45486</v>
      </c>
      <c r="H2070" s="6">
        <v>3.29</v>
      </c>
      <c r="I2070" s="6" cm="1">
        <f t="array" ref="I2070">IFERROR(VALUE(TRIM(LEFT(E2070,MIN(FIND({" ";"g";"k";"m";"o"},E2070&amp;" gkmo"))-1))),0)</f>
        <v>90</v>
      </c>
      <c r="J2070" s="6" t="str" cm="1">
        <f t="array" ref="J2070">IFERROR(TRIM(MID(E2070,MIN(FIND({" ";"g";"k";"m";"o"},E2070&amp;" gkmo")),10)),"unknown")</f>
        <v>g</v>
      </c>
      <c r="K2070" s="6" t="str">
        <f t="shared" si="128"/>
        <v>g</v>
      </c>
      <c r="L2070" s="6" t="str">
        <f t="shared" si="129"/>
        <v>Michel Et Augustin</v>
      </c>
      <c r="M2070" s="6" t="str">
        <f t="shared" si="130"/>
        <v>Biscuits Charcuterie Chorizo</v>
      </c>
      <c r="N2070" s="6" t="str">
        <f t="shared" si="131"/>
        <v>France</v>
      </c>
    </row>
    <row r="2071" spans="1:14" x14ac:dyDescent="0.25">
      <c r="A2071" s="6" t="s">
        <v>4980</v>
      </c>
      <c r="B2071" s="6">
        <v>7792</v>
      </c>
      <c r="C2071" s="6" t="s">
        <v>4981</v>
      </c>
      <c r="D2071" s="7" t="s">
        <v>4982</v>
      </c>
      <c r="E2071" s="6" t="s">
        <v>4473</v>
      </c>
      <c r="F2071" s="6" t="s">
        <v>7954</v>
      </c>
      <c r="G2071" s="8">
        <v>45441</v>
      </c>
      <c r="H2071" s="6">
        <v>18.170000000000002</v>
      </c>
      <c r="I2071" s="6" cm="1">
        <f t="array" ref="I2071">IFERROR(VALUE(TRIM(LEFT(E2071,MIN(FIND({" ";"g";"k";"m";"o"},E2071&amp;" gkmo"))-1))),0)</f>
        <v>3</v>
      </c>
      <c r="J2071" s="6" t="str" cm="1">
        <f t="array" ref="J2071">IFERROR(TRIM(MID(E2071,MIN(FIND({" ";"g";"k";"m";"o"},E2071&amp;" gkmo")),10)),"unknown")</f>
        <v>x 30 g</v>
      </c>
      <c r="K2071" s="6" t="str">
        <f t="shared" si="128"/>
        <v>g</v>
      </c>
      <c r="L2071" s="6" t="str">
        <f t="shared" si="129"/>
        <v>2 Keep Natural Bites</v>
      </c>
      <c r="M2071" s="6" t="str">
        <f t="shared" si="130"/>
        <v>Nut Bar Cashew Pumpkin Raisin</v>
      </c>
      <c r="N2071" s="6" t="str">
        <f t="shared" si="131"/>
        <v>France, Belgium</v>
      </c>
    </row>
    <row r="2072" spans="1:14" x14ac:dyDescent="0.25">
      <c r="A2072" s="6" t="s">
        <v>4983</v>
      </c>
      <c r="B2072" s="6">
        <v>13440</v>
      </c>
      <c r="C2072" s="6" t="s">
        <v>4984</v>
      </c>
      <c r="D2072" s="7" t="s">
        <v>7017</v>
      </c>
      <c r="E2072" s="6" t="s">
        <v>335</v>
      </c>
      <c r="F2072" s="6" t="s">
        <v>177</v>
      </c>
      <c r="G2072" s="8">
        <v>45564</v>
      </c>
      <c r="H2072" s="6">
        <v>17.38</v>
      </c>
      <c r="I2072" s="6" cm="1">
        <f t="array" ref="I2072">IFERROR(VALUE(TRIM(LEFT(E2072,MIN(FIND({" ";"g";"k";"m";"o"},E2072&amp;" gkmo"))-1))),0)</f>
        <v>250</v>
      </c>
      <c r="J2072" s="6" t="str" cm="1">
        <f t="array" ref="J2072">IFERROR(TRIM(MID(E2072,MIN(FIND({" ";"g";"k";"m";"o"},E2072&amp;" gkmo")),10)),"unknown")</f>
        <v>g</v>
      </c>
      <c r="K2072" s="6" t="str">
        <f t="shared" si="128"/>
        <v>g</v>
      </c>
      <c r="L2072" s="6" t="str">
        <f t="shared" si="129"/>
        <v>Unknown</v>
      </c>
      <c r="M2072" s="6" t="str">
        <f t="shared" si="130"/>
        <v>Caramelised Biscuits</v>
      </c>
      <c r="N2072" s="6" t="str">
        <f t="shared" si="131"/>
        <v>United Kingdom</v>
      </c>
    </row>
    <row r="2073" spans="1:14" x14ac:dyDescent="0.25">
      <c r="A2073" s="6" t="s">
        <v>4985</v>
      </c>
      <c r="B2073" s="6">
        <v>6125</v>
      </c>
      <c r="C2073" s="6" t="s">
        <v>4986</v>
      </c>
      <c r="D2073" s="7" t="s">
        <v>3272</v>
      </c>
      <c r="E2073" s="6" t="s">
        <v>14</v>
      </c>
      <c r="F2073" s="6" t="s">
        <v>113</v>
      </c>
      <c r="G2073" s="8">
        <v>45888</v>
      </c>
      <c r="H2073" s="6">
        <v>15.75</v>
      </c>
      <c r="I2073" s="6" cm="1">
        <f t="array" ref="I2073">IFERROR(VALUE(TRIM(LEFT(E2073,MIN(FIND({" ";"g";"k";"m";"o"},E2073&amp;" gkmo"))-1))),0)</f>
        <v>300</v>
      </c>
      <c r="J2073" s="6" t="str" cm="1">
        <f t="array" ref="J2073">IFERROR(TRIM(MID(E2073,MIN(FIND({" ";"g";"k";"m";"o"},E2073&amp;" gkmo")),10)),"unknown")</f>
        <v>g</v>
      </c>
      <c r="K2073" s="6" t="str">
        <f t="shared" si="128"/>
        <v>g</v>
      </c>
      <c r="L2073" s="6" t="str">
        <f t="shared" si="129"/>
        <v>Mulino Bianco</v>
      </c>
      <c r="M2073" s="6" t="str">
        <f t="shared" si="130"/>
        <v>Cuor Di Mela Mulino Bianco</v>
      </c>
      <c r="N2073" s="6" t="str">
        <f t="shared" si="131"/>
        <v>Italia</v>
      </c>
    </row>
    <row r="2074" spans="1:14" x14ac:dyDescent="0.25">
      <c r="A2074" s="6" t="s">
        <v>4987</v>
      </c>
      <c r="B2074" s="6">
        <v>8703</v>
      </c>
      <c r="C2074" s="6" t="s">
        <v>128</v>
      </c>
      <c r="D2074" s="7" t="s">
        <v>7034</v>
      </c>
      <c r="E2074" s="6" t="s">
        <v>1309</v>
      </c>
      <c r="F2074" s="6" t="s">
        <v>48</v>
      </c>
      <c r="G2074" s="8">
        <v>45990</v>
      </c>
      <c r="H2074" s="6">
        <v>1.82</v>
      </c>
      <c r="I2074" s="6" cm="1">
        <f t="array" ref="I2074">IFERROR(VALUE(TRIM(LEFT(E2074,MIN(FIND({" ";"g";"k";"m";"o"},E2074&amp;" gkmo"))-1))),0)</f>
        <v>300</v>
      </c>
      <c r="J2074" s="6" t="str" cm="1">
        <f t="array" ref="J2074">IFERROR(TRIM(MID(E2074,MIN(FIND({" ";"g";"k";"m";"o"},E2074&amp;" gkmo")),10)),"unknown")</f>
        <v>g</v>
      </c>
      <c r="K2074" s="6" t="str">
        <f t="shared" si="128"/>
        <v>g</v>
      </c>
      <c r="L2074" s="6" t="str">
        <f t="shared" si="129"/>
        <v>Bé</v>
      </c>
      <c r="M2074" s="6" t="str">
        <f t="shared" si="130"/>
        <v>Petit Beurre</v>
      </c>
      <c r="N2074" s="6" t="str">
        <f t="shared" si="131"/>
        <v>Morocco</v>
      </c>
    </row>
    <row r="2075" spans="1:14" x14ac:dyDescent="0.25">
      <c r="A2075" s="6" t="s">
        <v>4988</v>
      </c>
      <c r="B2075" s="6">
        <v>8820</v>
      </c>
      <c r="C2075" s="6" t="s">
        <v>7801</v>
      </c>
      <c r="D2075" s="7" t="s">
        <v>2199</v>
      </c>
      <c r="E2075" s="6" t="s">
        <v>197</v>
      </c>
      <c r="F2075" s="6" t="s">
        <v>139</v>
      </c>
      <c r="G2075" s="8">
        <v>45549</v>
      </c>
      <c r="H2075" s="6">
        <v>21.03</v>
      </c>
      <c r="I2075" s="6" cm="1">
        <f t="array" ref="I2075">IFERROR(VALUE(TRIM(LEFT(E2075,MIN(FIND({" ";"g";"k";"m";"o"},E2075&amp;" gkmo"))-1))),0)</f>
        <v>130</v>
      </c>
      <c r="J2075" s="6" t="str" cm="1">
        <f t="array" ref="J2075">IFERROR(TRIM(MID(E2075,MIN(FIND({" ";"g";"k";"m";"o"},E2075&amp;" gkmo")),10)),"unknown")</f>
        <v>g</v>
      </c>
      <c r="K2075" s="6" t="str">
        <f t="shared" si="128"/>
        <v>g</v>
      </c>
      <c r="L2075" s="6" t="str">
        <f t="shared" si="129"/>
        <v>U, U Bio</v>
      </c>
      <c r="M2075" s="6" t="str">
        <f t="shared" si="130"/>
        <v>Biscuits À  L'Avoine Complète Et Aux Pépites Chocolat Bio 130G</v>
      </c>
      <c r="N2075" s="6" t="str">
        <f t="shared" si="131"/>
        <v>France</v>
      </c>
    </row>
    <row r="2076" spans="1:14" x14ac:dyDescent="0.25">
      <c r="A2076" s="6" t="s">
        <v>4989</v>
      </c>
      <c r="B2076" s="6">
        <v>6561</v>
      </c>
      <c r="C2076" s="6" t="s">
        <v>7329</v>
      </c>
      <c r="D2076" s="7" t="s">
        <v>1703</v>
      </c>
      <c r="E2076" s="6" t="s">
        <v>4990</v>
      </c>
      <c r="F2076" s="6" t="s">
        <v>139</v>
      </c>
      <c r="G2076" s="8">
        <v>45617</v>
      </c>
      <c r="H2076" s="6">
        <v>10.56</v>
      </c>
      <c r="I2076" s="6" cm="1">
        <f t="array" ref="I2076">IFERROR(VALUE(TRIM(LEFT(E2076,MIN(FIND({" ";"g";"k";"m";"o"},E2076&amp;" gkmo"))-1))),0)</f>
        <v>52.5</v>
      </c>
      <c r="J2076" s="6" t="str" cm="1">
        <f t="array" ref="J2076">IFERROR(TRIM(MID(E2076,MIN(FIND({" ";"g";"k";"m";"o"},E2076&amp;" gkmo")),10)),"unknown")</f>
        <v>g</v>
      </c>
      <c r="K2076" s="6" t="str">
        <f t="shared" si="128"/>
        <v>g</v>
      </c>
      <c r="L2076" s="6" t="str">
        <f t="shared" si="129"/>
        <v>Ricola</v>
      </c>
      <c r="M2076" s="6" t="str">
        <f t="shared" si="130"/>
        <v>Citron Mélisse</v>
      </c>
      <c r="N2076" s="6" t="str">
        <f t="shared" si="131"/>
        <v>France</v>
      </c>
    </row>
    <row r="2077" spans="1:14" x14ac:dyDescent="0.25">
      <c r="A2077" s="6" t="s">
        <v>4991</v>
      </c>
      <c r="B2077" s="6">
        <v>12291</v>
      </c>
      <c r="C2077" s="6" t="s">
        <v>4992</v>
      </c>
      <c r="D2077" s="7" t="s">
        <v>1105</v>
      </c>
      <c r="E2077" s="6" t="s">
        <v>621</v>
      </c>
      <c r="F2077" s="6" t="s">
        <v>5759</v>
      </c>
      <c r="G2077" s="8">
        <v>45585</v>
      </c>
      <c r="H2077" s="6">
        <v>22.11</v>
      </c>
      <c r="I2077" s="6" cm="1">
        <f t="array" ref="I2077">IFERROR(VALUE(TRIM(LEFT(E2077,MIN(FIND({" ";"g";"k";"m";"o"},E2077&amp;" gkmo"))-1))),0)</f>
        <v>160</v>
      </c>
      <c r="J2077" s="6" t="str" cm="1">
        <f t="array" ref="J2077">IFERROR(TRIM(MID(E2077,MIN(FIND({" ";"g";"k";"m";"o"},E2077&amp;" gkmo")),10)),"unknown")</f>
        <v>g</v>
      </c>
      <c r="K2077" s="6" t="str">
        <f t="shared" si="128"/>
        <v>g</v>
      </c>
      <c r="L2077" s="6" t="str">
        <f t="shared" si="129"/>
        <v>Vico</v>
      </c>
      <c r="M2077" s="6" t="str">
        <f t="shared" si="130"/>
        <v>Curly Donut</v>
      </c>
      <c r="N2077" s="6" t="str">
        <f t="shared" si="131"/>
        <v>Fr</v>
      </c>
    </row>
    <row r="2078" spans="1:14" x14ac:dyDescent="0.25">
      <c r="A2078" s="6" t="s">
        <v>4993</v>
      </c>
      <c r="B2078" s="6">
        <v>9048</v>
      </c>
      <c r="C2078" s="6" t="s">
        <v>4994</v>
      </c>
      <c r="D2078" s="7" t="s">
        <v>559</v>
      </c>
      <c r="E2078" s="6" t="s">
        <v>4995</v>
      </c>
      <c r="F2078" s="6" t="s">
        <v>8226</v>
      </c>
      <c r="G2078" s="8">
        <v>45654</v>
      </c>
      <c r="H2078" s="6">
        <v>5.93</v>
      </c>
      <c r="I2078" s="6" cm="1">
        <f t="array" ref="I2078">IFERROR(VALUE(TRIM(LEFT(E2078,MIN(FIND({" ";"g";"k";"m";"o"},E2078&amp;" gkmo"))-1))),0)</f>
        <v>207</v>
      </c>
      <c r="J2078" s="6" t="str" cm="1">
        <f t="array" ref="J2078">IFERROR(TRIM(MID(E2078,MIN(FIND({" ";"g";"k";"m";"o"},E2078&amp;" gkmo")),10)),"unknown")</f>
        <v>g</v>
      </c>
      <c r="K2078" s="6" t="str">
        <f t="shared" si="128"/>
        <v>g</v>
      </c>
      <c r="L2078" s="6" t="str">
        <f t="shared" si="129"/>
        <v>Nutella</v>
      </c>
      <c r="M2078" s="6" t="str">
        <f t="shared" si="130"/>
        <v>Nutella Biscuitsðÿª</v>
      </c>
      <c r="N2078" s="6" t="str">
        <f t="shared" si="131"/>
        <v>France,Italia</v>
      </c>
    </row>
    <row r="2079" spans="1:14" x14ac:dyDescent="0.25">
      <c r="A2079" s="6" t="s">
        <v>4996</v>
      </c>
      <c r="B2079" s="6">
        <v>8038</v>
      </c>
      <c r="C2079" s="6" t="s">
        <v>7802</v>
      </c>
      <c r="D2079" s="7" t="s">
        <v>4997</v>
      </c>
      <c r="E2079" s="6" t="s">
        <v>28</v>
      </c>
      <c r="F2079" s="6" t="s">
        <v>1986</v>
      </c>
      <c r="G2079" s="8">
        <v>45475</v>
      </c>
      <c r="H2079" s="6">
        <v>8.56</v>
      </c>
      <c r="I2079" s="6" cm="1">
        <f t="array" ref="I2079">IFERROR(VALUE(TRIM(LEFT(E2079,MIN(FIND({" ";"g";"k";"m";"o"},E2079&amp;" gkmo"))-1))),0)</f>
        <v>125</v>
      </c>
      <c r="J2079" s="6" t="str" cm="1">
        <f t="array" ref="J2079">IFERROR(TRIM(MID(E2079,MIN(FIND({" ";"g";"k";"m";"o"},E2079&amp;" gkmo")),10)),"unknown")</f>
        <v>g</v>
      </c>
      <c r="K2079" s="6" t="str">
        <f t="shared" si="128"/>
        <v>g</v>
      </c>
      <c r="L2079" s="6" t="str">
        <f t="shared" si="129"/>
        <v>Aldi,Aldi Moser Roth,Moser Roth</v>
      </c>
      <c r="M2079" s="6" t="str">
        <f t="shared" si="130"/>
        <v>Sà¼Àÿes, Schokolade Edelbitter 90%</v>
      </c>
      <c r="N2079" s="6" t="str">
        <f t="shared" si="131"/>
        <v>Deutschland</v>
      </c>
    </row>
    <row r="2080" spans="1:14" x14ac:dyDescent="0.25">
      <c r="A2080" s="6" t="s">
        <v>4998</v>
      </c>
      <c r="B2080" s="6">
        <v>6089</v>
      </c>
      <c r="C2080" s="6" t="s">
        <v>7330</v>
      </c>
      <c r="D2080" s="7" t="s">
        <v>1742</v>
      </c>
      <c r="E2080" s="6"/>
      <c r="F2080" s="6" t="s">
        <v>5759</v>
      </c>
      <c r="G2080" s="8">
        <v>45389</v>
      </c>
      <c r="H2080" s="6">
        <v>21.92</v>
      </c>
      <c r="I2080" s="6" cm="1">
        <f t="array" ref="I2080">IFERROR(VALUE(TRIM(LEFT(E2080,MIN(FIND({" ";"g";"k";"m";"o"},E2080&amp;" gkmo"))-1))),0)</f>
        <v>0</v>
      </c>
      <c r="J2080" s="6" t="str" cm="1">
        <f t="array" ref="J2080">IFERROR(TRIM(MID(E2080,MIN(FIND({" ";"g";"k";"m";"o"},E2080&amp;" gkmo")),10)),"unknown")</f>
        <v/>
      </c>
      <c r="K2080" s="6" t="str">
        <f t="shared" si="128"/>
        <v>unknown</v>
      </c>
      <c r="L2080" s="6" t="str">
        <f t="shared" si="129"/>
        <v>Crownfield</v>
      </c>
      <c r="M2080" s="6" t="str">
        <f t="shared" si="130"/>
        <v>Barre De Céréales Pomme Verte</v>
      </c>
      <c r="N2080" s="6" t="str">
        <f t="shared" si="131"/>
        <v>Fr</v>
      </c>
    </row>
    <row r="2081" spans="1:14" x14ac:dyDescent="0.25">
      <c r="A2081" s="6" t="s">
        <v>4999</v>
      </c>
      <c r="B2081" s="6">
        <v>5245</v>
      </c>
      <c r="C2081" s="6" t="s">
        <v>5000</v>
      </c>
      <c r="D2081" s="7" t="s">
        <v>5001</v>
      </c>
      <c r="E2081" s="6" t="s">
        <v>5002</v>
      </c>
      <c r="F2081" s="6" t="s">
        <v>8125</v>
      </c>
      <c r="G2081" s="8">
        <v>45874</v>
      </c>
      <c r="H2081" s="6">
        <v>1.41</v>
      </c>
      <c r="I2081" s="6" cm="1">
        <f t="array" ref="I2081">IFERROR(VALUE(TRIM(LEFT(E2081,MIN(FIND({" ";"g";"k";"m";"o"},E2081&amp;" gkmo"))-1))),0)</f>
        <v>68</v>
      </c>
      <c r="J2081" s="6" t="str" cm="1">
        <f t="array" ref="J2081">IFERROR(TRIM(MID(E2081,MIN(FIND({" ";"g";"k";"m";"o"},E2081&amp;" gkmo")),10)),"unknown")</f>
        <v>g</v>
      </c>
      <c r="K2081" s="6" t="str">
        <f t="shared" si="128"/>
        <v>g</v>
      </c>
      <c r="L2081" s="6" t="str">
        <f t="shared" si="129"/>
        <v>Clif Bar</v>
      </c>
      <c r="M2081" s="6" t="str">
        <f t="shared" si="130"/>
        <v>Crunchy Peanut Butter</v>
      </c>
      <c r="N2081" s="6" t="str">
        <f t="shared" si="131"/>
        <v>France, Switzerland, United Kingdom, Austria</v>
      </c>
    </row>
    <row r="2082" spans="1:14" x14ac:dyDescent="0.25">
      <c r="A2082" s="6" t="s">
        <v>5003</v>
      </c>
      <c r="B2082" s="6">
        <v>10046</v>
      </c>
      <c r="C2082" s="6" t="s">
        <v>5004</v>
      </c>
      <c r="D2082" s="7" t="s">
        <v>5005</v>
      </c>
      <c r="E2082" s="6"/>
      <c r="F2082" s="6" t="s">
        <v>8126</v>
      </c>
      <c r="G2082" s="8">
        <v>45893</v>
      </c>
      <c r="H2082" s="6">
        <v>9.59</v>
      </c>
      <c r="I2082" s="6" cm="1">
        <f t="array" ref="I2082">IFERROR(VALUE(TRIM(LEFT(E2082,MIN(FIND({" ";"g";"k";"m";"o"},E2082&amp;" gkmo"))-1))),0)</f>
        <v>0</v>
      </c>
      <c r="J2082" s="6" t="str" cm="1">
        <f t="array" ref="J2082">IFERROR(TRIM(MID(E2082,MIN(FIND({" ";"g";"k";"m";"o"},E2082&amp;" gkmo")),10)),"unknown")</f>
        <v/>
      </c>
      <c r="K2082" s="6" t="str">
        <f t="shared" si="128"/>
        <v>unknown</v>
      </c>
      <c r="L2082" s="6" t="str">
        <f t="shared" si="129"/>
        <v>Lifestyle</v>
      </c>
      <c r="M2082" s="6" t="str">
        <f t="shared" si="130"/>
        <v>Rice Bar Dark Chocolate</v>
      </c>
      <c r="N2082" s="6" t="str">
        <f t="shared" si="131"/>
        <v>Belgium, France</v>
      </c>
    </row>
    <row r="2083" spans="1:14" x14ac:dyDescent="0.25">
      <c r="A2083" s="6" t="s">
        <v>5006</v>
      </c>
      <c r="B2083" s="6">
        <v>6320</v>
      </c>
      <c r="C2083" s="6" t="s">
        <v>5007</v>
      </c>
      <c r="D2083" s="7" t="s">
        <v>7456</v>
      </c>
      <c r="E2083" s="6" t="s">
        <v>335</v>
      </c>
      <c r="F2083" s="6" t="s">
        <v>139</v>
      </c>
      <c r="G2083" s="8">
        <v>45419</v>
      </c>
      <c r="H2083" s="6">
        <v>2.56</v>
      </c>
      <c r="I2083" s="6" cm="1">
        <f t="array" ref="I2083">IFERROR(VALUE(TRIM(LEFT(E2083,MIN(FIND({" ";"g";"k";"m";"o"},E2083&amp;" gkmo"))-1))),0)</f>
        <v>250</v>
      </c>
      <c r="J2083" s="6" t="str" cm="1">
        <f t="array" ref="J2083">IFERROR(TRIM(MID(E2083,MIN(FIND({" ";"g";"k";"m";"o"},E2083&amp;" gkmo")),10)),"unknown")</f>
        <v>g</v>
      </c>
      <c r="K2083" s="6" t="str">
        <f t="shared" si="128"/>
        <v>g</v>
      </c>
      <c r="L2083" s="6" t="str">
        <f t="shared" si="129"/>
        <v>La Boulangère</v>
      </c>
      <c r="M2083" s="6" t="str">
        <f t="shared" si="130"/>
        <v>Brioche Muffin Bio X 5 250G Blg</v>
      </c>
      <c r="N2083" s="6" t="str">
        <f t="shared" si="131"/>
        <v>France</v>
      </c>
    </row>
    <row r="2084" spans="1:14" x14ac:dyDescent="0.25">
      <c r="A2084" s="6" t="s">
        <v>5008</v>
      </c>
      <c r="B2084" s="6">
        <v>5217</v>
      </c>
      <c r="C2084" s="6" t="s">
        <v>5009</v>
      </c>
      <c r="D2084" s="7" t="s">
        <v>1936</v>
      </c>
      <c r="E2084" s="6"/>
      <c r="F2084" s="6" t="s">
        <v>177</v>
      </c>
      <c r="G2084" s="8">
        <v>45926</v>
      </c>
      <c r="H2084" s="6">
        <v>3.8</v>
      </c>
      <c r="I2084" s="6" cm="1">
        <f t="array" ref="I2084">IFERROR(VALUE(TRIM(LEFT(E2084,MIN(FIND({" ";"g";"k";"m";"o"},E2084&amp;" gkmo"))-1))),0)</f>
        <v>0</v>
      </c>
      <c r="J2084" s="6" t="str" cm="1">
        <f t="array" ref="J2084">IFERROR(TRIM(MID(E2084,MIN(FIND({" ";"g";"k";"m";"o"},E2084&amp;" gkmo")),10)),"unknown")</f>
        <v/>
      </c>
      <c r="K2084" s="6" t="str">
        <f t="shared" si="128"/>
        <v>unknown</v>
      </c>
      <c r="L2084" s="6" t="str">
        <f t="shared" si="129"/>
        <v>Belvita</v>
      </c>
      <c r="M2084" s="6" t="str">
        <f t="shared" si="130"/>
        <v>Soft Bakes Red Berries</v>
      </c>
      <c r="N2084" s="6" t="str">
        <f t="shared" si="131"/>
        <v>United Kingdom</v>
      </c>
    </row>
    <row r="2085" spans="1:14" x14ac:dyDescent="0.25">
      <c r="A2085" s="6" t="s">
        <v>5010</v>
      </c>
      <c r="B2085" s="6">
        <v>5090</v>
      </c>
      <c r="C2085" s="6" t="s">
        <v>5011</v>
      </c>
      <c r="D2085" s="7" t="s">
        <v>5012</v>
      </c>
      <c r="E2085" s="6" t="s">
        <v>18</v>
      </c>
      <c r="F2085" s="6" t="s">
        <v>177</v>
      </c>
      <c r="G2085" s="8">
        <v>45713</v>
      </c>
      <c r="H2085" s="6">
        <v>13.16</v>
      </c>
      <c r="I2085" s="6" cm="1">
        <f t="array" ref="I2085">IFERROR(VALUE(TRIM(LEFT(E2085,MIN(FIND({" ";"g";"k";"m";"o"},E2085&amp;" gkmo"))-1))),0)</f>
        <v>100</v>
      </c>
      <c r="J2085" s="6" t="str" cm="1">
        <f t="array" ref="J2085">IFERROR(TRIM(MID(E2085,MIN(FIND({" ";"g";"k";"m";"o"},E2085&amp;" gkmo")),10)),"unknown")</f>
        <v>g</v>
      </c>
      <c r="K2085" s="6" t="str">
        <f t="shared" si="128"/>
        <v>g</v>
      </c>
      <c r="L2085" s="6" t="str">
        <f t="shared" si="129"/>
        <v>Galaxy</v>
      </c>
      <c r="M2085" s="6" t="str">
        <f t="shared" si="130"/>
        <v>Smooth Milk</v>
      </c>
      <c r="N2085" s="6" t="str">
        <f t="shared" si="131"/>
        <v>United Kingdom</v>
      </c>
    </row>
    <row r="2086" spans="1:14" x14ac:dyDescent="0.25">
      <c r="A2086" s="6" t="s">
        <v>5013</v>
      </c>
      <c r="B2086" s="6">
        <v>10684</v>
      </c>
      <c r="C2086" s="6" t="s">
        <v>5014</v>
      </c>
      <c r="D2086" s="7" t="s">
        <v>5015</v>
      </c>
      <c r="E2086" s="6"/>
      <c r="F2086" s="6" t="s">
        <v>177</v>
      </c>
      <c r="G2086" s="8">
        <v>46004</v>
      </c>
      <c r="H2086" s="6">
        <v>7.34</v>
      </c>
      <c r="I2086" s="6" cm="1">
        <f t="array" ref="I2086">IFERROR(VALUE(TRIM(LEFT(E2086,MIN(FIND({" ";"g";"k";"m";"o"},E2086&amp;" gkmo"))-1))),0)</f>
        <v>0</v>
      </c>
      <c r="J2086" s="6" t="str" cm="1">
        <f t="array" ref="J2086">IFERROR(TRIM(MID(E2086,MIN(FIND({" ";"g";"k";"m";"o"},E2086&amp;" gkmo")),10)),"unknown")</f>
        <v/>
      </c>
      <c r="K2086" s="6" t="str">
        <f t="shared" si="128"/>
        <v>unknown</v>
      </c>
      <c r="L2086" s="6" t="str">
        <f t="shared" si="129"/>
        <v>Bear</v>
      </c>
      <c r="M2086" s="6" t="str">
        <f t="shared" si="130"/>
        <v>Fruit Splits Raspberry &amp; Pineapple</v>
      </c>
      <c r="N2086" s="6" t="str">
        <f t="shared" si="131"/>
        <v>United Kingdom</v>
      </c>
    </row>
    <row r="2087" spans="1:14" x14ac:dyDescent="0.25">
      <c r="A2087" s="6" t="s">
        <v>5016</v>
      </c>
      <c r="B2087" s="6">
        <v>11616</v>
      </c>
      <c r="C2087" s="6" t="s">
        <v>5017</v>
      </c>
      <c r="D2087" s="7" t="s">
        <v>5018</v>
      </c>
      <c r="E2087" s="6" t="s">
        <v>4473</v>
      </c>
      <c r="F2087" s="6" t="s">
        <v>139</v>
      </c>
      <c r="G2087" s="8">
        <v>45358</v>
      </c>
      <c r="H2087" s="6">
        <v>12.27</v>
      </c>
      <c r="I2087" s="6" cm="1">
        <f t="array" ref="I2087">IFERROR(VALUE(TRIM(LEFT(E2087,MIN(FIND({" ";"g";"k";"m";"o"},E2087&amp;" gkmo"))-1))),0)</f>
        <v>3</v>
      </c>
      <c r="J2087" s="6" t="str" cm="1">
        <f t="array" ref="J2087">IFERROR(TRIM(MID(E2087,MIN(FIND({" ";"g";"k";"m";"o"},E2087&amp;" gkmo")),10)),"unknown")</f>
        <v>x 30 g</v>
      </c>
      <c r="K2087" s="6" t="str">
        <f t="shared" si="128"/>
        <v>g</v>
      </c>
      <c r="L2087" s="6" t="str">
        <f t="shared" si="129"/>
        <v>Raw Bar</v>
      </c>
      <c r="M2087" s="6" t="str">
        <f t="shared" si="130"/>
        <v>Barre Cranberry</v>
      </c>
      <c r="N2087" s="6" t="str">
        <f t="shared" si="131"/>
        <v>France</v>
      </c>
    </row>
    <row r="2088" spans="1:14" x14ac:dyDescent="0.25">
      <c r="A2088" s="6" t="s">
        <v>5019</v>
      </c>
      <c r="B2088" s="6">
        <v>14483</v>
      </c>
      <c r="C2088" s="6" t="s">
        <v>5020</v>
      </c>
      <c r="D2088" s="7" t="s">
        <v>7017</v>
      </c>
      <c r="E2088" s="6" t="s">
        <v>4473</v>
      </c>
      <c r="F2088" s="6" t="s">
        <v>8011</v>
      </c>
      <c r="G2088" s="8">
        <v>45727</v>
      </c>
      <c r="H2088" s="6">
        <v>7.31</v>
      </c>
      <c r="I2088" s="6" cm="1">
        <f t="array" ref="I2088">IFERROR(VALUE(TRIM(LEFT(E2088,MIN(FIND({" ";"g";"k";"m";"o"},E2088&amp;" gkmo"))-1))),0)</f>
        <v>3</v>
      </c>
      <c r="J2088" s="6" t="str" cm="1">
        <f t="array" ref="J2088">IFERROR(TRIM(MID(E2088,MIN(FIND({" ";"g";"k";"m";"o"},E2088&amp;" gkmo")),10)),"unknown")</f>
        <v>x 30 g</v>
      </c>
      <c r="K2088" s="6" t="str">
        <f t="shared" si="128"/>
        <v>g</v>
      </c>
      <c r="L2088" s="6" t="str">
        <f t="shared" si="129"/>
        <v>Unknown</v>
      </c>
      <c r="M2088" s="6" t="str">
        <f t="shared" si="130"/>
        <v>Raw Bar Salted Caramel Flavour</v>
      </c>
      <c r="N2088" s="6" t="str">
        <f t="shared" si="131"/>
        <v>Netherlands, France</v>
      </c>
    </row>
    <row r="2089" spans="1:14" x14ac:dyDescent="0.25">
      <c r="A2089" s="6" t="s">
        <v>5021</v>
      </c>
      <c r="B2089" s="6">
        <v>13552</v>
      </c>
      <c r="C2089" s="6" t="s">
        <v>5022</v>
      </c>
      <c r="D2089" s="7" t="s">
        <v>7017</v>
      </c>
      <c r="E2089" s="6"/>
      <c r="F2089" s="6" t="s">
        <v>7949</v>
      </c>
      <c r="G2089" s="8">
        <v>45487</v>
      </c>
      <c r="H2089" s="6">
        <v>10.52</v>
      </c>
      <c r="I2089" s="6" cm="1">
        <f t="array" ref="I2089">IFERROR(VALUE(TRIM(LEFT(E2089,MIN(FIND({" ";"g";"k";"m";"o"},E2089&amp;" gkmo"))-1))),0)</f>
        <v>0</v>
      </c>
      <c r="J2089" s="6" t="str" cm="1">
        <f t="array" ref="J2089">IFERROR(TRIM(MID(E2089,MIN(FIND({" ";"g";"k";"m";"o"},E2089&amp;" gkmo")),10)),"unknown")</f>
        <v/>
      </c>
      <c r="K2089" s="6" t="str">
        <f t="shared" si="128"/>
        <v>unknown</v>
      </c>
      <c r="L2089" s="6" t="str">
        <f t="shared" si="129"/>
        <v>Unknown</v>
      </c>
      <c r="M2089" s="6" t="str">
        <f t="shared" si="130"/>
        <v>Fluffy White</v>
      </c>
      <c r="N2089" s="6" t="str">
        <f t="shared" si="131"/>
        <v>Morocco</v>
      </c>
    </row>
    <row r="2090" spans="1:14" x14ac:dyDescent="0.25">
      <c r="A2090" s="6" t="s">
        <v>5023</v>
      </c>
      <c r="B2090" s="6">
        <v>12852</v>
      </c>
      <c r="C2090" s="6" t="s">
        <v>5024</v>
      </c>
      <c r="D2090" s="7" t="s">
        <v>1630</v>
      </c>
      <c r="E2090" s="6" t="s">
        <v>82</v>
      </c>
      <c r="F2090" s="6" t="s">
        <v>139</v>
      </c>
      <c r="G2090" s="8">
        <v>45771</v>
      </c>
      <c r="H2090" s="6">
        <v>13.16</v>
      </c>
      <c r="I2090" s="6" cm="1">
        <f t="array" ref="I2090">IFERROR(VALUE(TRIM(LEFT(E2090,MIN(FIND({" ";"g";"k";"m";"o"},E2090&amp;" gkmo"))-1))),0)</f>
        <v>230</v>
      </c>
      <c r="J2090" s="6" t="str" cm="1">
        <f t="array" ref="J2090">IFERROR(TRIM(MID(E2090,MIN(FIND({" ";"g";"k";"m";"o"},E2090&amp;" gkmo")),10)),"unknown")</f>
        <v>g</v>
      </c>
      <c r="K2090" s="6" t="str">
        <f t="shared" si="128"/>
        <v>g</v>
      </c>
      <c r="L2090" s="6" t="str">
        <f t="shared" si="129"/>
        <v>Delacre</v>
      </c>
      <c r="M2090" s="6" t="str">
        <f t="shared" si="130"/>
        <v>Cigarettes Russes</v>
      </c>
      <c r="N2090" s="6" t="str">
        <f t="shared" si="131"/>
        <v>France</v>
      </c>
    </row>
    <row r="2091" spans="1:14" x14ac:dyDescent="0.25">
      <c r="A2091" s="6" t="s">
        <v>5025</v>
      </c>
      <c r="B2091" s="6">
        <v>9066</v>
      </c>
      <c r="C2091" s="6" t="s">
        <v>5026</v>
      </c>
      <c r="D2091" s="7" t="s">
        <v>5027</v>
      </c>
      <c r="E2091" s="6" t="s">
        <v>3721</v>
      </c>
      <c r="F2091" s="6" t="s">
        <v>5028</v>
      </c>
      <c r="G2091" s="8">
        <v>45465</v>
      </c>
      <c r="H2091" s="6">
        <v>12.24</v>
      </c>
      <c r="I2091" s="6" cm="1">
        <f t="array" ref="I2091">IFERROR(VALUE(TRIM(LEFT(E2091,MIN(FIND({" ";"g";"k";"m";"o"},E2091&amp;" gkmo"))-1))),0)</f>
        <v>18</v>
      </c>
      <c r="J2091" s="6" t="str" cm="1">
        <f t="array" ref="J2091">IFERROR(TRIM(MID(E2091,MIN(FIND({" ";"g";"k";"m";"o"},E2091&amp;" gkmo")),10)),"unknown")</f>
        <v>g</v>
      </c>
      <c r="K2091" s="6" t="str">
        <f t="shared" si="128"/>
        <v>g</v>
      </c>
      <c r="L2091" s="6" t="str">
        <f t="shared" si="129"/>
        <v>Skinnypop</v>
      </c>
      <c r="M2091" s="6" t="str">
        <f t="shared" si="130"/>
        <v>Original Popcorn</v>
      </c>
      <c r="N2091" s="6" t="str">
        <f t="shared" si="131"/>
        <v>France,United States,World</v>
      </c>
    </row>
    <row r="2092" spans="1:14" x14ac:dyDescent="0.25">
      <c r="A2092" s="6" t="s">
        <v>5029</v>
      </c>
      <c r="B2092" s="6">
        <v>9388</v>
      </c>
      <c r="C2092" s="6" t="s">
        <v>5030</v>
      </c>
      <c r="D2092" s="7" t="s">
        <v>961</v>
      </c>
      <c r="E2092" s="6" t="s">
        <v>1309</v>
      </c>
      <c r="F2092" s="6" t="s">
        <v>7546</v>
      </c>
      <c r="G2092" s="8">
        <v>45627</v>
      </c>
      <c r="H2092" s="6">
        <v>2.71</v>
      </c>
      <c r="I2092" s="6" cm="1">
        <f t="array" ref="I2092">IFERROR(VALUE(TRIM(LEFT(E2092,MIN(FIND({" ";"g";"k";"m";"o"},E2092&amp;" gkmo"))-1))),0)</f>
        <v>300</v>
      </c>
      <c r="J2092" s="6" t="str" cm="1">
        <f t="array" ref="J2092">IFERROR(TRIM(MID(E2092,MIN(FIND({" ";"g";"k";"m";"o"},E2092&amp;" gkmo")),10)),"unknown")</f>
        <v>g</v>
      </c>
      <c r="K2092" s="6" t="str">
        <f t="shared" si="128"/>
        <v>g</v>
      </c>
      <c r="L2092" s="6" t="str">
        <f t="shared" si="129"/>
        <v>Sondey</v>
      </c>
      <c r="M2092" s="6" t="str">
        <f t="shared" si="130"/>
        <v>Bolachas Recheadas Framboesa</v>
      </c>
      <c r="N2092" s="6" t="str">
        <f t="shared" si="131"/>
        <v>France,États-Unis</v>
      </c>
    </row>
    <row r="2093" spans="1:14" x14ac:dyDescent="0.25">
      <c r="A2093" s="6" t="s">
        <v>5031</v>
      </c>
      <c r="B2093" s="6">
        <v>9674</v>
      </c>
      <c r="C2093" s="6" t="s">
        <v>5032</v>
      </c>
      <c r="D2093" s="7" t="s">
        <v>7053</v>
      </c>
      <c r="E2093" s="6" t="s">
        <v>151</v>
      </c>
      <c r="F2093" s="6" t="s">
        <v>8271</v>
      </c>
      <c r="G2093" s="8">
        <v>45715</v>
      </c>
      <c r="H2093" s="6">
        <v>17.8</v>
      </c>
      <c r="I2093" s="6" cm="1">
        <f t="array" ref="I2093">IFERROR(VALUE(TRIM(LEFT(E2093,MIN(FIND({" ";"g";"k";"m";"o"},E2093&amp;" gkmo"))-1))),0)</f>
        <v>200</v>
      </c>
      <c r="J2093" s="6" t="str" cm="1">
        <f t="array" ref="J2093">IFERROR(TRIM(MID(E2093,MIN(FIND({" ";"g";"k";"m";"o"},E2093&amp;" gkmo")),10)),"unknown")</f>
        <v>g</v>
      </c>
      <c r="K2093" s="6" t="str">
        <f t="shared" si="128"/>
        <v>g</v>
      </c>
      <c r="L2093" s="6" t="str">
        <f t="shared" si="129"/>
        <v>Fin Carré</v>
      </c>
      <c r="M2093" s="6" t="str">
        <f t="shared" si="130"/>
        <v>Edelrahm-Ganze-Mandel</v>
      </c>
      <c r="N2093" s="6" t="str">
        <f t="shared" si="131"/>
        <v>France,Germany,Portugal,Espaà±A</v>
      </c>
    </row>
    <row r="2094" spans="1:14" x14ac:dyDescent="0.25">
      <c r="A2094" s="6" t="s">
        <v>5033</v>
      </c>
      <c r="B2094" s="6">
        <v>5414</v>
      </c>
      <c r="C2094" s="6" t="s">
        <v>5034</v>
      </c>
      <c r="D2094" s="7" t="s">
        <v>7017</v>
      </c>
      <c r="E2094" s="6" t="s">
        <v>1286</v>
      </c>
      <c r="F2094" s="6" t="s">
        <v>7803</v>
      </c>
      <c r="G2094" s="8">
        <v>46006</v>
      </c>
      <c r="H2094" s="6">
        <v>13.16</v>
      </c>
      <c r="I2094" s="6" cm="1">
        <f t="array" ref="I2094">IFERROR(VALUE(TRIM(LEFT(E2094,MIN(FIND({" ";"g";"k";"m";"o"},E2094&amp;" gkmo"))-1))),0)</f>
        <v>315</v>
      </c>
      <c r="J2094" s="6" t="str" cm="1">
        <f t="array" ref="J2094">IFERROR(TRIM(MID(E2094,MIN(FIND({" ";"g";"k";"m";"o"},E2094&amp;" gkmo")),10)),"unknown")</f>
        <v>g</v>
      </c>
      <c r="K2094" s="6" t="str">
        <f t="shared" si="128"/>
        <v>g</v>
      </c>
      <c r="L2094" s="6" t="str">
        <f t="shared" si="129"/>
        <v>Unknown</v>
      </c>
      <c r="M2094" s="6" t="str">
        <f t="shared" si="130"/>
        <v>Salsa Mexicana Style Spicy Dip</v>
      </c>
      <c r="N2094" s="6" t="str">
        <f t="shared" si="131"/>
        <v>Unià£O Europeia,Franà§A,Alemanha,Suà­À§A</v>
      </c>
    </row>
    <row r="2095" spans="1:14" x14ac:dyDescent="0.25">
      <c r="A2095" s="6" t="s">
        <v>5035</v>
      </c>
      <c r="B2095" s="6">
        <v>5476</v>
      </c>
      <c r="C2095" s="6" t="s">
        <v>2494</v>
      </c>
      <c r="D2095" s="7" t="s">
        <v>7251</v>
      </c>
      <c r="E2095" s="6" t="s">
        <v>3784</v>
      </c>
      <c r="F2095" s="6" t="s">
        <v>4092</v>
      </c>
      <c r="G2095" s="8">
        <v>45589</v>
      </c>
      <c r="H2095" s="6">
        <v>7.08</v>
      </c>
      <c r="I2095" s="6" cm="1">
        <f t="array" ref="I2095">IFERROR(VALUE(TRIM(LEFT(E2095,MIN(FIND({" ";"g";"k";"m";"o"},E2095&amp;" gkmo"))-1))),0)</f>
        <v>2</v>
      </c>
      <c r="J2095" s="6" t="str" cm="1">
        <f t="array" ref="J2095">IFERROR(TRIM(MID(E2095,MIN(FIND({" ";"g";"k";"m";"o"},E2095&amp;" gkmo")),10)),"unknown")</f>
        <v>x 200 g</v>
      </c>
      <c r="K2095" s="6" t="str">
        <f t="shared" si="128"/>
        <v>g</v>
      </c>
      <c r="L2095" s="6" t="str">
        <f t="shared" si="129"/>
        <v>Fin Carré, Lidl</v>
      </c>
      <c r="M2095" s="6" t="str">
        <f t="shared" si="130"/>
        <v>Chocolat Noir</v>
      </c>
      <c r="N2095" s="6" t="str">
        <f t="shared" si="131"/>
        <v>Belgium,France,Netherlands</v>
      </c>
    </row>
    <row r="2096" spans="1:14" x14ac:dyDescent="0.25">
      <c r="A2096" s="6" t="s">
        <v>5036</v>
      </c>
      <c r="B2096" s="6">
        <v>6080</v>
      </c>
      <c r="C2096" s="6" t="s">
        <v>7804</v>
      </c>
      <c r="D2096" s="7" t="s">
        <v>2636</v>
      </c>
      <c r="E2096" s="6" t="s">
        <v>156</v>
      </c>
      <c r="F2096" s="6" t="s">
        <v>139</v>
      </c>
      <c r="G2096" s="8">
        <v>45583</v>
      </c>
      <c r="H2096" s="6">
        <v>8.32</v>
      </c>
      <c r="I2096" s="6" cm="1">
        <f t="array" ref="I2096">IFERROR(VALUE(TRIM(LEFT(E2096,MIN(FIND({" ";"g";"k";"m";"o"},E2096&amp;" gkmo"))-1))),0)</f>
        <v>500</v>
      </c>
      <c r="J2096" s="6" t="str" cm="1">
        <f t="array" ref="J2096">IFERROR(TRIM(MID(E2096,MIN(FIND({" ";"g";"k";"m";"o"},E2096&amp;" gkmo")),10)),"unknown")</f>
        <v>g</v>
      </c>
      <c r="K2096" s="6" t="str">
        <f t="shared" si="128"/>
        <v>g</v>
      </c>
      <c r="L2096" s="6" t="str">
        <f t="shared" si="129"/>
        <v>Saladinettes</v>
      </c>
      <c r="M2096" s="6" t="str">
        <f t="shared" si="130"/>
        <v>Taboulé Au Poulet, À  La Ciboulette</v>
      </c>
      <c r="N2096" s="6" t="str">
        <f t="shared" si="131"/>
        <v>France</v>
      </c>
    </row>
    <row r="2097" spans="1:14" x14ac:dyDescent="0.25">
      <c r="A2097" s="6" t="s">
        <v>5037</v>
      </c>
      <c r="B2097" s="6">
        <v>5795</v>
      </c>
      <c r="C2097" s="6" t="s">
        <v>5038</v>
      </c>
      <c r="D2097" s="7" t="s">
        <v>961</v>
      </c>
      <c r="E2097" s="6" t="s">
        <v>151</v>
      </c>
      <c r="F2097" s="6" t="s">
        <v>5039</v>
      </c>
      <c r="G2097" s="8">
        <v>45513</v>
      </c>
      <c r="H2097" s="6">
        <v>20.85</v>
      </c>
      <c r="I2097" s="6" cm="1">
        <f t="array" ref="I2097">IFERROR(VALUE(TRIM(LEFT(E2097,MIN(FIND({" ";"g";"k";"m";"o"},E2097&amp;" gkmo"))-1))),0)</f>
        <v>200</v>
      </c>
      <c r="J2097" s="6" t="str" cm="1">
        <f t="array" ref="J2097">IFERROR(TRIM(MID(E2097,MIN(FIND({" ";"g";"k";"m";"o"},E2097&amp;" gkmo")),10)),"unknown")</f>
        <v>g</v>
      </c>
      <c r="K2097" s="6" t="str">
        <f t="shared" si="128"/>
        <v>g</v>
      </c>
      <c r="L2097" s="6" t="str">
        <f t="shared" si="129"/>
        <v>Sondey</v>
      </c>
      <c r="M2097" s="6" t="str">
        <f t="shared" si="130"/>
        <v>Cookies Trois Chocolats</v>
      </c>
      <c r="N2097" s="6" t="str">
        <f t="shared" si="131"/>
        <v>Frankreich,Spanien,Deutschland</v>
      </c>
    </row>
    <row r="2098" spans="1:14" x14ac:dyDescent="0.25">
      <c r="A2098" s="6" t="s">
        <v>5040</v>
      </c>
      <c r="B2098" s="6">
        <v>6641</v>
      </c>
      <c r="C2098" s="6" t="s">
        <v>7805</v>
      </c>
      <c r="D2098" s="7" t="s">
        <v>7806</v>
      </c>
      <c r="E2098" s="6" t="s">
        <v>5041</v>
      </c>
      <c r="F2098" s="6" t="s">
        <v>7771</v>
      </c>
      <c r="G2098" s="8">
        <v>45345</v>
      </c>
      <c r="H2098" s="6">
        <v>23.84</v>
      </c>
      <c r="I2098" s="6" cm="1">
        <f t="array" ref="I2098">IFERROR(VALUE(TRIM(LEFT(E2098,MIN(FIND({" ";"g";"k";"m";"o"},E2098&amp;" gkmo"))-1))),0)</f>
        <v>200</v>
      </c>
      <c r="J2098" s="6" t="str" cm="1">
        <f t="array" ref="J2098">IFERROR(TRIM(MID(E2098,MIN(FIND({" ";"g";"k";"m";"o"},E2098&amp;" gkmo")),10)),"unknown")</f>
        <v>gram</v>
      </c>
      <c r="K2098" s="6" t="str">
        <f t="shared" si="128"/>
        <v>g</v>
      </c>
      <c r="L2098" s="6" t="str">
        <f t="shared" si="129"/>
        <v>Grafschafter,Maà®Tre Jean Pierre,Bio Organic,Lidl</v>
      </c>
      <c r="M2098" s="6" t="str">
        <f t="shared" si="130"/>
        <v>Bio Knà¤Ckebrot</v>
      </c>
      <c r="N2098" s="6" t="str">
        <f t="shared" si="131"/>
        <v>Franà§A,Alemanha,Portugal,Espanha</v>
      </c>
    </row>
    <row r="2099" spans="1:14" x14ac:dyDescent="0.25">
      <c r="A2099" s="6" t="s">
        <v>5042</v>
      </c>
      <c r="B2099" s="6">
        <v>10145</v>
      </c>
      <c r="C2099" s="6" t="s">
        <v>5043</v>
      </c>
      <c r="D2099" s="7" t="s">
        <v>7017</v>
      </c>
      <c r="E2099" s="6" t="s">
        <v>5044</v>
      </c>
      <c r="F2099" s="6" t="s">
        <v>1356</v>
      </c>
      <c r="G2099" s="8">
        <v>45991</v>
      </c>
      <c r="H2099" s="6">
        <v>5.74</v>
      </c>
      <c r="I2099" s="6" cm="1">
        <f t="array" ref="I2099">IFERROR(VALUE(TRIM(LEFT(E2099,MIN(FIND({" ";"g";"k";"m";"o"},E2099&amp;" gkmo"))-1))),0)</f>
        <v>12.5</v>
      </c>
      <c r="J2099" s="6" t="str" cm="1">
        <f t="array" ref="J2099">IFERROR(TRIM(MID(E2099,MIN(FIND({" ";"g";"k";"m";"o"},E2099&amp;" gkmo")),10)),"unknown")</f>
        <v>gram</v>
      </c>
      <c r="K2099" s="6" t="str">
        <f t="shared" si="128"/>
        <v>g</v>
      </c>
      <c r="L2099" s="6" t="str">
        <f t="shared" si="129"/>
        <v>Unknown</v>
      </c>
      <c r="M2099" s="6" t="str">
        <f t="shared" si="130"/>
        <v>Milk Chocolate Lidl</v>
      </c>
      <c r="N2099" s="6" t="str">
        <f t="shared" si="131"/>
        <v>France,Germany</v>
      </c>
    </row>
    <row r="2100" spans="1:14" x14ac:dyDescent="0.25">
      <c r="A2100" s="6" t="s">
        <v>5045</v>
      </c>
      <c r="B2100" s="6">
        <v>10441</v>
      </c>
      <c r="C2100" s="6" t="s">
        <v>5046</v>
      </c>
      <c r="D2100" s="7" t="s">
        <v>5047</v>
      </c>
      <c r="E2100" s="6" t="s">
        <v>1790</v>
      </c>
      <c r="F2100" s="6" t="s">
        <v>5048</v>
      </c>
      <c r="G2100" s="8">
        <v>45809</v>
      </c>
      <c r="H2100" s="6">
        <v>13.16</v>
      </c>
      <c r="I2100" s="6" cm="1">
        <f t="array" ref="I2100">IFERROR(VALUE(TRIM(LEFT(E2100,MIN(FIND({" ";"g";"k";"m";"o"},E2100&amp;" gkmo"))-1))),0)</f>
        <v>75</v>
      </c>
      <c r="J2100" s="6" t="str" cm="1">
        <f t="array" ref="J2100">IFERROR(TRIM(MID(E2100,MIN(FIND({" ";"g";"k";"m";"o"},E2100&amp;" gkmo")),10)),"unknown")</f>
        <v>g</v>
      </c>
      <c r="K2100" s="6" t="str">
        <f t="shared" si="128"/>
        <v>g</v>
      </c>
      <c r="L2100" s="6" t="str">
        <f t="shared" si="129"/>
        <v>Lu, Mikado</v>
      </c>
      <c r="M2100" s="6" t="str">
        <f t="shared" si="130"/>
        <v>Mikado Chocolat Noir</v>
      </c>
      <c r="N2100" s="6" t="str">
        <f t="shared" si="131"/>
        <v>Belgium,France,Guadeloupe,Italy,Spain,Switzerland</v>
      </c>
    </row>
    <row r="2101" spans="1:14" x14ac:dyDescent="0.25">
      <c r="A2101" s="6" t="s">
        <v>5049</v>
      </c>
      <c r="B2101" s="6">
        <v>7804</v>
      </c>
      <c r="C2101" s="6" t="s">
        <v>7504</v>
      </c>
      <c r="D2101" s="7" t="s">
        <v>7492</v>
      </c>
      <c r="E2101" s="6" t="s">
        <v>5050</v>
      </c>
      <c r="F2101" s="6" t="s">
        <v>139</v>
      </c>
      <c r="G2101" s="8">
        <v>45835</v>
      </c>
      <c r="H2101" s="6">
        <v>20.059999999999999</v>
      </c>
      <c r="I2101" s="6" cm="1">
        <f t="array" ref="I2101">IFERROR(VALUE(TRIM(LEFT(E2101,MIN(FIND({" ";"g";"k";"m";"o"},E2101&amp;" gkmo"))-1))),0)</f>
        <v>400</v>
      </c>
      <c r="J2101" s="6" t="str" cm="1">
        <f t="array" ref="J2101">IFERROR(TRIM(MID(E2101,MIN(FIND({" ";"g";"k";"m";"o"},E2101&amp;" gkmo")),10)),"unknown")</f>
        <v>g (4 * 10</v>
      </c>
      <c r="K2101" s="6" t="str">
        <f t="shared" si="128"/>
        <v>g</v>
      </c>
      <c r="L2101" s="6" t="str">
        <f t="shared" si="129"/>
        <v>Nestlé,La Laitière</v>
      </c>
      <c r="M2101" s="6" t="str">
        <f t="shared" si="130"/>
        <v>Crème Caramel</v>
      </c>
      <c r="N2101" s="6" t="str">
        <f t="shared" si="131"/>
        <v>France</v>
      </c>
    </row>
    <row r="2102" spans="1:14" x14ac:dyDescent="0.25">
      <c r="A2102" s="6" t="s">
        <v>5051</v>
      </c>
      <c r="B2102" s="6">
        <v>8581</v>
      </c>
      <c r="C2102" s="6" t="s">
        <v>7331</v>
      </c>
      <c r="D2102" s="7" t="s">
        <v>7017</v>
      </c>
      <c r="E2102" s="6" t="s">
        <v>10</v>
      </c>
      <c r="F2102" s="6" t="s">
        <v>5052</v>
      </c>
      <c r="G2102" s="8">
        <v>45401</v>
      </c>
      <c r="H2102" s="6">
        <v>22.53</v>
      </c>
      <c r="I2102" s="6" cm="1">
        <f t="array" ref="I2102">IFERROR(VALUE(TRIM(LEFT(E2102,MIN(FIND({" ";"g";"k";"m";"o"},E2102&amp;" gkmo"))-1))),0)</f>
        <v>100</v>
      </c>
      <c r="J2102" s="6" t="str" cm="1">
        <f t="array" ref="J2102">IFERROR(TRIM(MID(E2102,MIN(FIND({" ";"g";"k";"m";"o"},E2102&amp;" gkmo")),10)),"unknown")</f>
        <v>g</v>
      </c>
      <c r="K2102" s="6" t="str">
        <f t="shared" si="128"/>
        <v>g</v>
      </c>
      <c r="L2102" s="6" t="str">
        <f t="shared" si="129"/>
        <v>Unknown</v>
      </c>
      <c r="M2102" s="6" t="str">
        <f t="shared" si="130"/>
        <v>Extra Velouté Blanc</v>
      </c>
      <c r="N2102" s="6" t="str">
        <f t="shared" si="131"/>
        <v>Australia,France,Switzerland,United Kingdom</v>
      </c>
    </row>
    <row r="2103" spans="1:14" x14ac:dyDescent="0.25">
      <c r="A2103" s="6" t="s">
        <v>5053</v>
      </c>
      <c r="B2103" s="6">
        <v>10188</v>
      </c>
      <c r="C2103" s="6" t="s">
        <v>7807</v>
      </c>
      <c r="D2103" s="7" t="s">
        <v>5054</v>
      </c>
      <c r="E2103" s="6" t="s">
        <v>5055</v>
      </c>
      <c r="F2103" s="6" t="s">
        <v>139</v>
      </c>
      <c r="G2103" s="8">
        <v>45763</v>
      </c>
      <c r="H2103" s="6">
        <v>15.99</v>
      </c>
      <c r="I2103" s="6" cm="1">
        <f t="array" ref="I2103">IFERROR(VALUE(TRIM(LEFT(E2103,MIN(FIND({" ";"g";"k";"m";"o"},E2103&amp;" gkmo"))-1))),0)</f>
        <v>590</v>
      </c>
      <c r="J2103" s="6" t="str" cm="1">
        <f t="array" ref="J2103">IFERROR(TRIM(MID(E2103,MIN(FIND({" ";"g";"k";"m";"o"},E2103&amp;" gkmo")),10)),"unknown")</f>
        <v>g (2x295g)</v>
      </c>
      <c r="K2103" s="6" t="str">
        <f t="shared" si="128"/>
        <v>g</v>
      </c>
      <c r="L2103" s="6" t="str">
        <f t="shared" si="129"/>
        <v>Bn, United Biscuits</v>
      </c>
      <c r="M2103" s="6" t="str">
        <f t="shared" si="130"/>
        <v>Biscuits Goà»T Chocolat</v>
      </c>
      <c r="N2103" s="6" t="str">
        <f t="shared" si="131"/>
        <v>France</v>
      </c>
    </row>
    <row r="2104" spans="1:14" x14ac:dyDescent="0.25">
      <c r="A2104" s="6" t="s">
        <v>5056</v>
      </c>
      <c r="B2104" s="6">
        <v>5503</v>
      </c>
      <c r="C2104" s="6" t="s">
        <v>5057</v>
      </c>
      <c r="D2104" s="7" t="s">
        <v>1345</v>
      </c>
      <c r="E2104" s="6" t="s">
        <v>57</v>
      </c>
      <c r="F2104" s="6" t="s">
        <v>213</v>
      </c>
      <c r="G2104" s="8">
        <v>45839</v>
      </c>
      <c r="H2104" s="6">
        <v>15.61</v>
      </c>
      <c r="I2104" s="6" cm="1">
        <f t="array" ref="I2104">IFERROR(VALUE(TRIM(LEFT(E2104,MIN(FIND({" ";"g";"k";"m";"o"},E2104&amp;" gkmo"))-1))),0)</f>
        <v>275</v>
      </c>
      <c r="J2104" s="6" t="str" cm="1">
        <f t="array" ref="J2104">IFERROR(TRIM(MID(E2104,MIN(FIND({" ";"g";"k";"m";"o"},E2104&amp;" gkmo")),10)),"unknown")</f>
        <v>g</v>
      </c>
      <c r="K2104" s="6" t="str">
        <f t="shared" si="128"/>
        <v>g</v>
      </c>
      <c r="L2104" s="6" t="str">
        <f t="shared" si="129"/>
        <v>Haribo</v>
      </c>
      <c r="M2104" s="6" t="str">
        <f t="shared" si="130"/>
        <v>Haricots Happy Life</v>
      </c>
      <c r="N2104" s="6" t="str">
        <f t="shared" si="131"/>
        <v>Belgium,France</v>
      </c>
    </row>
    <row r="2105" spans="1:14" x14ac:dyDescent="0.25">
      <c r="A2105" s="6" t="s">
        <v>5058</v>
      </c>
      <c r="B2105" s="6">
        <v>7270</v>
      </c>
      <c r="C2105" s="6" t="s">
        <v>7808</v>
      </c>
      <c r="D2105" s="7" t="s">
        <v>886</v>
      </c>
      <c r="E2105" s="6" t="s">
        <v>39</v>
      </c>
      <c r="F2105" s="6" t="s">
        <v>139</v>
      </c>
      <c r="G2105" s="8">
        <v>45476</v>
      </c>
      <c r="H2105" s="6">
        <v>7.29</v>
      </c>
      <c r="I2105" s="6" cm="1">
        <f t="array" ref="I2105">IFERROR(VALUE(TRIM(LEFT(E2105,MIN(FIND({" ";"g";"k";"m";"o"},E2105&amp;" gkmo"))-1))),0)</f>
        <v>150</v>
      </c>
      <c r="J2105" s="6" t="str" cm="1">
        <f t="array" ref="J2105">IFERROR(TRIM(MID(E2105,MIN(FIND({" ";"g";"k";"m";"o"},E2105&amp;" gkmo")),10)),"unknown")</f>
        <v>g</v>
      </c>
      <c r="K2105" s="6" t="str">
        <f t="shared" si="128"/>
        <v>g</v>
      </c>
      <c r="L2105" s="6" t="str">
        <f t="shared" si="129"/>
        <v>Lays</v>
      </c>
      <c r="M2105" s="6" t="str">
        <f t="shared" si="130"/>
        <v>Lay'S 3D'S Bugles Goà»T Nature Format Familial</v>
      </c>
      <c r="N2105" s="6" t="str">
        <f t="shared" si="131"/>
        <v>France</v>
      </c>
    </row>
    <row r="2106" spans="1:14" x14ac:dyDescent="0.25">
      <c r="A2106" s="6" t="s">
        <v>5059</v>
      </c>
      <c r="B2106" s="6">
        <v>5466</v>
      </c>
      <c r="C2106" s="6" t="s">
        <v>7332</v>
      </c>
      <c r="D2106" s="7" t="s">
        <v>7030</v>
      </c>
      <c r="E2106" s="6" t="s">
        <v>291</v>
      </c>
      <c r="F2106" s="6" t="s">
        <v>139</v>
      </c>
      <c r="G2106" s="8">
        <v>45830</v>
      </c>
      <c r="H2106" s="6">
        <v>4.99</v>
      </c>
      <c r="I2106" s="6" cm="1">
        <f t="array" ref="I2106">IFERROR(VALUE(TRIM(LEFT(E2106,MIN(FIND({" ";"g";"k";"m";"o"},E2106&amp;" gkmo"))-1))),0)</f>
        <v>140</v>
      </c>
      <c r="J2106" s="6" t="str" cm="1">
        <f t="array" ref="J2106">IFERROR(TRIM(MID(E2106,MIN(FIND({" ";"g";"k";"m";"o"},E2106&amp;" gkmo")),10)),"unknown")</f>
        <v>g</v>
      </c>
      <c r="K2106" s="6" t="str">
        <f t="shared" si="128"/>
        <v>g</v>
      </c>
      <c r="L2106" s="6" t="str">
        <f t="shared" si="129"/>
        <v>Gerblé</v>
      </c>
      <c r="M2106" s="6" t="str">
        <f t="shared" si="130"/>
        <v>Gerblé Sans Sucres Génoise Chocolat Saveur Framboise</v>
      </c>
      <c r="N2106" s="6" t="str">
        <f t="shared" si="131"/>
        <v>France</v>
      </c>
    </row>
    <row r="2107" spans="1:14" x14ac:dyDescent="0.25">
      <c r="A2107" s="6" t="s">
        <v>5060</v>
      </c>
      <c r="B2107" s="6">
        <v>12017</v>
      </c>
      <c r="C2107" s="6" t="s">
        <v>5061</v>
      </c>
      <c r="D2107" s="7" t="s">
        <v>646</v>
      </c>
      <c r="E2107" s="6" t="s">
        <v>5062</v>
      </c>
      <c r="F2107" s="6" t="s">
        <v>8315</v>
      </c>
      <c r="G2107" s="8">
        <v>45954</v>
      </c>
      <c r="H2107" s="6">
        <v>18.600000000000001</v>
      </c>
      <c r="I2107" s="6" cm="1">
        <f t="array" ref="I2107">IFERROR(VALUE(TRIM(LEFT(E2107,MIN(FIND({" ";"g";"k";"m";"o"},E2107&amp;" gkmo"))-1))),0)</f>
        <v>6</v>
      </c>
      <c r="J2107" s="6" t="str" cm="1">
        <f t="array" ref="J2107">IFERROR(TRIM(MID(E2107,MIN(FIND({" ";"g";"k";"m";"o"},E2107&amp;" gkmo")),10)),"unknown")</f>
        <v>x 20 g</v>
      </c>
      <c r="K2107" s="6" t="str">
        <f t="shared" si="128"/>
        <v>g</v>
      </c>
      <c r="L2107" s="6" t="str">
        <f t="shared" si="129"/>
        <v>Carrefour Bio, Carrefour</v>
      </c>
      <c r="M2107" s="6" t="str">
        <f t="shared" si="130"/>
        <v>Galletas De Arroz Inflado Rellenas De Chocolate Y Avellana</v>
      </c>
      <c r="N2107" s="6" t="str">
        <f t="shared" si="131"/>
        <v>Belgium,France,Italie,Spain</v>
      </c>
    </row>
    <row r="2108" spans="1:14" x14ac:dyDescent="0.25">
      <c r="A2108" s="6" t="s">
        <v>5063</v>
      </c>
      <c r="B2108" s="6">
        <v>7352</v>
      </c>
      <c r="C2108" s="6" t="s">
        <v>5064</v>
      </c>
      <c r="D2108" s="7" t="s">
        <v>854</v>
      </c>
      <c r="E2108" s="6" t="s">
        <v>3586</v>
      </c>
      <c r="F2108" s="6" t="s">
        <v>8290</v>
      </c>
      <c r="G2108" s="8">
        <v>45843</v>
      </c>
      <c r="H2108" s="6">
        <v>11.03</v>
      </c>
      <c r="I2108" s="6" cm="1">
        <f t="array" ref="I2108">IFERROR(VALUE(TRIM(LEFT(E2108,MIN(FIND({" ";"g";"k";"m";"o"},E2108&amp;" gkmo"))-1))),0)</f>
        <v>200</v>
      </c>
      <c r="J2108" s="6" t="str" cm="1">
        <f t="array" ref="J2108">IFERROR(TRIM(MID(E2108,MIN(FIND({" ";"g";"k";"m";"o"},E2108&amp;" gkmo")),10)),"unknown")</f>
        <v>g (4 x 50</v>
      </c>
      <c r="K2108" s="6" t="str">
        <f t="shared" si="128"/>
        <v>g</v>
      </c>
      <c r="L2108" s="6" t="str">
        <f t="shared" si="129"/>
        <v>Carrefour</v>
      </c>
      <c r="M2108" s="6" t="str">
        <f t="shared" si="130"/>
        <v>Vitality* Figue</v>
      </c>
      <c r="N2108" s="6" t="str">
        <f t="shared" si="131"/>
        <v>France, French Polynesia, Morocco, Italie, Spain</v>
      </c>
    </row>
    <row r="2109" spans="1:14" x14ac:dyDescent="0.25">
      <c r="A2109" s="6" t="s">
        <v>5065</v>
      </c>
      <c r="B2109" s="6">
        <v>14156</v>
      </c>
      <c r="C2109" s="6" t="s">
        <v>5066</v>
      </c>
      <c r="D2109" s="7" t="s">
        <v>4051</v>
      </c>
      <c r="E2109" s="6" t="s">
        <v>151</v>
      </c>
      <c r="F2109" s="6" t="s">
        <v>139</v>
      </c>
      <c r="G2109" s="8">
        <v>45353</v>
      </c>
      <c r="H2109" s="6">
        <v>9.73</v>
      </c>
      <c r="I2109" s="6" cm="1">
        <f t="array" ref="I2109">IFERROR(VALUE(TRIM(LEFT(E2109,MIN(FIND({" ";"g";"k";"m";"o"},E2109&amp;" gkmo"))-1))),0)</f>
        <v>200</v>
      </c>
      <c r="J2109" s="6" t="str" cm="1">
        <f t="array" ref="J2109">IFERROR(TRIM(MID(E2109,MIN(FIND({" ";"g";"k";"m";"o"},E2109&amp;" gkmo")),10)),"unknown")</f>
        <v>g</v>
      </c>
      <c r="K2109" s="6" t="str">
        <f t="shared" si="128"/>
        <v>g</v>
      </c>
      <c r="L2109" s="6" t="str">
        <f t="shared" si="129"/>
        <v>Chabrior, Regain</v>
      </c>
      <c r="M2109" s="6" t="str">
        <f t="shared" si="130"/>
        <v>Crackers Emmental Et Graines De Courge X8 - Bio</v>
      </c>
      <c r="N2109" s="6" t="str">
        <f t="shared" si="131"/>
        <v>France</v>
      </c>
    </row>
    <row r="2110" spans="1:14" x14ac:dyDescent="0.25">
      <c r="A2110" s="6" t="s">
        <v>5067</v>
      </c>
      <c r="B2110" s="6">
        <v>5714</v>
      </c>
      <c r="C2110" s="6" t="s">
        <v>5068</v>
      </c>
      <c r="D2110" s="7" t="s">
        <v>3923</v>
      </c>
      <c r="E2110" s="6"/>
      <c r="F2110" s="6" t="s">
        <v>8127</v>
      </c>
      <c r="G2110" s="8">
        <v>45814</v>
      </c>
      <c r="H2110" s="6">
        <v>8.09</v>
      </c>
      <c r="I2110" s="6" cm="1">
        <f t="array" ref="I2110">IFERROR(VALUE(TRIM(LEFT(E2110,MIN(FIND({" ";"g";"k";"m";"o"},E2110&amp;" gkmo"))-1))),0)</f>
        <v>0</v>
      </c>
      <c r="J2110" s="6" t="str" cm="1">
        <f t="array" ref="J2110">IFERROR(TRIM(MID(E2110,MIN(FIND({" ";"g";"k";"m";"o"},E2110&amp;" gkmo")),10)),"unknown")</f>
        <v/>
      </c>
      <c r="K2110" s="6" t="str">
        <f t="shared" si="128"/>
        <v>unknown</v>
      </c>
      <c r="L2110" s="6" t="str">
        <f t="shared" si="129"/>
        <v>Kaoka</v>
      </c>
      <c r="M2110" s="6" t="str">
        <f t="shared" si="130"/>
        <v>Chocolat Noir 90% Bio</v>
      </c>
      <c r="N2110" s="6" t="str">
        <f t="shared" si="131"/>
        <v>France, Netherlands, Morocco</v>
      </c>
    </row>
    <row r="2111" spans="1:14" x14ac:dyDescent="0.25">
      <c r="A2111" s="6" t="s">
        <v>5069</v>
      </c>
      <c r="B2111" s="6">
        <v>7317</v>
      </c>
      <c r="C2111" s="6" t="s">
        <v>7809</v>
      </c>
      <c r="D2111" s="7" t="s">
        <v>5070</v>
      </c>
      <c r="E2111" s="6" t="s">
        <v>423</v>
      </c>
      <c r="F2111" s="6" t="s">
        <v>5071</v>
      </c>
      <c r="G2111" s="8">
        <v>45767</v>
      </c>
      <c r="H2111" s="6">
        <v>2.98</v>
      </c>
      <c r="I2111" s="6" cm="1">
        <f t="array" ref="I2111">IFERROR(VALUE(TRIM(LEFT(E2111,MIN(FIND({" ";"g";"k";"m";"o"},E2111&amp;" gkmo"))-1))),0)</f>
        <v>125</v>
      </c>
      <c r="J2111" s="6" t="str" cm="1">
        <f t="array" ref="J2111">IFERROR(TRIM(MID(E2111,MIN(FIND({" ";"g";"k";"m";"o"},E2111&amp;" gkmo")),10)),"unknown")</f>
        <v>g</v>
      </c>
      <c r="K2111" s="6" t="str">
        <f t="shared" si="128"/>
        <v>g</v>
      </c>
      <c r="L2111" s="6" t="str">
        <f t="shared" si="129"/>
        <v>Carrefour,Carrefour Original</v>
      </c>
      <c r="M2111" s="6" t="str">
        <f t="shared" si="130"/>
        <v>Les Palets Recette À  La Madeleine</v>
      </c>
      <c r="N2111" s="6" t="str">
        <f t="shared" si="131"/>
        <v>Belgium,France,Italy,Kenya,Spain</v>
      </c>
    </row>
    <row r="2112" spans="1:14" x14ac:dyDescent="0.25">
      <c r="A2112" s="6" t="s">
        <v>5072</v>
      </c>
      <c r="B2112" s="6">
        <v>10520</v>
      </c>
      <c r="C2112" s="6" t="s">
        <v>5073</v>
      </c>
      <c r="D2112" s="7" t="s">
        <v>854</v>
      </c>
      <c r="E2112" s="6" t="s">
        <v>14</v>
      </c>
      <c r="F2112" s="6" t="s">
        <v>8283</v>
      </c>
      <c r="G2112" s="8">
        <v>45398</v>
      </c>
      <c r="H2112" s="6">
        <v>20.3</v>
      </c>
      <c r="I2112" s="6" cm="1">
        <f t="array" ref="I2112">IFERROR(VALUE(TRIM(LEFT(E2112,MIN(FIND({" ";"g";"k";"m";"o"},E2112&amp;" gkmo"))-1))),0)</f>
        <v>300</v>
      </c>
      <c r="J2112" s="6" t="str" cm="1">
        <f t="array" ref="J2112">IFERROR(TRIM(MID(E2112,MIN(FIND({" ";"g";"k";"m";"o"},E2112&amp;" gkmo")),10)),"unknown")</f>
        <v>g</v>
      </c>
      <c r="K2112" s="6" t="str">
        <f t="shared" si="128"/>
        <v>g</v>
      </c>
      <c r="L2112" s="6" t="str">
        <f t="shared" si="129"/>
        <v>Carrefour</v>
      </c>
      <c r="M2112" s="6" t="str">
        <f t="shared" si="130"/>
        <v>Bizcocho Con Fruta</v>
      </c>
      <c r="N2112" s="6" t="str">
        <f t="shared" si="131"/>
        <v>France, Italie, Spain</v>
      </c>
    </row>
    <row r="2113" spans="1:14" x14ac:dyDescent="0.25">
      <c r="A2113" s="6" t="s">
        <v>5074</v>
      </c>
      <c r="B2113" s="6">
        <v>12047</v>
      </c>
      <c r="C2113" s="6" t="s">
        <v>7810</v>
      </c>
      <c r="D2113" s="7" t="s">
        <v>7480</v>
      </c>
      <c r="E2113" s="6" t="s">
        <v>14</v>
      </c>
      <c r="F2113" s="6" t="s">
        <v>139</v>
      </c>
      <c r="G2113" s="8">
        <v>45402</v>
      </c>
      <c r="H2113" s="6">
        <v>19.95</v>
      </c>
      <c r="I2113" s="6" cm="1">
        <f t="array" ref="I2113">IFERROR(VALUE(TRIM(LEFT(E2113,MIN(FIND({" ";"g";"k";"m";"o"},E2113&amp;" gkmo"))-1))),0)</f>
        <v>300</v>
      </c>
      <c r="J2113" s="6" t="str" cm="1">
        <f t="array" ref="J2113">IFERROR(TRIM(MID(E2113,MIN(FIND({" ";"g";"k";"m";"o"},E2113&amp;" gkmo")),10)),"unknown")</f>
        <v>g</v>
      </c>
      <c r="K2113" s="6" t="str">
        <f t="shared" si="128"/>
        <v>g</v>
      </c>
      <c r="L2113" s="6" t="str">
        <f t="shared" si="129"/>
        <v>Marque Repère, P'Tit Déli</v>
      </c>
      <c r="M2113" s="6" t="str">
        <f t="shared" si="130"/>
        <v>Cuillers À  Pà¢Tisserie Aux Å“Ufs Frais</v>
      </c>
      <c r="N2113" s="6" t="str">
        <f t="shared" si="131"/>
        <v>France</v>
      </c>
    </row>
    <row r="2114" spans="1:14" x14ac:dyDescent="0.25">
      <c r="A2114" s="6" t="s">
        <v>5075</v>
      </c>
      <c r="B2114" s="6">
        <v>10291</v>
      </c>
      <c r="C2114" s="6" t="s">
        <v>5076</v>
      </c>
      <c r="D2114" s="7" t="s">
        <v>7477</v>
      </c>
      <c r="E2114" s="6"/>
      <c r="F2114" s="6" t="s">
        <v>139</v>
      </c>
      <c r="G2114" s="8">
        <v>45630</v>
      </c>
      <c r="H2114" s="6">
        <v>19.73</v>
      </c>
      <c r="I2114" s="6" cm="1">
        <f t="array" ref="I2114">IFERROR(VALUE(TRIM(LEFT(E2114,MIN(FIND({" ";"g";"k";"m";"o"},E2114&amp;" gkmo"))-1))),0)</f>
        <v>0</v>
      </c>
      <c r="J2114" s="6" t="str" cm="1">
        <f t="array" ref="J2114">IFERROR(TRIM(MID(E2114,MIN(FIND({" ";"g";"k";"m";"o"},E2114&amp;" gkmo")),10)),"unknown")</f>
        <v/>
      </c>
      <c r="K2114" s="6" t="str">
        <f t="shared" ref="K2114:K2177" si="132">IF(E2114="","unknown",IF(OR(J2114="g",LEFT(J2114,1)="g"),"g",IF(OR(LEFT(J2114,2)="kg",LEFT(J2114,2)="ki"),"kg",IF(OR(LEFT(J2114,2)="ml",LEFT(J2114,1)="m"),"ml",IF(LEFT(J2114,1)="l","l",IF(ISNUMBER(SEARCH("g",E2114)),"g",IF(ISNUMBER(SEARCH("kg",E2114)),"kg",IF(ISNUMBER(SEARCH("ml",E2114)),"ml","unknown"))))))))</f>
        <v>unknown</v>
      </c>
      <c r="L2114" s="6" t="str">
        <f t="shared" ref="L2114:L2177" si="133">IF(D2114="","Unknown",PROPER(TRIM(D2114)))</f>
        <v>Marque Repère, Tokapi</v>
      </c>
      <c r="M2114" s="6" t="str">
        <f t="shared" ref="M2114:M2177" si="134">IF(C2114="Unknown","Unknown",PROPER(TRIM(C2114)))</f>
        <v>Tortillas Chips</v>
      </c>
      <c r="N2114" s="6" t="str">
        <f t="shared" si="131"/>
        <v>France</v>
      </c>
    </row>
    <row r="2115" spans="1:14" x14ac:dyDescent="0.25">
      <c r="A2115" s="6" t="s">
        <v>5077</v>
      </c>
      <c r="B2115" s="6">
        <v>6302</v>
      </c>
      <c r="C2115" s="6" t="s">
        <v>7549</v>
      </c>
      <c r="D2115" s="7" t="s">
        <v>7496</v>
      </c>
      <c r="E2115" s="6" t="s">
        <v>151</v>
      </c>
      <c r="F2115" s="6" t="s">
        <v>139</v>
      </c>
      <c r="G2115" s="8">
        <v>45539</v>
      </c>
      <c r="H2115" s="6">
        <v>6.37</v>
      </c>
      <c r="I2115" s="6" cm="1">
        <f t="array" ref="I2115">IFERROR(VALUE(TRIM(LEFT(E2115,MIN(FIND({" ";"g";"k";"m";"o"},E2115&amp;" gkmo"))-1))),0)</f>
        <v>200</v>
      </c>
      <c r="J2115" s="6" t="str" cm="1">
        <f t="array" ref="J2115">IFERROR(TRIM(MID(E2115,MIN(FIND({" ";"g";"k";"m";"o"},E2115&amp;" gkmo")),10)),"unknown")</f>
        <v>g</v>
      </c>
      <c r="K2115" s="6" t="str">
        <f t="shared" si="132"/>
        <v>g</v>
      </c>
      <c r="L2115" s="6" t="str">
        <f t="shared" si="133"/>
        <v>Bio Village, Marque Repère</v>
      </c>
      <c r="M2115" s="6" t="str">
        <f t="shared" si="134"/>
        <v>Crackers Épeautres 3 Graines</v>
      </c>
      <c r="N2115" s="6" t="str">
        <f t="shared" ref="N2115:N2178" si="135">IF(F2115="","Unknown",PROPER(TRIM(F2115)))</f>
        <v>France</v>
      </c>
    </row>
    <row r="2116" spans="1:14" x14ac:dyDescent="0.25">
      <c r="A2116" s="6" t="s">
        <v>5078</v>
      </c>
      <c r="B2116" s="6">
        <v>12913</v>
      </c>
      <c r="C2116" s="6" t="s">
        <v>7333</v>
      </c>
      <c r="D2116" s="7" t="s">
        <v>600</v>
      </c>
      <c r="E2116" s="6" t="s">
        <v>10</v>
      </c>
      <c r="F2116" s="6" t="s">
        <v>139</v>
      </c>
      <c r="G2116" s="8">
        <v>45454</v>
      </c>
      <c r="H2116" s="6">
        <v>15.69</v>
      </c>
      <c r="I2116" s="6" cm="1">
        <f t="array" ref="I2116">IFERROR(VALUE(TRIM(LEFT(E2116,MIN(FIND({" ";"g";"k";"m";"o"},E2116&amp;" gkmo"))-1))),0)</f>
        <v>100</v>
      </c>
      <c r="J2116" s="6" t="str" cm="1">
        <f t="array" ref="J2116">IFERROR(TRIM(MID(E2116,MIN(FIND({" ";"g";"k";"m";"o"},E2116&amp;" gkmo")),10)),"unknown")</f>
        <v>g</v>
      </c>
      <c r="K2116" s="6" t="str">
        <f t="shared" si="132"/>
        <v>g</v>
      </c>
      <c r="L2116" s="6" t="str">
        <f t="shared" si="133"/>
        <v>Ethiquable</v>
      </c>
      <c r="M2116" s="6" t="str">
        <f t="shared" si="134"/>
        <v>Chocolat Lait Commerce Équitable</v>
      </c>
      <c r="N2116" s="6" t="str">
        <f t="shared" si="135"/>
        <v>France</v>
      </c>
    </row>
    <row r="2117" spans="1:14" x14ac:dyDescent="0.25">
      <c r="A2117" s="6" t="s">
        <v>5079</v>
      </c>
      <c r="B2117" s="6">
        <v>5837</v>
      </c>
      <c r="C2117" s="6" t="s">
        <v>5080</v>
      </c>
      <c r="D2117" s="7" t="s">
        <v>600</v>
      </c>
      <c r="E2117" s="6" t="s">
        <v>10</v>
      </c>
      <c r="F2117" s="6" t="s">
        <v>139</v>
      </c>
      <c r="G2117" s="8">
        <v>45671</v>
      </c>
      <c r="H2117" s="6">
        <v>1.1299999999999999</v>
      </c>
      <c r="I2117" s="6" cm="1">
        <f t="array" ref="I2117">IFERROR(VALUE(TRIM(LEFT(E2117,MIN(FIND({" ";"g";"k";"m";"o"},E2117&amp;" gkmo"))-1))),0)</f>
        <v>100</v>
      </c>
      <c r="J2117" s="6" t="str" cm="1">
        <f t="array" ref="J2117">IFERROR(TRIM(MID(E2117,MIN(FIND({" ";"g";"k";"m";"o"},E2117&amp;" gkmo")),10)),"unknown")</f>
        <v>g</v>
      </c>
      <c r="K2117" s="6" t="str">
        <f t="shared" si="132"/>
        <v>g</v>
      </c>
      <c r="L2117" s="6" t="str">
        <f t="shared" si="133"/>
        <v>Ethiquable</v>
      </c>
      <c r="M2117" s="6" t="str">
        <f t="shared" si="134"/>
        <v>Chocolat Lait Nature Tendre Et Fondant</v>
      </c>
      <c r="N2117" s="6" t="str">
        <f t="shared" si="135"/>
        <v>France</v>
      </c>
    </row>
    <row r="2118" spans="1:14" x14ac:dyDescent="0.25">
      <c r="A2118" s="6" t="s">
        <v>5081</v>
      </c>
      <c r="B2118" s="6">
        <v>14506</v>
      </c>
      <c r="C2118" s="6" t="s">
        <v>5082</v>
      </c>
      <c r="D2118" s="7" t="s">
        <v>5083</v>
      </c>
      <c r="E2118" s="6" t="s">
        <v>1317</v>
      </c>
      <c r="F2118" s="6" t="s">
        <v>8128</v>
      </c>
      <c r="G2118" s="8">
        <v>45614</v>
      </c>
      <c r="H2118" s="6">
        <v>15.23</v>
      </c>
      <c r="I2118" s="6" cm="1">
        <f t="array" ref="I2118">IFERROR(VALUE(TRIM(LEFT(E2118,MIN(FIND({" ";"g";"k";"m";"o"},E2118&amp;" gkmo"))-1))),0)</f>
        <v>80</v>
      </c>
      <c r="J2118" s="6" t="str" cm="1">
        <f t="array" ref="J2118">IFERROR(TRIM(MID(E2118,MIN(FIND({" ";"g";"k";"m";"o"},E2118&amp;" gkmo")),10)),"unknown")</f>
        <v>g</v>
      </c>
      <c r="K2118" s="6" t="str">
        <f t="shared" si="132"/>
        <v>g</v>
      </c>
      <c r="L2118" s="6" t="str">
        <f t="shared" si="133"/>
        <v>Best Foods</v>
      </c>
      <c r="M2118" s="6" t="str">
        <f t="shared" si="134"/>
        <v>Lotto Classic Snack</v>
      </c>
      <c r="N2118" s="6" t="str">
        <f t="shared" si="135"/>
        <v>France, Romania, Spain, Bulgaria</v>
      </c>
    </row>
    <row r="2119" spans="1:14" x14ac:dyDescent="0.25">
      <c r="A2119" s="6" t="s">
        <v>5084</v>
      </c>
      <c r="B2119" s="6">
        <v>7480</v>
      </c>
      <c r="C2119" s="6" t="s">
        <v>5085</v>
      </c>
      <c r="D2119" s="7" t="s">
        <v>1633</v>
      </c>
      <c r="E2119" s="6" t="s">
        <v>10</v>
      </c>
      <c r="F2119" s="6" t="s">
        <v>7811</v>
      </c>
      <c r="G2119" s="8">
        <v>45974</v>
      </c>
      <c r="H2119" s="6">
        <v>11.5</v>
      </c>
      <c r="I2119" s="6" cm="1">
        <f t="array" ref="I2119">IFERROR(VALUE(TRIM(LEFT(E2119,MIN(FIND({" ";"g";"k";"m";"o"},E2119&amp;" gkmo"))-1))),0)</f>
        <v>100</v>
      </c>
      <c r="J2119" s="6" t="str" cm="1">
        <f t="array" ref="J2119">IFERROR(TRIM(MID(E2119,MIN(FIND({" ";"g";"k";"m";"o"},E2119&amp;" gkmo")),10)),"unknown")</f>
        <v>g</v>
      </c>
      <c r="K2119" s="6" t="str">
        <f t="shared" si="132"/>
        <v>g</v>
      </c>
      <c r="L2119" s="6" t="str">
        <f t="shared" si="133"/>
        <v>Ritter Sport</v>
      </c>
      <c r="M2119" s="6" t="str">
        <f t="shared" si="134"/>
        <v>Halbbitter</v>
      </c>
      <c r="N2119" s="6" t="str">
        <f t="shared" si="135"/>
        <v>À–Sterreich,Frankreich,Deutschland,Italien,Schweiz,Thailand</v>
      </c>
    </row>
    <row r="2120" spans="1:14" x14ac:dyDescent="0.25">
      <c r="A2120" s="6" t="s">
        <v>5086</v>
      </c>
      <c r="B2120" s="6">
        <v>12930</v>
      </c>
      <c r="C2120" s="6" t="s">
        <v>7017</v>
      </c>
      <c r="D2120" s="7" t="s">
        <v>5087</v>
      </c>
      <c r="E2120" s="6" t="s">
        <v>10</v>
      </c>
      <c r="F2120" s="6" t="s">
        <v>5088</v>
      </c>
      <c r="G2120" s="8">
        <v>45817</v>
      </c>
      <c r="H2120" s="6">
        <v>13.16</v>
      </c>
      <c r="I2120" s="6" cm="1">
        <f t="array" ref="I2120">IFERROR(VALUE(TRIM(LEFT(E2120,MIN(FIND({" ";"g";"k";"m";"o"},E2120&amp;" gkmo"))-1))),0)</f>
        <v>100</v>
      </c>
      <c r="J2120" s="6" t="str" cm="1">
        <f t="array" ref="J2120">IFERROR(TRIM(MID(E2120,MIN(FIND({" ";"g";"k";"m";"o"},E2120&amp;" gkmo")),10)),"unknown")</f>
        <v>g</v>
      </c>
      <c r="K2120" s="6" t="str">
        <f t="shared" si="132"/>
        <v>g</v>
      </c>
      <c r="L2120" s="6" t="str">
        <f t="shared" si="133"/>
        <v>Schogetten</v>
      </c>
      <c r="M2120" s="6" t="str">
        <f t="shared" si="134"/>
        <v>Unknown</v>
      </c>
      <c r="N2120" s="6" t="str">
        <f t="shared" si="135"/>
        <v>Ð”Ð°Ð½Ð¸Ñ,Ð¤Ñ€Ð°Ð½Ñ†Ð¸Ñ,Ð“Ðµñ€Ð¼Ð°Ð½Ð¸Ñ,Ð“Ñšñ€Ñ†Ð¸Ñ,Ð˜Ð·Ñ€Ð°Ðµð»,Ð˜Ñ‚Ð°Ð»Ð¸Ñ,Ðœð°Ñ€Ð¾Ðºð¾,Ðÿð¾Ð»ÑˆÐ°,Ð Ñƒð¼Ñšð½Ð¸Ñ,Ð˜ÑÐ¿Ð°Ð½Ð¸Ñ,Ð‘Ñšð»Ð³Ð°Ñ€Ð¸Ñ</v>
      </c>
    </row>
    <row r="2121" spans="1:14" x14ac:dyDescent="0.25">
      <c r="A2121" s="6" t="s">
        <v>5089</v>
      </c>
      <c r="B2121" s="6">
        <v>7120</v>
      </c>
      <c r="C2121" s="6" t="s">
        <v>7812</v>
      </c>
      <c r="D2121" s="7" t="s">
        <v>287</v>
      </c>
      <c r="E2121" s="6"/>
      <c r="F2121" s="6" t="s">
        <v>8054</v>
      </c>
      <c r="G2121" s="8">
        <v>45624</v>
      </c>
      <c r="H2121" s="6">
        <v>8.14</v>
      </c>
      <c r="I2121" s="6" cm="1">
        <f t="array" ref="I2121">IFERROR(VALUE(TRIM(LEFT(E2121,MIN(FIND({" ";"g";"k";"m";"o"},E2121&amp;" gkmo"))-1))),0)</f>
        <v>0</v>
      </c>
      <c r="J2121" s="6" t="str" cm="1">
        <f t="array" ref="J2121">IFERROR(TRIM(MID(E2121,MIN(FIND({" ";"g";"k";"m";"o"},E2121&amp;" gkmo")),10)),"unknown")</f>
        <v/>
      </c>
      <c r="K2121" s="6" t="str">
        <f t="shared" si="132"/>
        <v>unknown</v>
      </c>
      <c r="L2121" s="6" t="str">
        <f t="shared" si="133"/>
        <v>Ferrero</v>
      </c>
      <c r="M2121" s="6" t="str">
        <f t="shared" si="134"/>
        <v>Sà¼Àÿes, Giotto Haselnuss</v>
      </c>
      <c r="N2121" s="6" t="str">
        <f t="shared" si="135"/>
        <v>France, Germany, Switzerland, Morocco</v>
      </c>
    </row>
    <row r="2122" spans="1:14" x14ac:dyDescent="0.25">
      <c r="A2122" s="6" t="s">
        <v>5090</v>
      </c>
      <c r="B2122" s="6">
        <v>9789</v>
      </c>
      <c r="C2122" s="6" t="s">
        <v>5091</v>
      </c>
      <c r="D2122" s="7" t="s">
        <v>1859</v>
      </c>
      <c r="E2122" s="6"/>
      <c r="F2122" s="6" t="s">
        <v>1356</v>
      </c>
      <c r="G2122" s="8">
        <v>45626</v>
      </c>
      <c r="H2122" s="6">
        <v>4.0599999999999996</v>
      </c>
      <c r="I2122" s="6" cm="1">
        <f t="array" ref="I2122">IFERROR(VALUE(TRIM(LEFT(E2122,MIN(FIND({" ";"g";"k";"m";"o"},E2122&amp;" gkmo"))-1))),0)</f>
        <v>0</v>
      </c>
      <c r="J2122" s="6" t="str" cm="1">
        <f t="array" ref="J2122">IFERROR(TRIM(MID(E2122,MIN(FIND({" ";"g";"k";"m";"o"},E2122&amp;" gkmo")),10)),"unknown")</f>
        <v/>
      </c>
      <c r="K2122" s="6" t="str">
        <f t="shared" si="132"/>
        <v>unknown</v>
      </c>
      <c r="L2122" s="6" t="str">
        <f t="shared" si="133"/>
        <v>Bahlsen</v>
      </c>
      <c r="M2122" s="6" t="str">
        <f t="shared" si="134"/>
        <v>Kipferl</v>
      </c>
      <c r="N2122" s="6" t="str">
        <f t="shared" si="135"/>
        <v>France,Germany</v>
      </c>
    </row>
    <row r="2123" spans="1:14" x14ac:dyDescent="0.25">
      <c r="A2123" s="6" t="s">
        <v>5092</v>
      </c>
      <c r="B2123" s="6">
        <v>8617</v>
      </c>
      <c r="C2123" s="6" t="s">
        <v>5093</v>
      </c>
      <c r="D2123" s="7" t="s">
        <v>2050</v>
      </c>
      <c r="E2123" s="6" t="s">
        <v>10</v>
      </c>
      <c r="F2123" s="6" t="s">
        <v>5094</v>
      </c>
      <c r="G2123" s="8">
        <v>45498</v>
      </c>
      <c r="H2123" s="6">
        <v>14.18</v>
      </c>
      <c r="I2123" s="6" cm="1">
        <f t="array" ref="I2123">IFERROR(VALUE(TRIM(LEFT(E2123,MIN(FIND({" ";"g";"k";"m";"o"},E2123&amp;" gkmo"))-1))),0)</f>
        <v>100</v>
      </c>
      <c r="J2123" s="6" t="str" cm="1">
        <f t="array" ref="J2123">IFERROR(TRIM(MID(E2123,MIN(FIND({" ";"g";"k";"m";"o"},E2123&amp;" gkmo")),10)),"unknown")</f>
        <v>g</v>
      </c>
      <c r="K2123" s="6" t="str">
        <f t="shared" si="132"/>
        <v>g</v>
      </c>
      <c r="L2123" s="6" t="str">
        <f t="shared" si="133"/>
        <v>Milka,Mondelez</v>
      </c>
      <c r="M2123" s="6" t="str">
        <f t="shared" si="134"/>
        <v>Milka Noisette</v>
      </c>
      <c r="N2123" s="6" t="str">
        <f t="shared" si="135"/>
        <v>Austria,Bulgaria,France,Germany,Italy</v>
      </c>
    </row>
    <row r="2124" spans="1:14" x14ac:dyDescent="0.25">
      <c r="A2124" s="6" t="s">
        <v>5095</v>
      </c>
      <c r="B2124" s="6">
        <v>5940</v>
      </c>
      <c r="C2124" s="6" t="s">
        <v>5096</v>
      </c>
      <c r="D2124" s="7" t="s">
        <v>5097</v>
      </c>
      <c r="E2124" s="6" t="s">
        <v>151</v>
      </c>
      <c r="F2124" s="6" t="s">
        <v>7954</v>
      </c>
      <c r="G2124" s="8">
        <v>45394</v>
      </c>
      <c r="H2124" s="6">
        <v>18.07</v>
      </c>
      <c r="I2124" s="6" cm="1">
        <f t="array" ref="I2124">IFERROR(VALUE(TRIM(LEFT(E2124,MIN(FIND({" ";"g";"k";"m";"o"},E2124&amp;" gkmo"))-1))),0)</f>
        <v>200</v>
      </c>
      <c r="J2124" s="6" t="str" cm="1">
        <f t="array" ref="J2124">IFERROR(TRIM(MID(E2124,MIN(FIND({" ";"g";"k";"m";"o"},E2124&amp;" gkmo")),10)),"unknown")</f>
        <v>g</v>
      </c>
      <c r="K2124" s="6" t="str">
        <f t="shared" si="132"/>
        <v>g</v>
      </c>
      <c r="L2124" s="6" t="str">
        <f t="shared" si="133"/>
        <v>Dr. Karg'S</v>
      </c>
      <c r="M2124" s="6" t="str">
        <f t="shared" si="134"/>
        <v>Fromage Emmental &amp; Graines De Courges</v>
      </c>
      <c r="N2124" s="6" t="str">
        <f t="shared" si="135"/>
        <v>France, Belgium</v>
      </c>
    </row>
    <row r="2125" spans="1:14" x14ac:dyDescent="0.25">
      <c r="A2125" s="6" t="s">
        <v>5098</v>
      </c>
      <c r="B2125" s="6">
        <v>14209</v>
      </c>
      <c r="C2125" s="6" t="s">
        <v>5099</v>
      </c>
      <c r="D2125" s="7" t="s">
        <v>3812</v>
      </c>
      <c r="E2125" s="6" t="s">
        <v>1265</v>
      </c>
      <c r="F2125" s="6" t="s">
        <v>139</v>
      </c>
      <c r="G2125" s="8">
        <v>45490</v>
      </c>
      <c r="H2125" s="6">
        <v>4.54</v>
      </c>
      <c r="I2125" s="6" cm="1">
        <f t="array" ref="I2125">IFERROR(VALUE(TRIM(LEFT(E2125,MIN(FIND({" ";"g";"k";"m";"o"},E2125&amp;" gkmo"))-1))),0)</f>
        <v>185</v>
      </c>
      <c r="J2125" s="6" t="str" cm="1">
        <f t="array" ref="J2125">IFERROR(TRIM(MID(E2125,MIN(FIND({" ";"g";"k";"m";"o"},E2125&amp;" gkmo")),10)),"unknown")</f>
        <v>g</v>
      </c>
      <c r="K2125" s="6" t="str">
        <f t="shared" si="132"/>
        <v>g</v>
      </c>
      <c r="L2125" s="6" t="str">
        <f t="shared" si="133"/>
        <v>Balisto</v>
      </c>
      <c r="M2125" s="6" t="str">
        <f t="shared" si="134"/>
        <v>Balisto Fruits Des Bois X10</v>
      </c>
      <c r="N2125" s="6" t="str">
        <f t="shared" si="135"/>
        <v>France</v>
      </c>
    </row>
    <row r="2126" spans="1:14" x14ac:dyDescent="0.25">
      <c r="A2126" s="6" t="s">
        <v>5100</v>
      </c>
      <c r="B2126" s="6">
        <v>5812</v>
      </c>
      <c r="C2126" s="6" t="s">
        <v>5101</v>
      </c>
      <c r="D2126" s="7" t="s">
        <v>204</v>
      </c>
      <c r="E2126" s="6" t="s">
        <v>2665</v>
      </c>
      <c r="F2126" s="6" t="s">
        <v>8027</v>
      </c>
      <c r="G2126" s="8">
        <v>45552</v>
      </c>
      <c r="H2126" s="6">
        <v>10</v>
      </c>
      <c r="I2126" s="6" cm="1">
        <f t="array" ref="I2126">IFERROR(VALUE(TRIM(LEFT(E2126,MIN(FIND({" ";"g";"k";"m";"o"},E2126&amp;" gkmo"))-1))),0)</f>
        <v>266</v>
      </c>
      <c r="J2126" s="6" t="str" cm="1">
        <f t="array" ref="J2126">IFERROR(TRIM(MID(E2126,MIN(FIND({" ";"g";"k";"m";"o"},E2126&amp;" gkmo")),10)),"unknown")</f>
        <v>g</v>
      </c>
      <c r="K2126" s="6" t="str">
        <f t="shared" si="132"/>
        <v>g</v>
      </c>
      <c r="L2126" s="6" t="str">
        <f t="shared" si="133"/>
        <v>Mcvitie'S</v>
      </c>
      <c r="M2126" s="6" t="str">
        <f t="shared" si="134"/>
        <v>Digestives Dark Chocolate</v>
      </c>
      <c r="N2126" s="6" t="str">
        <f t="shared" si="135"/>
        <v>France, Spain, United-Kingdom</v>
      </c>
    </row>
    <row r="2127" spans="1:14" x14ac:dyDescent="0.25">
      <c r="A2127" s="6" t="s">
        <v>5102</v>
      </c>
      <c r="B2127" s="6">
        <v>14796</v>
      </c>
      <c r="C2127" s="6" t="s">
        <v>5103</v>
      </c>
      <c r="D2127" s="7" t="s">
        <v>726</v>
      </c>
      <c r="E2127" s="6" t="s">
        <v>5104</v>
      </c>
      <c r="F2127" s="6" t="s">
        <v>400</v>
      </c>
      <c r="G2127" s="8">
        <v>45845</v>
      </c>
      <c r="H2127" s="6">
        <v>13.16</v>
      </c>
      <c r="I2127" s="6" cm="1">
        <f t="array" ref="I2127">IFERROR(VALUE(TRIM(LEFT(E2127,MIN(FIND({" ";"g";"k";"m";"o"},E2127&amp;" gkmo"))-1))),0)</f>
        <v>82.5</v>
      </c>
      <c r="J2127" s="6" t="str" cm="1">
        <f t="array" ref="J2127">IFERROR(TRIM(MID(E2127,MIN(FIND({" ";"g";"k";"m";"o"},E2127&amp;" gkmo")),10)),"unknown")</f>
        <v>g</v>
      </c>
      <c r="K2127" s="6" t="str">
        <f t="shared" si="132"/>
        <v>g</v>
      </c>
      <c r="L2127" s="6" t="str">
        <f t="shared" si="133"/>
        <v>Walkers</v>
      </c>
      <c r="M2127" s="6" t="str">
        <f t="shared" si="134"/>
        <v>Mango &amp; Chilli Chutney Poppadoms</v>
      </c>
      <c r="N2127" s="6" t="str">
        <f t="shared" si="135"/>
        <v>France,United Kingdom</v>
      </c>
    </row>
    <row r="2128" spans="1:14" x14ac:dyDescent="0.25">
      <c r="A2128" s="6" t="s">
        <v>5105</v>
      </c>
      <c r="B2128" s="6">
        <v>10065</v>
      </c>
      <c r="C2128" s="6" t="s">
        <v>5106</v>
      </c>
      <c r="D2128" s="7" t="s">
        <v>339</v>
      </c>
      <c r="E2128" s="6" t="s">
        <v>495</v>
      </c>
      <c r="F2128" s="6" t="s">
        <v>177</v>
      </c>
      <c r="G2128" s="8">
        <v>45689</v>
      </c>
      <c r="H2128" s="6">
        <v>21.14</v>
      </c>
      <c r="I2128" s="6" cm="1">
        <f t="array" ref="I2128">IFERROR(VALUE(TRIM(LEFT(E2128,MIN(FIND({" ";"g";"k";"m";"o"},E2128&amp;" gkmo"))-1))),0)</f>
        <v>35</v>
      </c>
      <c r="J2128" s="6" t="str" cm="1">
        <f t="array" ref="J2128">IFERROR(TRIM(MID(E2128,MIN(FIND({" ";"g";"k";"m";"o"},E2128&amp;" gkmo")),10)),"unknown")</f>
        <v>g</v>
      </c>
      <c r="K2128" s="6" t="str">
        <f t="shared" si="132"/>
        <v>g</v>
      </c>
      <c r="L2128" s="6" t="str">
        <f t="shared" si="133"/>
        <v>Nakd</v>
      </c>
      <c r="M2128" s="6" t="str">
        <f t="shared" si="134"/>
        <v>Cashew Cookie Fruit &amp; Nut Bar</v>
      </c>
      <c r="N2128" s="6" t="str">
        <f t="shared" si="135"/>
        <v>United Kingdom</v>
      </c>
    </row>
    <row r="2129" spans="1:14" x14ac:dyDescent="0.25">
      <c r="A2129" s="6" t="s">
        <v>5107</v>
      </c>
      <c r="B2129" s="6">
        <v>11335</v>
      </c>
      <c r="C2129" s="6" t="s">
        <v>5108</v>
      </c>
      <c r="D2129" s="7" t="s">
        <v>2589</v>
      </c>
      <c r="E2129" s="6" t="s">
        <v>5109</v>
      </c>
      <c r="F2129" s="6" t="s">
        <v>8129</v>
      </c>
      <c r="G2129" s="8">
        <v>45513</v>
      </c>
      <c r="H2129" s="6">
        <v>3.85</v>
      </c>
      <c r="I2129" s="6" cm="1">
        <f t="array" ref="I2129">IFERROR(VALUE(TRIM(LEFT(E2129,MIN(FIND({" ";"g";"k";"m";"o"},E2129&amp;" gkmo"))-1))),0)</f>
        <v>20</v>
      </c>
      <c r="J2129" s="6" t="str" cm="1">
        <f t="array" ref="J2129">IFERROR(TRIM(MID(E2129,MIN(FIND({" ";"g";"k";"m";"o"},E2129&amp;" gkmo")),10)),"unknown")</f>
        <v>g</v>
      </c>
      <c r="K2129" s="6" t="str">
        <f t="shared" si="132"/>
        <v>g</v>
      </c>
      <c r="L2129" s="6" t="str">
        <f t="shared" si="133"/>
        <v>Bear, Bear Nibbles</v>
      </c>
      <c r="M2129" s="6" t="str">
        <f t="shared" si="134"/>
        <v>Pure Fruit Yoyo Raspberry</v>
      </c>
      <c r="N2129" s="6" t="str">
        <f t="shared" si="135"/>
        <v>Czech Republic, France, United-Kingdom</v>
      </c>
    </row>
    <row r="2130" spans="1:14" x14ac:dyDescent="0.25">
      <c r="A2130" s="6" t="s">
        <v>5110</v>
      </c>
      <c r="B2130" s="6">
        <v>7582</v>
      </c>
      <c r="C2130" s="6" t="s">
        <v>5111</v>
      </c>
      <c r="D2130" s="7" t="s">
        <v>5112</v>
      </c>
      <c r="E2130" s="6"/>
      <c r="F2130" s="6" t="s">
        <v>7813</v>
      </c>
      <c r="G2130" s="8">
        <v>45464</v>
      </c>
      <c r="H2130" s="6">
        <v>23.58</v>
      </c>
      <c r="I2130" s="6" cm="1">
        <f t="array" ref="I2130">IFERROR(VALUE(TRIM(LEFT(E2130,MIN(FIND({" ";"g";"k";"m";"o"},E2130&amp;" gkmo"))-1))),0)</f>
        <v>0</v>
      </c>
      <c r="J2130" s="6" t="str" cm="1">
        <f t="array" ref="J2130">IFERROR(TRIM(MID(E2130,MIN(FIND({" ";"g";"k";"m";"o"},E2130&amp;" gkmo")),10)),"unknown")</f>
        <v/>
      </c>
      <c r="K2130" s="6" t="str">
        <f t="shared" si="132"/>
        <v>unknown</v>
      </c>
      <c r="L2130" s="6" t="str">
        <f t="shared" si="133"/>
        <v>Heidi</v>
      </c>
      <c r="M2130" s="6" t="str">
        <f t="shared" si="134"/>
        <v>Dark Intense</v>
      </c>
      <c r="N2130" s="6" t="str">
        <f t="shared" si="135"/>
        <v>Bulgarie,République Tchèque,France,Pologne,Roumanie,Russie,Slovaquie,Thaà¯Lande</v>
      </c>
    </row>
    <row r="2131" spans="1:14" x14ac:dyDescent="0.25">
      <c r="A2131" s="6" t="s">
        <v>5113</v>
      </c>
      <c r="B2131" s="6">
        <v>12167</v>
      </c>
      <c r="C2131" s="6" t="s">
        <v>5114</v>
      </c>
      <c r="D2131" s="7" t="s">
        <v>344</v>
      </c>
      <c r="E2131" s="6" t="s">
        <v>10</v>
      </c>
      <c r="F2131" s="6" t="s">
        <v>8215</v>
      </c>
      <c r="G2131" s="8">
        <v>45578</v>
      </c>
      <c r="H2131" s="6">
        <v>13.02</v>
      </c>
      <c r="I2131" s="6" cm="1">
        <f t="array" ref="I2131">IFERROR(VALUE(TRIM(LEFT(E2131,MIN(FIND({" ";"g";"k";"m";"o"},E2131&amp;" gkmo"))-1))),0)</f>
        <v>100</v>
      </c>
      <c r="J2131" s="6" t="str" cm="1">
        <f t="array" ref="J2131">IFERROR(TRIM(MID(E2131,MIN(FIND({" ";"g";"k";"m";"o"},E2131&amp;" gkmo")),10)),"unknown")</f>
        <v>g</v>
      </c>
      <c r="K2131" s="6" t="str">
        <f t="shared" si="132"/>
        <v>g</v>
      </c>
      <c r="L2131" s="6" t="str">
        <f t="shared" si="133"/>
        <v>Bimo</v>
      </c>
      <c r="M2131" s="6" t="str">
        <f t="shared" si="134"/>
        <v>Ambassadeur</v>
      </c>
      <c r="N2131" s="6" t="str">
        <f t="shared" si="135"/>
        <v>Algeria,France</v>
      </c>
    </row>
    <row r="2132" spans="1:14" x14ac:dyDescent="0.25">
      <c r="A2132" s="6" t="s">
        <v>5115</v>
      </c>
      <c r="B2132" s="6">
        <v>6875</v>
      </c>
      <c r="C2132" s="6" t="s">
        <v>5116</v>
      </c>
      <c r="D2132" s="7" t="s">
        <v>1703</v>
      </c>
      <c r="E2132" s="6" t="s">
        <v>1312</v>
      </c>
      <c r="F2132" s="6" t="s">
        <v>139</v>
      </c>
      <c r="G2132" s="8">
        <v>45648</v>
      </c>
      <c r="H2132" s="6">
        <v>20.67</v>
      </c>
      <c r="I2132" s="6" cm="1">
        <f t="array" ref="I2132">IFERROR(VALUE(TRIM(LEFT(E2132,MIN(FIND({" ";"g";"k";"m";"o"},E2132&amp;" gkmo"))-1))),0)</f>
        <v>50</v>
      </c>
      <c r="J2132" s="6" t="str" cm="1">
        <f t="array" ref="J2132">IFERROR(TRIM(MID(E2132,MIN(FIND({" ";"g";"k";"m";"o"},E2132&amp;" gkmo")),10)),"unknown")</f>
        <v>g</v>
      </c>
      <c r="K2132" s="6" t="str">
        <f t="shared" si="132"/>
        <v>g</v>
      </c>
      <c r="L2132" s="6" t="str">
        <f t="shared" si="133"/>
        <v>Ricola</v>
      </c>
      <c r="M2132" s="6" t="str">
        <f t="shared" si="134"/>
        <v>50G Ricola Alpin Fresh</v>
      </c>
      <c r="N2132" s="6" t="str">
        <f t="shared" si="135"/>
        <v>France</v>
      </c>
    </row>
    <row r="2133" spans="1:14" x14ac:dyDescent="0.25">
      <c r="A2133" s="6" t="s">
        <v>5117</v>
      </c>
      <c r="B2133" s="6">
        <v>7437</v>
      </c>
      <c r="C2133" s="6" t="s">
        <v>5118</v>
      </c>
      <c r="D2133" s="7" t="s">
        <v>2538</v>
      </c>
      <c r="E2133" s="6"/>
      <c r="F2133" s="6" t="s">
        <v>1181</v>
      </c>
      <c r="G2133" s="8">
        <v>45519</v>
      </c>
      <c r="H2133" s="6">
        <v>3.5</v>
      </c>
      <c r="I2133" s="6" cm="1">
        <f t="array" ref="I2133">IFERROR(VALUE(TRIM(LEFT(E2133,MIN(FIND({" ";"g";"k";"m";"o"},E2133&amp;" gkmo"))-1))),0)</f>
        <v>0</v>
      </c>
      <c r="J2133" s="6" t="str" cm="1">
        <f t="array" ref="J2133">IFERROR(TRIM(MID(E2133,MIN(FIND({" ";"g";"k";"m";"o"},E2133&amp;" gkmo")),10)),"unknown")</f>
        <v/>
      </c>
      <c r="K2133" s="6" t="str">
        <f t="shared" si="132"/>
        <v>unknown</v>
      </c>
      <c r="L2133" s="6" t="str">
        <f t="shared" si="133"/>
        <v>Kambly</v>
      </c>
      <c r="M2133" s="6" t="str">
        <f t="shared" si="134"/>
        <v>Rocher Aux Amandes</v>
      </c>
      <c r="N2133" s="6" t="str">
        <f t="shared" si="135"/>
        <v>France,Switzerland</v>
      </c>
    </row>
    <row r="2134" spans="1:14" x14ac:dyDescent="0.25">
      <c r="A2134" s="6" t="s">
        <v>5119</v>
      </c>
      <c r="B2134" s="6">
        <v>5536</v>
      </c>
      <c r="C2134" s="6" t="s">
        <v>5120</v>
      </c>
      <c r="D2134" s="7" t="s">
        <v>7017</v>
      </c>
      <c r="E2134" s="6" t="s">
        <v>2237</v>
      </c>
      <c r="F2134" s="6" t="s">
        <v>139</v>
      </c>
      <c r="G2134" s="8">
        <v>45673</v>
      </c>
      <c r="H2134" s="6">
        <v>10.55</v>
      </c>
      <c r="I2134" s="6" cm="1">
        <f t="array" ref="I2134">IFERROR(VALUE(TRIM(LEFT(E2134,MIN(FIND({" ";"g";"k";"m";"o"},E2134&amp;" gkmo"))-1))),0)</f>
        <v>184</v>
      </c>
      <c r="J2134" s="6" t="str" cm="1">
        <f t="array" ref="J2134">IFERROR(TRIM(MID(E2134,MIN(FIND({" ";"g";"k";"m";"o"},E2134&amp;" gkmo")),10)),"unknown")</f>
        <v>g</v>
      </c>
      <c r="K2134" s="6" t="str">
        <f t="shared" si="132"/>
        <v>g</v>
      </c>
      <c r="L2134" s="6" t="str">
        <f t="shared" si="133"/>
        <v>Unknown</v>
      </c>
      <c r="M2134" s="6" t="str">
        <f t="shared" si="134"/>
        <v>Calendrier De L'Avent Au Chocolat</v>
      </c>
      <c r="N2134" s="6" t="str">
        <f t="shared" si="135"/>
        <v>France</v>
      </c>
    </row>
    <row r="2135" spans="1:14" x14ac:dyDescent="0.25">
      <c r="A2135" s="6" t="s">
        <v>5121</v>
      </c>
      <c r="B2135" s="6">
        <v>6096</v>
      </c>
      <c r="C2135" s="6" t="s">
        <v>5122</v>
      </c>
      <c r="D2135" s="7" t="s">
        <v>546</v>
      </c>
      <c r="E2135" s="6"/>
      <c r="F2135" s="6" t="s">
        <v>5123</v>
      </c>
      <c r="G2135" s="8">
        <v>45950</v>
      </c>
      <c r="H2135" s="6">
        <v>23.62</v>
      </c>
      <c r="I2135" s="6" cm="1">
        <f t="array" ref="I2135">IFERROR(VALUE(TRIM(LEFT(E2135,MIN(FIND({" ";"g";"k";"m";"o"},E2135&amp;" gkmo"))-1))),0)</f>
        <v>0</v>
      </c>
      <c r="J2135" s="6" t="str" cm="1">
        <f t="array" ref="J2135">IFERROR(TRIM(MID(E2135,MIN(FIND({" ";"g";"k";"m";"o"},E2135&amp;" gkmo")),10)),"unknown")</f>
        <v/>
      </c>
      <c r="K2135" s="6" t="str">
        <f t="shared" si="132"/>
        <v>unknown</v>
      </c>
      <c r="L2135" s="6" t="str">
        <f t="shared" si="133"/>
        <v>Pavesi</v>
      </c>
      <c r="M2135" s="6" t="str">
        <f t="shared" si="134"/>
        <v>Gocciole Extra Dark</v>
      </c>
      <c r="N2135" s="6" t="str">
        <f t="shared" si="135"/>
        <v>France,Italy,Switzerland</v>
      </c>
    </row>
    <row r="2136" spans="1:14" x14ac:dyDescent="0.25">
      <c r="A2136" s="6" t="s">
        <v>5124</v>
      </c>
      <c r="B2136" s="6">
        <v>14183</v>
      </c>
      <c r="C2136" s="6" t="s">
        <v>5125</v>
      </c>
      <c r="D2136" s="7" t="s">
        <v>3272</v>
      </c>
      <c r="E2136" s="6"/>
      <c r="F2136" s="6" t="s">
        <v>5126</v>
      </c>
      <c r="G2136" s="8">
        <v>45451</v>
      </c>
      <c r="H2136" s="6">
        <v>10.36</v>
      </c>
      <c r="I2136" s="6" cm="1">
        <f t="array" ref="I2136">IFERROR(VALUE(TRIM(LEFT(E2136,MIN(FIND({" ";"g";"k";"m";"o"},E2136&amp;" gkmo"))-1))),0)</f>
        <v>0</v>
      </c>
      <c r="J2136" s="6" t="str" cm="1">
        <f t="array" ref="J2136">IFERROR(TRIM(MID(E2136,MIN(FIND({" ";"g";"k";"m";"o"},E2136&amp;" gkmo")),10)),"unknown")</f>
        <v/>
      </c>
      <c r="K2136" s="6" t="str">
        <f t="shared" si="132"/>
        <v>unknown</v>
      </c>
      <c r="L2136" s="6" t="str">
        <f t="shared" si="133"/>
        <v>Mulino Bianco</v>
      </c>
      <c r="M2136" s="6" t="str">
        <f t="shared" si="134"/>
        <v>Macine Con Panna Fresca</v>
      </c>
      <c r="N2136" s="6" t="str">
        <f t="shared" si="135"/>
        <v>Canada,France,Germany,Italy</v>
      </c>
    </row>
    <row r="2137" spans="1:14" x14ac:dyDescent="0.25">
      <c r="A2137" s="6" t="s">
        <v>5127</v>
      </c>
      <c r="B2137" s="6">
        <v>12614</v>
      </c>
      <c r="C2137" s="6" t="s">
        <v>5128</v>
      </c>
      <c r="D2137" s="7" t="s">
        <v>5129</v>
      </c>
      <c r="E2137" s="6" t="s">
        <v>99</v>
      </c>
      <c r="F2137" s="6" t="s">
        <v>8238</v>
      </c>
      <c r="G2137" s="8">
        <v>45344</v>
      </c>
      <c r="H2137" s="6">
        <v>11.13</v>
      </c>
      <c r="I2137" s="6" cm="1">
        <f t="array" ref="I2137">IFERROR(VALUE(TRIM(LEFT(E2137,MIN(FIND({" ";"g";"k";"m";"o"},E2137&amp;" gkmo"))-1))),0)</f>
        <v>160</v>
      </c>
      <c r="J2137" s="6" t="str" cm="1">
        <f t="array" ref="J2137">IFERROR(TRIM(MID(E2137,MIN(FIND({" ";"g";"k";"m";"o"},E2137&amp;" gkmo")),10)),"unknown")</f>
        <v>g</v>
      </c>
      <c r="K2137" s="6" t="str">
        <f t="shared" si="132"/>
        <v>g</v>
      </c>
      <c r="L2137" s="6" t="str">
        <f t="shared" si="133"/>
        <v>Chips Ahoy!,Mondelez</v>
      </c>
      <c r="M2137" s="6" t="str">
        <f t="shared" si="134"/>
        <v>Mini</v>
      </c>
      <c r="N2137" s="6" t="str">
        <f t="shared" si="135"/>
        <v>France,Portugal,Espaà±A</v>
      </c>
    </row>
    <row r="2138" spans="1:14" x14ac:dyDescent="0.25">
      <c r="A2138" s="6" t="s">
        <v>5130</v>
      </c>
      <c r="B2138" s="6">
        <v>9342</v>
      </c>
      <c r="C2138" s="6" t="s">
        <v>5131</v>
      </c>
      <c r="D2138" s="7" t="s">
        <v>5132</v>
      </c>
      <c r="E2138" s="6">
        <v>10</v>
      </c>
      <c r="F2138" s="6" t="s">
        <v>8219</v>
      </c>
      <c r="G2138" s="8">
        <v>45668</v>
      </c>
      <c r="H2138" s="6">
        <v>5.23</v>
      </c>
      <c r="I2138" s="6" cm="1">
        <f t="array" ref="I2138">IFERROR(VALUE(TRIM(LEFT(E2138,MIN(FIND({" ";"g";"k";"m";"o"},E2138&amp;" gkmo"))-1))),0)</f>
        <v>10</v>
      </c>
      <c r="J2138" s="6" t="str" cm="1">
        <f t="array" ref="J2138">IFERROR(TRIM(MID(E2138,MIN(FIND({" ";"g";"k";"m";"o"},E2138&amp;" gkmo")),10)),"unknown")</f>
        <v/>
      </c>
      <c r="K2138" s="6" t="str">
        <f t="shared" si="132"/>
        <v>unknown</v>
      </c>
      <c r="L2138" s="6" t="str">
        <f t="shared" si="133"/>
        <v>Valor,Mondelez</v>
      </c>
      <c r="M2138" s="6" t="str">
        <f t="shared" si="134"/>
        <v>Huesitos Original</v>
      </c>
      <c r="N2138" s="6" t="str">
        <f t="shared" si="135"/>
        <v>France,Marruecos,Espaà±A</v>
      </c>
    </row>
    <row r="2139" spans="1:14" x14ac:dyDescent="0.25">
      <c r="A2139" s="6" t="s">
        <v>5133</v>
      </c>
      <c r="B2139" s="6">
        <v>6751</v>
      </c>
      <c r="C2139" s="6" t="s">
        <v>5134</v>
      </c>
      <c r="D2139" s="7" t="s">
        <v>5135</v>
      </c>
      <c r="E2139" s="6" t="s">
        <v>5136</v>
      </c>
      <c r="F2139" s="6" t="s">
        <v>7916</v>
      </c>
      <c r="G2139" s="8">
        <v>45587</v>
      </c>
      <c r="H2139" s="6">
        <v>13.16</v>
      </c>
      <c r="I2139" s="6" cm="1">
        <f t="array" ref="I2139">IFERROR(VALUE(TRIM(LEFT(E2139,MIN(FIND({" ";"g";"k";"m";"o"},E2139&amp;" gkmo"))-1))),0)</f>
        <v>40</v>
      </c>
      <c r="J2139" s="6" t="str" cm="1">
        <f t="array" ref="J2139">IFERROR(TRIM(MID(E2139,MIN(FIND({" ";"g";"k";"m";"o"},E2139&amp;" gkmo")),10)),"unknown")</f>
        <v>x 42 g</v>
      </c>
      <c r="K2139" s="6" t="str">
        <f t="shared" si="132"/>
        <v>g</v>
      </c>
      <c r="L2139" s="6" t="str">
        <f t="shared" si="133"/>
        <v>Nature Valley</v>
      </c>
      <c r="M2139" s="6" t="str">
        <f t="shared" si="134"/>
        <v>Canadian Maple Syrup</v>
      </c>
      <c r="N2139" s="6" t="str">
        <f t="shared" si="135"/>
        <v>United-Kingdom</v>
      </c>
    </row>
    <row r="2140" spans="1:14" x14ac:dyDescent="0.25">
      <c r="A2140" s="6" t="s">
        <v>5137</v>
      </c>
      <c r="B2140" s="6">
        <v>8799</v>
      </c>
      <c r="C2140" s="6" t="s">
        <v>5138</v>
      </c>
      <c r="D2140" s="7" t="s">
        <v>7334</v>
      </c>
      <c r="E2140" s="6" t="s">
        <v>327</v>
      </c>
      <c r="F2140" s="6" t="s">
        <v>7595</v>
      </c>
      <c r="G2140" s="8">
        <v>45948</v>
      </c>
      <c r="H2140" s="6">
        <v>11.26</v>
      </c>
      <c r="I2140" s="6" cm="1">
        <f t="array" ref="I2140">IFERROR(VALUE(TRIM(LEFT(E2140,MIN(FIND({" ";"g";"k";"m";"o"},E2140&amp;" gkmo"))-1))),0)</f>
        <v>180</v>
      </c>
      <c r="J2140" s="6" t="str" cm="1">
        <f t="array" ref="J2140">IFERROR(TRIM(MID(E2140,MIN(FIND({" ";"g";"k";"m";"o"},E2140&amp;" gkmo")),10)),"unknown")</f>
        <v>g (6 x 30</v>
      </c>
      <c r="K2140" s="6" t="str">
        <f t="shared" si="132"/>
        <v>g</v>
      </c>
      <c r="L2140" s="6" t="str">
        <f t="shared" si="133"/>
        <v>Inés Rosales</v>
      </c>
      <c r="M2140" s="6" t="str">
        <f t="shared" si="134"/>
        <v>Tortas De Aceite</v>
      </c>
      <c r="N2140" s="6" t="str">
        <f t="shared" si="135"/>
        <v>Espaà±A</v>
      </c>
    </row>
    <row r="2141" spans="1:14" x14ac:dyDescent="0.25">
      <c r="A2141" s="6" t="s">
        <v>5139</v>
      </c>
      <c r="B2141" s="6">
        <v>8239</v>
      </c>
      <c r="C2141" s="6" t="s">
        <v>5140</v>
      </c>
      <c r="D2141" s="7" t="s">
        <v>509</v>
      </c>
      <c r="E2141" s="6" t="s">
        <v>18</v>
      </c>
      <c r="F2141" s="6" t="s">
        <v>6368</v>
      </c>
      <c r="G2141" s="8">
        <v>45700</v>
      </c>
      <c r="H2141" s="6">
        <v>9.43</v>
      </c>
      <c r="I2141" s="6" cm="1">
        <f t="array" ref="I2141">IFERROR(VALUE(TRIM(LEFT(E2141,MIN(FIND({" ";"g";"k";"m";"o"},E2141&amp;" gkmo"))-1))),0)</f>
        <v>100</v>
      </c>
      <c r="J2141" s="6" t="str" cm="1">
        <f t="array" ref="J2141">IFERROR(TRIM(MID(E2141,MIN(FIND({" ";"g";"k";"m";"o"},E2141&amp;" gkmo")),10)),"unknown")</f>
        <v>g</v>
      </c>
      <c r="K2141" s="6" t="str">
        <f t="shared" si="132"/>
        <v>g</v>
      </c>
      <c r="L2141" s="6" t="str">
        <f t="shared" si="133"/>
        <v>Cheetos</v>
      </c>
      <c r="M2141" s="6" t="str">
        <f t="shared" si="134"/>
        <v>Cheetos Big Chipito Saveur Fromage</v>
      </c>
      <c r="N2141" s="6" t="str">
        <f t="shared" si="135"/>
        <v>France,Belgium</v>
      </c>
    </row>
    <row r="2142" spans="1:14" x14ac:dyDescent="0.25">
      <c r="A2142" s="6" t="s">
        <v>5141</v>
      </c>
      <c r="B2142" s="6">
        <v>12611</v>
      </c>
      <c r="C2142" s="6" t="s">
        <v>5142</v>
      </c>
      <c r="D2142" s="7" t="s">
        <v>5143</v>
      </c>
      <c r="E2142" s="6" t="s">
        <v>5144</v>
      </c>
      <c r="F2142" s="6" t="s">
        <v>8081</v>
      </c>
      <c r="G2142" s="8">
        <v>45998</v>
      </c>
      <c r="H2142" s="6">
        <v>4.3099999999999996</v>
      </c>
      <c r="I2142" s="6" cm="1">
        <f t="array" ref="I2142">IFERROR(VALUE(TRIM(LEFT(E2142,MIN(FIND({" ";"g";"k";"m";"o"},E2142&amp;" gkmo"))-1))),0)</f>
        <v>0</v>
      </c>
      <c r="J2142" s="6" t="str" cm="1">
        <f t="array" ref="J2142">IFERROR(TRIM(MID(E2142,MIN(FIND({" ";"g";"k";"m";"o"},E2142&amp;" gkmo")),10)),"unknown")</f>
        <v/>
      </c>
      <c r="K2142" s="6" t="str">
        <f t="shared" si="132"/>
        <v>unknown</v>
      </c>
      <c r="L2142" s="6" t="str">
        <f t="shared" si="133"/>
        <v>Frezzh</v>
      </c>
      <c r="M2142" s="6" t="str">
        <f t="shared" si="134"/>
        <v>Freshmint</v>
      </c>
      <c r="N2142" s="6" t="str">
        <f t="shared" si="135"/>
        <v>France, Germany, Morocco</v>
      </c>
    </row>
    <row r="2143" spans="1:14" x14ac:dyDescent="0.25">
      <c r="A2143" s="6" t="s">
        <v>5145</v>
      </c>
      <c r="B2143" s="6">
        <v>10200</v>
      </c>
      <c r="C2143" s="6" t="s">
        <v>5146</v>
      </c>
      <c r="D2143" s="7" t="s">
        <v>3849</v>
      </c>
      <c r="E2143" s="6" t="s">
        <v>10</v>
      </c>
      <c r="F2143" s="6" t="s">
        <v>177</v>
      </c>
      <c r="G2143" s="8">
        <v>45868</v>
      </c>
      <c r="H2143" s="6">
        <v>19.55</v>
      </c>
      <c r="I2143" s="6" cm="1">
        <f t="array" ref="I2143">IFERROR(VALUE(TRIM(LEFT(E2143,MIN(FIND({" ";"g";"k";"m";"o"},E2143&amp;" gkmo"))-1))),0)</f>
        <v>100</v>
      </c>
      <c r="J2143" s="6" t="str" cm="1">
        <f t="array" ref="J2143">IFERROR(TRIM(MID(E2143,MIN(FIND({" ";"g";"k";"m";"o"},E2143&amp;" gkmo")),10)),"unknown")</f>
        <v>g</v>
      </c>
      <c r="K2143" s="6" t="str">
        <f t="shared" si="132"/>
        <v>g</v>
      </c>
      <c r="L2143" s="6" t="str">
        <f t="shared" si="133"/>
        <v>Butterkist</v>
      </c>
      <c r="M2143" s="6" t="str">
        <f t="shared" si="134"/>
        <v>Pop Corn Sweet</v>
      </c>
      <c r="N2143" s="6" t="str">
        <f t="shared" si="135"/>
        <v>United Kingdom</v>
      </c>
    </row>
    <row r="2144" spans="1:14" x14ac:dyDescent="0.25">
      <c r="A2144" s="6" t="s">
        <v>5147</v>
      </c>
      <c r="B2144" s="6">
        <v>7041</v>
      </c>
      <c r="C2144" s="6" t="s">
        <v>5148</v>
      </c>
      <c r="D2144" s="7" t="s">
        <v>7017</v>
      </c>
      <c r="E2144" s="6" t="s">
        <v>284</v>
      </c>
      <c r="F2144" s="6" t="s">
        <v>511</v>
      </c>
      <c r="G2144" s="8">
        <v>45450</v>
      </c>
      <c r="H2144" s="6">
        <v>14.58</v>
      </c>
      <c r="I2144" s="6" cm="1">
        <f t="array" ref="I2144">IFERROR(VALUE(TRIM(LEFT(E2144,MIN(FIND({" ";"g";"k";"m";"o"},E2144&amp;" gkmo"))-1))),0)</f>
        <v>180</v>
      </c>
      <c r="J2144" s="6" t="str" cm="1">
        <f t="array" ref="J2144">IFERROR(TRIM(MID(E2144,MIN(FIND({" ";"g";"k";"m";"o"},E2144&amp;" gkmo")),10)),"unknown")</f>
        <v>g</v>
      </c>
      <c r="K2144" s="6" t="str">
        <f t="shared" si="132"/>
        <v>g</v>
      </c>
      <c r="L2144" s="6" t="str">
        <f t="shared" si="133"/>
        <v>Unknown</v>
      </c>
      <c r="M2144" s="6" t="str">
        <f t="shared" si="134"/>
        <v>180G Poulain Pralinoise</v>
      </c>
      <c r="N2144" s="6" t="str">
        <f t="shared" si="135"/>
        <v>France,Morocco</v>
      </c>
    </row>
    <row r="2145" spans="1:14" x14ac:dyDescent="0.25">
      <c r="A2145" s="6" t="s">
        <v>5149</v>
      </c>
      <c r="B2145" s="6">
        <v>9130</v>
      </c>
      <c r="C2145" s="6" t="s">
        <v>5150</v>
      </c>
      <c r="D2145" s="7" t="s">
        <v>5151</v>
      </c>
      <c r="E2145" s="6" t="s">
        <v>10</v>
      </c>
      <c r="F2145" s="6" t="s">
        <v>48</v>
      </c>
      <c r="G2145" s="8">
        <v>45515</v>
      </c>
      <c r="H2145" s="6">
        <v>18.5</v>
      </c>
      <c r="I2145" s="6" cm="1">
        <f t="array" ref="I2145">IFERROR(VALUE(TRIM(LEFT(E2145,MIN(FIND({" ";"g";"k";"m";"o"},E2145&amp;" gkmo"))-1))),0)</f>
        <v>100</v>
      </c>
      <c r="J2145" s="6" t="str" cm="1">
        <f t="array" ref="J2145">IFERROR(TRIM(MID(E2145,MIN(FIND({" ";"g";"k";"m";"o"},E2145&amp;" gkmo")),10)),"unknown")</f>
        <v>g</v>
      </c>
      <c r="K2145" s="6" t="str">
        <f t="shared" si="132"/>
        <v>g</v>
      </c>
      <c r="L2145" s="6" t="str">
        <f t="shared" si="133"/>
        <v>Leader Chips</v>
      </c>
      <c r="M2145" s="6" t="str">
        <f t="shared" si="134"/>
        <v>Patatas Fritas</v>
      </c>
      <c r="N2145" s="6" t="str">
        <f t="shared" si="135"/>
        <v>Morocco</v>
      </c>
    </row>
    <row r="2146" spans="1:14" x14ac:dyDescent="0.25">
      <c r="A2146" s="6" t="s">
        <v>5152</v>
      </c>
      <c r="B2146" s="6">
        <v>7211</v>
      </c>
      <c r="C2146" s="6" t="s">
        <v>5153</v>
      </c>
      <c r="D2146" s="7" t="s">
        <v>3448</v>
      </c>
      <c r="E2146" s="6" t="s">
        <v>5154</v>
      </c>
      <c r="F2146" s="6" t="s">
        <v>1161</v>
      </c>
      <c r="G2146" s="8">
        <v>45348</v>
      </c>
      <c r="H2146" s="6">
        <v>7.54</v>
      </c>
      <c r="I2146" s="6" cm="1">
        <f t="array" ref="I2146">IFERROR(VALUE(TRIM(LEFT(E2146,MIN(FIND({" ";"g";"k";"m";"o"},E2146&amp;" gkmo"))-1))),0)</f>
        <v>30</v>
      </c>
      <c r="J2146" s="6" t="str" cm="1">
        <f t="array" ref="J2146">IFERROR(TRIM(MID(E2146,MIN(FIND({" ";"g";"k";"m";"o"},E2146&amp;" gkmo")),10)),"unknown")</f>
        <v>g. (13 dh)</v>
      </c>
      <c r="K2146" s="6" t="str">
        <f t="shared" si="132"/>
        <v>g</v>
      </c>
      <c r="L2146" s="6" t="str">
        <f t="shared" si="133"/>
        <v>Mentos</v>
      </c>
      <c r="M2146" s="6" t="str">
        <f t="shared" si="134"/>
        <v>Mentos Pure Fresh</v>
      </c>
      <c r="N2146" s="6" t="str">
        <f t="shared" si="135"/>
        <v>France,Morocco,Spain</v>
      </c>
    </row>
    <row r="2147" spans="1:14" x14ac:dyDescent="0.25">
      <c r="A2147" s="6" t="s">
        <v>5155</v>
      </c>
      <c r="B2147" s="6">
        <v>7902</v>
      </c>
      <c r="C2147" s="6" t="s">
        <v>7017</v>
      </c>
      <c r="D2147" s="7" t="s">
        <v>452</v>
      </c>
      <c r="E2147" s="6" t="s">
        <v>151</v>
      </c>
      <c r="F2147" s="6" t="s">
        <v>7595</v>
      </c>
      <c r="G2147" s="8">
        <v>45592</v>
      </c>
      <c r="H2147" s="6">
        <v>13.16</v>
      </c>
      <c r="I2147" s="6" cm="1">
        <f t="array" ref="I2147">IFERROR(VALUE(TRIM(LEFT(E2147,MIN(FIND({" ";"g";"k";"m";"o"},E2147&amp;" gkmo"))-1))),0)</f>
        <v>200</v>
      </c>
      <c r="J2147" s="6" t="str" cm="1">
        <f t="array" ref="J2147">IFERROR(TRIM(MID(E2147,MIN(FIND({" ";"g";"k";"m";"o"},E2147&amp;" gkmo")),10)),"unknown")</f>
        <v>g</v>
      </c>
      <c r="K2147" s="6" t="str">
        <f t="shared" si="132"/>
        <v>g</v>
      </c>
      <c r="L2147" s="6" t="str">
        <f t="shared" si="133"/>
        <v>Hacendado</v>
      </c>
      <c r="M2147" s="6" t="str">
        <f t="shared" si="134"/>
        <v>Unknown</v>
      </c>
      <c r="N2147" s="6" t="str">
        <f t="shared" si="135"/>
        <v>Espaà±A</v>
      </c>
    </row>
    <row r="2148" spans="1:14" x14ac:dyDescent="0.25">
      <c r="A2148" s="6" t="s">
        <v>5156</v>
      </c>
      <c r="B2148" s="6">
        <v>11267</v>
      </c>
      <c r="C2148" s="6" t="s">
        <v>5157</v>
      </c>
      <c r="D2148" s="7" t="s">
        <v>552</v>
      </c>
      <c r="E2148" s="6" t="s">
        <v>5158</v>
      </c>
      <c r="F2148" s="6" t="s">
        <v>2973</v>
      </c>
      <c r="G2148" s="8">
        <v>45965</v>
      </c>
      <c r="H2148" s="6">
        <v>13.89</v>
      </c>
      <c r="I2148" s="6" cm="1">
        <f t="array" ref="I2148">IFERROR(VALUE(TRIM(LEFT(E2148,MIN(FIND({" ";"g";"k";"m";"o"},E2148&amp;" gkmo"))-1))),0)</f>
        <v>5</v>
      </c>
      <c r="J2148" s="6" t="str" cm="1">
        <f t="array" ref="J2148">IFERROR(TRIM(MID(E2148,MIN(FIND({" ";"g";"k";"m";"o"},E2148&amp;" gkmo")),10)),"unknown")</f>
        <v>x 25 g</v>
      </c>
      <c r="K2148" s="6" t="str">
        <f t="shared" si="132"/>
        <v>g</v>
      </c>
      <c r="L2148" s="6" t="str">
        <f t="shared" si="133"/>
        <v>Moser Roth</v>
      </c>
      <c r="M2148" s="6" t="str">
        <f t="shared" si="134"/>
        <v>Moser Roth Chocolate</v>
      </c>
      <c r="N2148" s="6" t="str">
        <f t="shared" si="135"/>
        <v>Gb</v>
      </c>
    </row>
    <row r="2149" spans="1:14" x14ac:dyDescent="0.25">
      <c r="A2149" s="6" t="s">
        <v>5159</v>
      </c>
      <c r="B2149" s="6">
        <v>10781</v>
      </c>
      <c r="C2149" s="6" t="s">
        <v>5160</v>
      </c>
      <c r="D2149" s="7" t="s">
        <v>1434</v>
      </c>
      <c r="E2149" s="6"/>
      <c r="F2149" s="6" t="s">
        <v>5161</v>
      </c>
      <c r="G2149" s="8">
        <v>45698</v>
      </c>
      <c r="H2149" s="6">
        <v>3.33</v>
      </c>
      <c r="I2149" s="6" cm="1">
        <f t="array" ref="I2149">IFERROR(VALUE(TRIM(LEFT(E2149,MIN(FIND({" ";"g";"k";"m";"o"},E2149&amp;" gkmo"))-1))),0)</f>
        <v>0</v>
      </c>
      <c r="J2149" s="6" t="str" cm="1">
        <f t="array" ref="J2149">IFERROR(TRIM(MID(E2149,MIN(FIND({" ";"g";"k";"m";"o"},E2149&amp;" gkmo")),10)),"unknown")</f>
        <v/>
      </c>
      <c r="K2149" s="6" t="str">
        <f t="shared" si="132"/>
        <v>unknown</v>
      </c>
      <c r="L2149" s="6" t="str">
        <f t="shared" si="133"/>
        <v>Doritos</v>
      </c>
      <c r="M2149" s="6" t="str">
        <f t="shared" si="134"/>
        <v>Doritos Sweet Chilli Pepper Flavour</v>
      </c>
      <c r="N2149" s="6" t="str">
        <f t="shared" si="135"/>
        <v>Belgium, France, Netherlands, Sweden, Germany</v>
      </c>
    </row>
    <row r="2150" spans="1:14" x14ac:dyDescent="0.25">
      <c r="A2150" s="6" t="s">
        <v>5162</v>
      </c>
      <c r="B2150" s="6">
        <v>9291</v>
      </c>
      <c r="C2150" s="6" t="s">
        <v>5163</v>
      </c>
      <c r="D2150" s="7" t="s">
        <v>357</v>
      </c>
      <c r="E2150" s="6" t="s">
        <v>1687</v>
      </c>
      <c r="F2150" s="6" t="s">
        <v>2866</v>
      </c>
      <c r="G2150" s="8">
        <v>45388</v>
      </c>
      <c r="H2150" s="6">
        <v>22.57</v>
      </c>
      <c r="I2150" s="6" cm="1">
        <f t="array" ref="I2150">IFERROR(VALUE(TRIM(LEFT(E2150,MIN(FIND({" ";"g";"k";"m";"o"},E2150&amp;" gkmo"))-1))),0)</f>
        <v>85</v>
      </c>
      <c r="J2150" s="6" t="str" cm="1">
        <f t="array" ref="J2150">IFERROR(TRIM(MID(E2150,MIN(FIND({" ";"g";"k";"m";"o"},E2150&amp;" gkmo")),10)),"unknown")</f>
        <v>g</v>
      </c>
      <c r="K2150" s="6" t="str">
        <f t="shared" si="132"/>
        <v>g</v>
      </c>
      <c r="L2150" s="6" t="str">
        <f t="shared" si="133"/>
        <v>Proper</v>
      </c>
      <c r="M2150" s="6" t="str">
        <f t="shared" si="134"/>
        <v>Sweet Sriracha Chilli Lentil Chips</v>
      </c>
      <c r="N2150" s="6" t="str">
        <f t="shared" si="135"/>
        <v>Verenigd Koninkrijk,Nederland</v>
      </c>
    </row>
    <row r="2151" spans="1:14" x14ac:dyDescent="0.25">
      <c r="A2151" s="6" t="s">
        <v>5164</v>
      </c>
      <c r="B2151" s="6">
        <v>5099</v>
      </c>
      <c r="C2151" s="6" t="s">
        <v>5165</v>
      </c>
      <c r="D2151" s="7" t="s">
        <v>5166</v>
      </c>
      <c r="E2151" s="6" t="s">
        <v>335</v>
      </c>
      <c r="F2151" s="6" t="s">
        <v>2959</v>
      </c>
      <c r="G2151" s="8">
        <v>45418</v>
      </c>
      <c r="H2151" s="6">
        <v>12.58</v>
      </c>
      <c r="I2151" s="6" cm="1">
        <f t="array" ref="I2151">IFERROR(VALUE(TRIM(LEFT(E2151,MIN(FIND({" ";"g";"k";"m";"o"},E2151&amp;" gkmo"))-1))),0)</f>
        <v>250</v>
      </c>
      <c r="J2151" s="6" t="str" cm="1">
        <f t="array" ref="J2151">IFERROR(TRIM(MID(E2151,MIN(FIND({" ";"g";"k";"m";"o"},E2151&amp;" gkmo")),10)),"unknown")</f>
        <v>g</v>
      </c>
      <c r="K2151" s="6" t="str">
        <f t="shared" si="132"/>
        <v>g</v>
      </c>
      <c r="L2151" s="6" t="str">
        <f t="shared" si="133"/>
        <v>Ð—Ð»Ð°Ñ‚Ð½Ð° Ð”Ð¾Ð±Ñ€Ñƒð´Ð¶Ð°</v>
      </c>
      <c r="M2151" s="6" t="str">
        <f t="shared" si="134"/>
        <v>Ð¡Ð¾Ð»Ðµñ‚Ð¸</v>
      </c>
      <c r="N2151" s="6" t="str">
        <f t="shared" si="135"/>
        <v>Bulgaria</v>
      </c>
    </row>
    <row r="2152" spans="1:14" x14ac:dyDescent="0.25">
      <c r="A2152" s="6" t="s">
        <v>5167</v>
      </c>
      <c r="B2152" s="6">
        <v>13356</v>
      </c>
      <c r="C2152" s="6" t="s">
        <v>5168</v>
      </c>
      <c r="D2152" s="7" t="s">
        <v>5169</v>
      </c>
      <c r="E2152" s="6"/>
      <c r="F2152" s="6" t="s">
        <v>5170</v>
      </c>
      <c r="G2152" s="8">
        <v>45599</v>
      </c>
      <c r="H2152" s="6">
        <v>2.66</v>
      </c>
      <c r="I2152" s="6" cm="1">
        <f t="array" ref="I2152">IFERROR(VALUE(TRIM(LEFT(E2152,MIN(FIND({" ";"g";"k";"m";"o"},E2152&amp;" gkmo"))-1))),0)</f>
        <v>0</v>
      </c>
      <c r="J2152" s="6" t="str" cm="1">
        <f t="array" ref="J2152">IFERROR(TRIM(MID(E2152,MIN(FIND({" ";"g";"k";"m";"o"},E2152&amp;" gkmo")),10)),"unknown")</f>
        <v/>
      </c>
      <c r="K2152" s="6" t="str">
        <f t="shared" si="132"/>
        <v>unknown</v>
      </c>
      <c r="L2152" s="6" t="str">
        <f t="shared" si="133"/>
        <v>Auchan,Auchan Gourmet</v>
      </c>
      <c r="M2152" s="6" t="str">
        <f t="shared" si="134"/>
        <v>72% Noir Intense</v>
      </c>
      <c r="N2152" s="6" t="str">
        <f t="shared" si="135"/>
        <v>France,World</v>
      </c>
    </row>
    <row r="2153" spans="1:14" x14ac:dyDescent="0.25">
      <c r="A2153" s="6" t="s">
        <v>5171</v>
      </c>
      <c r="B2153" s="6">
        <v>13432</v>
      </c>
      <c r="C2153" s="6" t="s">
        <v>7017</v>
      </c>
      <c r="D2153" s="7" t="s">
        <v>1167</v>
      </c>
      <c r="E2153" s="6" t="s">
        <v>1339</v>
      </c>
      <c r="F2153" s="6" t="s">
        <v>8272</v>
      </c>
      <c r="G2153" s="8">
        <v>45564</v>
      </c>
      <c r="H2153" s="6">
        <v>13.16</v>
      </c>
      <c r="I2153" s="6" cm="1">
        <f t="array" ref="I2153">IFERROR(VALUE(TRIM(LEFT(E2153,MIN(FIND({" ";"g";"k";"m";"o"},E2153&amp;" gkmo"))-1))),0)</f>
        <v>45</v>
      </c>
      <c r="J2153" s="6" t="str" cm="1">
        <f t="array" ref="J2153">IFERROR(TRIM(MID(E2153,MIN(FIND({" ";"g";"k";"m";"o"},E2153&amp;" gkmo")),10)),"unknown")</f>
        <v>gram</v>
      </c>
      <c r="K2153" s="6" t="str">
        <f t="shared" si="132"/>
        <v>g</v>
      </c>
      <c r="L2153" s="6" t="str">
        <f t="shared" si="133"/>
        <v>Lidl</v>
      </c>
      <c r="M2153" s="6" t="str">
        <f t="shared" si="134"/>
        <v>Unknown</v>
      </c>
      <c r="N2153" s="6" t="str">
        <f t="shared" si="135"/>
        <v>Bulgaria,Croacia,France,Germany,Hungrà­A,Italia,Lituania,Eslovaquia,Espaà±A</v>
      </c>
    </row>
    <row r="2154" spans="1:14" x14ac:dyDescent="0.25">
      <c r="A2154" s="6" t="s">
        <v>5172</v>
      </c>
      <c r="B2154" s="6">
        <v>6849</v>
      </c>
      <c r="C2154" s="6" t="s">
        <v>5173</v>
      </c>
      <c r="D2154" s="7" t="s">
        <v>7814</v>
      </c>
      <c r="E2154" s="6"/>
      <c r="F2154" s="6" t="s">
        <v>8130</v>
      </c>
      <c r="G2154" s="8">
        <v>45832</v>
      </c>
      <c r="H2154" s="6">
        <v>15.94</v>
      </c>
      <c r="I2154" s="6" cm="1">
        <f t="array" ref="I2154">IFERROR(VALUE(TRIM(LEFT(E2154,MIN(FIND({" ";"g";"k";"m";"o"},E2154&amp;" gkmo"))-1))),0)</f>
        <v>0</v>
      </c>
      <c r="J2154" s="6" t="str" cm="1">
        <f t="array" ref="J2154">IFERROR(TRIM(MID(E2154,MIN(FIND({" ";"g";"k";"m";"o"},E2154&amp;" gkmo")),10)),"unknown")</f>
        <v/>
      </c>
      <c r="K2154" s="6" t="str">
        <f t="shared" si="132"/>
        <v>unknown</v>
      </c>
      <c r="L2154" s="6" t="str">
        <f t="shared" si="133"/>
        <v>Sà¼Sse</v>
      </c>
      <c r="M2154" s="6" t="str">
        <f t="shared" si="134"/>
        <v>Finger Biskiivi</v>
      </c>
      <c r="N2154" s="6" t="str">
        <f t="shared" si="135"/>
        <v>Turkey, Morocco</v>
      </c>
    </row>
    <row r="2155" spans="1:14" x14ac:dyDescent="0.25">
      <c r="A2155" s="6" t="s">
        <v>5174</v>
      </c>
      <c r="B2155" s="6">
        <v>12098</v>
      </c>
      <c r="C2155" s="6" t="s">
        <v>5175</v>
      </c>
      <c r="D2155" s="7" t="s">
        <v>7335</v>
      </c>
      <c r="E2155" s="6" t="s">
        <v>352</v>
      </c>
      <c r="F2155" s="6" t="s">
        <v>139</v>
      </c>
      <c r="G2155" s="8">
        <v>45831</v>
      </c>
      <c r="H2155" s="6">
        <v>21.79</v>
      </c>
      <c r="I2155" s="6" cm="1">
        <f t="array" ref="I2155">IFERROR(VALUE(TRIM(LEFT(E2155,MIN(FIND({" ";"g";"k";"m";"o"},E2155&amp;" gkmo"))-1))),0)</f>
        <v>170</v>
      </c>
      <c r="J2155" s="6" t="str" cm="1">
        <f t="array" ref="J2155">IFERROR(TRIM(MID(E2155,MIN(FIND({" ";"g";"k";"m";"o"},E2155&amp;" gkmo")),10)),"unknown")</f>
        <v>g</v>
      </c>
      <c r="K2155" s="6" t="str">
        <f t="shared" si="132"/>
        <v>g</v>
      </c>
      <c r="L2155" s="6" t="str">
        <f t="shared" si="133"/>
        <v>Nestlé,Les Recettes De L'Atelier,Nestlé Les Recettes De L'Atelier</v>
      </c>
      <c r="M2155" s="6" t="str">
        <f t="shared" si="134"/>
        <v>Nestle L'Atelier Tablette Chocolat Noir Myrtilles Amandes - 170G</v>
      </c>
      <c r="N2155" s="6" t="str">
        <f t="shared" si="135"/>
        <v>France</v>
      </c>
    </row>
    <row r="2156" spans="1:14" x14ac:dyDescent="0.25">
      <c r="A2156" s="6" t="s">
        <v>5176</v>
      </c>
      <c r="B2156" s="6">
        <v>10024</v>
      </c>
      <c r="C2156" s="6" t="s">
        <v>5177</v>
      </c>
      <c r="D2156" s="7" t="s">
        <v>268</v>
      </c>
      <c r="E2156" s="6"/>
      <c r="F2156" s="6" t="s">
        <v>48</v>
      </c>
      <c r="G2156" s="8">
        <v>45430</v>
      </c>
      <c r="H2156" s="6">
        <v>11.56</v>
      </c>
      <c r="I2156" s="6" cm="1">
        <f t="array" ref="I2156">IFERROR(VALUE(TRIM(LEFT(E2156,MIN(FIND({" ";"g";"k";"m";"o"},E2156&amp;" gkmo"))-1))),0)</f>
        <v>0</v>
      </c>
      <c r="J2156" s="6" t="str" cm="1">
        <f t="array" ref="J2156">IFERROR(TRIM(MID(E2156,MIN(FIND({" ";"g";"k";"m";"o"},E2156&amp;" gkmo")),10)),"unknown")</f>
        <v/>
      </c>
      <c r="K2156" s="6" t="str">
        <f t="shared" si="132"/>
        <v>unknown</v>
      </c>
      <c r="L2156" s="6" t="str">
        <f t="shared" si="133"/>
        <v>Macao</v>
      </c>
      <c r="M2156" s="6" t="str">
        <f t="shared" si="134"/>
        <v>Chocolat Noir Extra Fin 73%</v>
      </c>
      <c r="N2156" s="6" t="str">
        <f t="shared" si="135"/>
        <v>Morocco</v>
      </c>
    </row>
    <row r="2157" spans="1:14" x14ac:dyDescent="0.25">
      <c r="A2157" s="6" t="s">
        <v>5178</v>
      </c>
      <c r="B2157" s="6">
        <v>11549</v>
      </c>
      <c r="C2157" s="6" t="s">
        <v>5179</v>
      </c>
      <c r="D2157" s="7" t="s">
        <v>5151</v>
      </c>
      <c r="E2157" s="6"/>
      <c r="F2157" s="6" t="s">
        <v>860</v>
      </c>
      <c r="G2157" s="8">
        <v>45979</v>
      </c>
      <c r="H2157" s="6">
        <v>15.56</v>
      </c>
      <c r="I2157" s="6" cm="1">
        <f t="array" ref="I2157">IFERROR(VALUE(TRIM(LEFT(E2157,MIN(FIND({" ";"g";"k";"m";"o"},E2157&amp;" gkmo"))-1))),0)</f>
        <v>0</v>
      </c>
      <c r="J2157" s="6" t="str" cm="1">
        <f t="array" ref="J2157">IFERROR(TRIM(MID(E2157,MIN(FIND({" ";"g";"k";"m";"o"},E2157&amp;" gkmo")),10)),"unknown")</f>
        <v/>
      </c>
      <c r="K2157" s="6" t="str">
        <f t="shared" si="132"/>
        <v>unknown</v>
      </c>
      <c r="L2157" s="6" t="str">
        <f t="shared" si="133"/>
        <v>Leader Chips</v>
      </c>
      <c r="M2157" s="6" t="str">
        <f t="shared" si="134"/>
        <v>Leader Chips Fromage</v>
      </c>
      <c r="N2157" s="6" t="str">
        <f t="shared" si="135"/>
        <v>Ma</v>
      </c>
    </row>
    <row r="2158" spans="1:14" x14ac:dyDescent="0.25">
      <c r="A2158" s="6" t="s">
        <v>5180</v>
      </c>
      <c r="B2158" s="6">
        <v>12622</v>
      </c>
      <c r="C2158" s="6" t="s">
        <v>5181</v>
      </c>
      <c r="D2158" s="7" t="s">
        <v>7075</v>
      </c>
      <c r="E2158" s="6" t="s">
        <v>39</v>
      </c>
      <c r="F2158" s="6" t="s">
        <v>139</v>
      </c>
      <c r="G2158" s="8">
        <v>46024</v>
      </c>
      <c r="H2158" s="6">
        <v>4.8499999999999996</v>
      </c>
      <c r="I2158" s="6" cm="1">
        <f t="array" ref="I2158">IFERROR(VALUE(TRIM(LEFT(E2158,MIN(FIND({" ";"g";"k";"m";"o"},E2158&amp;" gkmo"))-1))),0)</f>
        <v>150</v>
      </c>
      <c r="J2158" s="6" t="str" cm="1">
        <f t="array" ref="J2158">IFERROR(TRIM(MID(E2158,MIN(FIND({" ";"g";"k";"m";"o"},E2158&amp;" gkmo")),10)),"unknown")</f>
        <v>g</v>
      </c>
      <c r="K2158" s="6" t="str">
        <f t="shared" si="132"/>
        <v>g</v>
      </c>
      <c r="L2158" s="6" t="str">
        <f t="shared" si="133"/>
        <v>Jardin Bio, Léa Nature</v>
      </c>
      <c r="M2158" s="6" t="str">
        <f t="shared" si="134"/>
        <v>Petits Beurre</v>
      </c>
      <c r="N2158" s="6" t="str">
        <f t="shared" si="135"/>
        <v>France</v>
      </c>
    </row>
    <row r="2159" spans="1:14" x14ac:dyDescent="0.25">
      <c r="A2159" s="6" t="s">
        <v>5182</v>
      </c>
      <c r="B2159" s="6">
        <v>13830</v>
      </c>
      <c r="C2159" s="6" t="s">
        <v>5183</v>
      </c>
      <c r="D2159" s="7" t="s">
        <v>5184</v>
      </c>
      <c r="E2159" s="6" t="s">
        <v>1389</v>
      </c>
      <c r="F2159" s="6" t="s">
        <v>5185</v>
      </c>
      <c r="G2159" s="8">
        <v>45427</v>
      </c>
      <c r="H2159" s="6">
        <v>8.18</v>
      </c>
      <c r="I2159" s="6" cm="1">
        <f t="array" ref="I2159">IFERROR(VALUE(TRIM(LEFT(E2159,MIN(FIND({" ";"g";"k";"m";"o"},E2159&amp;" gkmo"))-1))),0)</f>
        <v>40</v>
      </c>
      <c r="J2159" s="6" t="str" cm="1">
        <f t="array" ref="J2159">IFERROR(TRIM(MID(E2159,MIN(FIND({" ";"g";"k";"m";"o"},E2159&amp;" gkmo")),10)),"unknown")</f>
        <v>g</v>
      </c>
      <c r="K2159" s="6" t="str">
        <f t="shared" si="132"/>
        <v>g</v>
      </c>
      <c r="L2159" s="6" t="str">
        <f t="shared" si="133"/>
        <v>Be Kind</v>
      </c>
      <c r="M2159" s="6" t="str">
        <f t="shared" si="134"/>
        <v>Peanut Butter Dark Chocolate</v>
      </c>
      <c r="N2159" s="6" t="str">
        <f t="shared" si="135"/>
        <v>Finland,France,Italy,Norway,Switzerland</v>
      </c>
    </row>
    <row r="2160" spans="1:14" x14ac:dyDescent="0.25">
      <c r="A2160" s="6" t="s">
        <v>5186</v>
      </c>
      <c r="B2160" s="6">
        <v>6875</v>
      </c>
      <c r="C2160" s="6" t="s">
        <v>5187</v>
      </c>
      <c r="D2160" s="7" t="s">
        <v>814</v>
      </c>
      <c r="E2160" s="6" t="s">
        <v>5188</v>
      </c>
      <c r="F2160" s="6" t="s">
        <v>2682</v>
      </c>
      <c r="G2160" s="8">
        <v>46050</v>
      </c>
      <c r="H2160" s="6">
        <v>11.5</v>
      </c>
      <c r="I2160" s="6" cm="1">
        <f t="array" ref="I2160">IFERROR(VALUE(TRIM(LEFT(E2160,MIN(FIND({" ";"g";"k";"m";"o"},E2160&amp;" gkmo"))-1))),0)</f>
        <v>8.5</v>
      </c>
      <c r="J2160" s="6" t="str" cm="1">
        <f t="array" ref="J2160">IFERROR(TRIM(MID(E2160,MIN(FIND({" ";"g";"k";"m";"o"},E2160&amp;" gkmo")),10)),"unknown")</f>
        <v>oz</v>
      </c>
      <c r="K2160" s="6" t="str">
        <f t="shared" si="132"/>
        <v>unknown</v>
      </c>
      <c r="L2160" s="6" t="str">
        <f t="shared" si="133"/>
        <v>Mondelez</v>
      </c>
      <c r="M2160" s="6" t="str">
        <f t="shared" si="134"/>
        <v>Wheat Thins 100% Whole Grain</v>
      </c>
      <c r="N2160" s="6" t="str">
        <f t="shared" si="135"/>
        <v>United States</v>
      </c>
    </row>
    <row r="2161" spans="1:14" x14ac:dyDescent="0.25">
      <c r="A2161" s="6" t="s">
        <v>5189</v>
      </c>
      <c r="B2161" s="6">
        <v>12125</v>
      </c>
      <c r="C2161" s="6" t="s">
        <v>7815</v>
      </c>
      <c r="D2161" s="7" t="s">
        <v>199</v>
      </c>
      <c r="E2161" s="6" t="s">
        <v>200</v>
      </c>
      <c r="F2161" s="6" t="s">
        <v>7919</v>
      </c>
      <c r="G2161" s="8">
        <v>45781</v>
      </c>
      <c r="H2161" s="6">
        <v>7.93</v>
      </c>
      <c r="I2161" s="6" cm="1">
        <f t="array" ref="I2161">IFERROR(VALUE(TRIM(LEFT(E2161,MIN(FIND({" ";"g";"k";"m";"o"},E2161&amp;" gkmo"))-1))),0)</f>
        <v>285</v>
      </c>
      <c r="J2161" s="6" t="str" cm="1">
        <f t="array" ref="J2161">IFERROR(TRIM(MID(E2161,MIN(FIND({" ";"g";"k";"m";"o"},E2161&amp;" gkmo")),10)),"unknown")</f>
        <v>g</v>
      </c>
      <c r="K2161" s="6" t="str">
        <f t="shared" si="132"/>
        <v>g</v>
      </c>
      <c r="L2161" s="6" t="str">
        <f t="shared" si="133"/>
        <v>Bn</v>
      </c>
      <c r="M2161" s="6" t="str">
        <f t="shared" si="134"/>
        <v>Biscuits Fourrés Goà»T Chocolat Au Lait</v>
      </c>
      <c r="N2161" s="6" t="str">
        <f t="shared" si="135"/>
        <v>France, Morocco</v>
      </c>
    </row>
    <row r="2162" spans="1:14" x14ac:dyDescent="0.25">
      <c r="A2162" s="6" t="s">
        <v>5190</v>
      </c>
      <c r="B2162" s="6">
        <v>6584</v>
      </c>
      <c r="C2162" s="6" t="s">
        <v>7816</v>
      </c>
      <c r="D2162" s="7" t="s">
        <v>199</v>
      </c>
      <c r="E2162" s="6"/>
      <c r="F2162" s="6" t="s">
        <v>511</v>
      </c>
      <c r="G2162" s="8">
        <v>46054</v>
      </c>
      <c r="H2162" s="6">
        <v>6.82</v>
      </c>
      <c r="I2162" s="6" cm="1">
        <f t="array" ref="I2162">IFERROR(VALUE(TRIM(LEFT(E2162,MIN(FIND({" ";"g";"k";"m";"o"},E2162&amp;" gkmo"))-1))),0)</f>
        <v>0</v>
      </c>
      <c r="J2162" s="6" t="str" cm="1">
        <f t="array" ref="J2162">IFERROR(TRIM(MID(E2162,MIN(FIND({" ";"g";"k";"m";"o"},E2162&amp;" gkmo")),10)),"unknown")</f>
        <v/>
      </c>
      <c r="K2162" s="6" t="str">
        <f t="shared" si="132"/>
        <v>unknown</v>
      </c>
      <c r="L2162" s="6" t="str">
        <f t="shared" si="133"/>
        <v>Bn</v>
      </c>
      <c r="M2162" s="6" t="str">
        <f t="shared" si="134"/>
        <v>Bn Goà»T Framboise</v>
      </c>
      <c r="N2162" s="6" t="str">
        <f t="shared" si="135"/>
        <v>France,Morocco</v>
      </c>
    </row>
    <row r="2163" spans="1:14" x14ac:dyDescent="0.25">
      <c r="A2163" s="6" t="s">
        <v>5191</v>
      </c>
      <c r="B2163" s="6">
        <v>11353</v>
      </c>
      <c r="C2163" s="6" t="s">
        <v>5192</v>
      </c>
      <c r="D2163" s="7" t="s">
        <v>5193</v>
      </c>
      <c r="E2163" s="6" t="s">
        <v>284</v>
      </c>
      <c r="F2163" s="6" t="s">
        <v>7972</v>
      </c>
      <c r="G2163" s="8">
        <v>45920</v>
      </c>
      <c r="H2163" s="6">
        <v>15.6</v>
      </c>
      <c r="I2163" s="6" cm="1">
        <f t="array" ref="I2163">IFERROR(VALUE(TRIM(LEFT(E2163,MIN(FIND({" ";"g";"k";"m";"o"},E2163&amp;" gkmo"))-1))),0)</f>
        <v>180</v>
      </c>
      <c r="J2163" s="6" t="str" cm="1">
        <f t="array" ref="J2163">IFERROR(TRIM(MID(E2163,MIN(FIND({" ";"g";"k";"m";"o"},E2163&amp;" gkmo")),10)),"unknown")</f>
        <v>g</v>
      </c>
      <c r="K2163" s="6" t="str">
        <f t="shared" si="132"/>
        <v>g</v>
      </c>
      <c r="L2163" s="6" t="str">
        <f t="shared" si="133"/>
        <v>Sainsburys</v>
      </c>
      <c r="M2163" s="6" t="str">
        <f t="shared" si="134"/>
        <v>Corn Thins</v>
      </c>
      <c r="N2163" s="6" t="str">
        <f t="shared" si="135"/>
        <v>United States, United-Kingdom</v>
      </c>
    </row>
    <row r="2164" spans="1:14" x14ac:dyDescent="0.25">
      <c r="A2164" s="6" t="s">
        <v>5194</v>
      </c>
      <c r="B2164" s="6">
        <v>10686</v>
      </c>
      <c r="C2164" s="6" t="s">
        <v>5195</v>
      </c>
      <c r="D2164" s="7" t="s">
        <v>2266</v>
      </c>
      <c r="E2164" s="6" t="s">
        <v>5196</v>
      </c>
      <c r="F2164" s="6" t="s">
        <v>2973</v>
      </c>
      <c r="G2164" s="8">
        <v>45722</v>
      </c>
      <c r="H2164" s="6">
        <v>9.44</v>
      </c>
      <c r="I2164" s="6" cm="1">
        <f t="array" ref="I2164">IFERROR(VALUE(TRIM(LEFT(E2164,MIN(FIND({" ";"g";"k";"m";"o"},E2164&amp;" gkmo"))-1))),0)</f>
        <v>5</v>
      </c>
      <c r="J2164" s="6" t="str" cm="1">
        <f t="array" ref="J2164">IFERROR(TRIM(MID(E2164,MIN(FIND({" ";"g";"k";"m";"o"},E2164&amp;" gkmo")),10)),"unknown")</f>
        <v>pk</v>
      </c>
      <c r="K2164" s="6" t="str">
        <f t="shared" si="132"/>
        <v>unknown</v>
      </c>
      <c r="L2164" s="6" t="str">
        <f t="shared" si="133"/>
        <v>Snack A Jacks</v>
      </c>
      <c r="M2164" s="6" t="str">
        <f t="shared" si="134"/>
        <v>Sour Cream &amp; Chive Flavour Rice And Corn Snack</v>
      </c>
      <c r="N2164" s="6" t="str">
        <f t="shared" si="135"/>
        <v>Gb</v>
      </c>
    </row>
    <row r="2165" spans="1:14" x14ac:dyDescent="0.25">
      <c r="A2165" s="6" t="s">
        <v>5197</v>
      </c>
      <c r="B2165" s="6">
        <v>10756</v>
      </c>
      <c r="C2165" s="6" t="s">
        <v>5198</v>
      </c>
      <c r="D2165" s="7" t="s">
        <v>7590</v>
      </c>
      <c r="E2165" s="6"/>
      <c r="F2165" s="6" t="s">
        <v>139</v>
      </c>
      <c r="G2165" s="8">
        <v>45535</v>
      </c>
      <c r="H2165" s="6">
        <v>20.23</v>
      </c>
      <c r="I2165" s="6" cm="1">
        <f t="array" ref="I2165">IFERROR(VALUE(TRIM(LEFT(E2165,MIN(FIND({" ";"g";"k";"m";"o"},E2165&amp;" gkmo"))-1))),0)</f>
        <v>0</v>
      </c>
      <c r="J2165" s="6" t="str" cm="1">
        <f t="array" ref="J2165">IFERROR(TRIM(MID(E2165,MIN(FIND({" ";"g";"k";"m";"o"},E2165&amp;" gkmo")),10)),"unknown")</f>
        <v/>
      </c>
      <c r="K2165" s="6" t="str">
        <f t="shared" si="132"/>
        <v>unknown</v>
      </c>
      <c r="L2165" s="6" t="str">
        <f t="shared" si="133"/>
        <v>Maà®Tre Jean Pierre</v>
      </c>
      <c r="M2165" s="6" t="str">
        <f t="shared" si="134"/>
        <v>10 Pains Au Chocolats</v>
      </c>
      <c r="N2165" s="6" t="str">
        <f t="shared" si="135"/>
        <v>France</v>
      </c>
    </row>
    <row r="2166" spans="1:14" x14ac:dyDescent="0.25">
      <c r="A2166" s="6" t="s">
        <v>5199</v>
      </c>
      <c r="B2166" s="6">
        <v>10227</v>
      </c>
      <c r="C2166" s="6" t="s">
        <v>5200</v>
      </c>
      <c r="D2166" s="7" t="s">
        <v>306</v>
      </c>
      <c r="E2166" s="6" t="s">
        <v>528</v>
      </c>
      <c r="F2166" s="6" t="s">
        <v>2973</v>
      </c>
      <c r="G2166" s="8">
        <v>45574</v>
      </c>
      <c r="H2166" s="6">
        <v>12.04</v>
      </c>
      <c r="I2166" s="6" cm="1">
        <f t="array" ref="I2166">IFERROR(VALUE(TRIM(LEFT(E2166,MIN(FIND({" ";"g";"k";"m";"o"},E2166&amp;" gkmo"))-1))),0)</f>
        <v>200</v>
      </c>
      <c r="J2166" s="6" t="str" cm="1">
        <f t="array" ref="J2166">IFERROR(TRIM(MID(E2166,MIN(FIND({" ";"g";"k";"m";"o"},E2166&amp;" gkmo")),10)),"unknown")</f>
        <v>g</v>
      </c>
      <c r="K2166" s="6" t="str">
        <f t="shared" si="132"/>
        <v>g</v>
      </c>
      <c r="L2166" s="6" t="str">
        <f t="shared" si="133"/>
        <v>Lu</v>
      </c>
      <c r="M2166" s="6" t="str">
        <f t="shared" si="134"/>
        <v>Le Petiy Biscotte Crunchy Cinnamon And Brown Sugar Biscuits</v>
      </c>
      <c r="N2166" s="6" t="str">
        <f t="shared" si="135"/>
        <v>Gb</v>
      </c>
    </row>
    <row r="2167" spans="1:14" x14ac:dyDescent="0.25">
      <c r="A2167" s="6" t="s">
        <v>5201</v>
      </c>
      <c r="B2167" s="6">
        <v>12543</v>
      </c>
      <c r="C2167" s="6" t="s">
        <v>2010</v>
      </c>
      <c r="D2167" s="7" t="s">
        <v>1167</v>
      </c>
      <c r="E2167" s="6"/>
      <c r="F2167" s="6" t="s">
        <v>177</v>
      </c>
      <c r="G2167" s="8">
        <v>45336</v>
      </c>
      <c r="H2167" s="6">
        <v>8.99</v>
      </c>
      <c r="I2167" s="6" cm="1">
        <f t="array" ref="I2167">IFERROR(VALUE(TRIM(LEFT(E2167,MIN(FIND({" ";"g";"k";"m";"o"},E2167&amp;" gkmo"))-1))),0)</f>
        <v>0</v>
      </c>
      <c r="J2167" s="6" t="str" cm="1">
        <f t="array" ref="J2167">IFERROR(TRIM(MID(E2167,MIN(FIND({" ";"g";"k";"m";"o"},E2167&amp;" gkmo")),10)),"unknown")</f>
        <v/>
      </c>
      <c r="K2167" s="6" t="str">
        <f t="shared" si="132"/>
        <v>unknown</v>
      </c>
      <c r="L2167" s="6" t="str">
        <f t="shared" si="133"/>
        <v>Lidl</v>
      </c>
      <c r="M2167" s="6" t="str">
        <f t="shared" si="134"/>
        <v>Tortilla Chips</v>
      </c>
      <c r="N2167" s="6" t="str">
        <f t="shared" si="135"/>
        <v>United Kingdom</v>
      </c>
    </row>
    <row r="2168" spans="1:14" x14ac:dyDescent="0.25">
      <c r="A2168" s="6" t="s">
        <v>5202</v>
      </c>
      <c r="B2168" s="6">
        <v>12228</v>
      </c>
      <c r="C2168" s="6" t="s">
        <v>7336</v>
      </c>
      <c r="D2168" s="7" t="s">
        <v>7017</v>
      </c>
      <c r="E2168" s="6"/>
      <c r="F2168" s="6" t="s">
        <v>860</v>
      </c>
      <c r="G2168" s="8">
        <v>45512</v>
      </c>
      <c r="H2168" s="6">
        <v>1.83</v>
      </c>
      <c r="I2168" s="6" cm="1">
        <f t="array" ref="I2168">IFERROR(VALUE(TRIM(LEFT(E2168,MIN(FIND({" ";"g";"k";"m";"o"},E2168&amp;" gkmo"))-1))),0)</f>
        <v>0</v>
      </c>
      <c r="J2168" s="6" t="str" cm="1">
        <f t="array" ref="J2168">IFERROR(TRIM(MID(E2168,MIN(FIND({" ";"g";"k";"m";"o"},E2168&amp;" gkmo")),10)),"unknown")</f>
        <v/>
      </c>
      <c r="K2168" s="6" t="str">
        <f t="shared" si="132"/>
        <v>unknown</v>
      </c>
      <c r="L2168" s="6" t="str">
        <f t="shared" si="133"/>
        <v>Unknown</v>
      </c>
      <c r="M2168" s="6" t="str">
        <f t="shared" si="134"/>
        <v>Sablé Canelle</v>
      </c>
      <c r="N2168" s="6" t="str">
        <f t="shared" si="135"/>
        <v>Ma</v>
      </c>
    </row>
    <row r="2169" spans="1:14" x14ac:dyDescent="0.25">
      <c r="A2169" s="6" t="s">
        <v>5203</v>
      </c>
      <c r="B2169" s="6">
        <v>10923</v>
      </c>
      <c r="C2169" s="6" t="s">
        <v>7817</v>
      </c>
      <c r="D2169" s="7" t="s">
        <v>7030</v>
      </c>
      <c r="E2169" s="6" t="s">
        <v>676</v>
      </c>
      <c r="F2169" s="6" t="s">
        <v>5759</v>
      </c>
      <c r="G2169" s="8">
        <v>45961</v>
      </c>
      <c r="H2169" s="6">
        <v>24.27</v>
      </c>
      <c r="I2169" s="6" cm="1">
        <f t="array" ref="I2169">IFERROR(VALUE(TRIM(LEFT(E2169,MIN(FIND({" ";"g";"k";"m";"o"},E2169&amp;" gkmo"))-1))),0)</f>
        <v>180</v>
      </c>
      <c r="J2169" s="6" t="str" cm="1">
        <f t="array" ref="J2169">IFERROR(TRIM(MID(E2169,MIN(FIND({" ";"g";"k";"m";"o"},E2169&amp;" gkmo")),10)),"unknown")</f>
        <v>g</v>
      </c>
      <c r="K2169" s="6" t="str">
        <f t="shared" si="132"/>
        <v>g</v>
      </c>
      <c r="L2169" s="6" t="str">
        <f t="shared" si="133"/>
        <v>Gerblé</v>
      </c>
      <c r="M2169" s="6" t="str">
        <f t="shared" si="134"/>
        <v>Biscuits Fourrés À  La Noisettes Et Cacao Sans Sucre</v>
      </c>
      <c r="N2169" s="6" t="str">
        <f t="shared" si="135"/>
        <v>Fr</v>
      </c>
    </row>
    <row r="2170" spans="1:14" x14ac:dyDescent="0.25">
      <c r="A2170" s="6" t="s">
        <v>5204</v>
      </c>
      <c r="B2170" s="6">
        <v>11725</v>
      </c>
      <c r="C2170" s="6" t="s">
        <v>5205</v>
      </c>
      <c r="D2170" s="7" t="s">
        <v>1348</v>
      </c>
      <c r="E2170" s="6"/>
      <c r="F2170" s="6" t="s">
        <v>2973</v>
      </c>
      <c r="G2170" s="8">
        <v>45809</v>
      </c>
      <c r="H2170" s="6">
        <v>2.09</v>
      </c>
      <c r="I2170" s="6" cm="1">
        <f t="array" ref="I2170">IFERROR(VALUE(TRIM(LEFT(E2170,MIN(FIND({" ";"g";"k";"m";"o"},E2170&amp;" gkmo"))-1))),0)</f>
        <v>0</v>
      </c>
      <c r="J2170" s="6" t="str" cm="1">
        <f t="array" ref="J2170">IFERROR(TRIM(MID(E2170,MIN(FIND({" ";"g";"k";"m";"o"},E2170&amp;" gkmo")),10)),"unknown")</f>
        <v/>
      </c>
      <c r="K2170" s="6" t="str">
        <f t="shared" si="132"/>
        <v>unknown</v>
      </c>
      <c r="L2170" s="6" t="str">
        <f t="shared" si="133"/>
        <v>Cadbury</v>
      </c>
      <c r="M2170" s="6" t="str">
        <f t="shared" si="134"/>
        <v>Dairy Milk Fruit &amp; Nut</v>
      </c>
      <c r="N2170" s="6" t="str">
        <f t="shared" si="135"/>
        <v>Gb</v>
      </c>
    </row>
    <row r="2171" spans="1:14" x14ac:dyDescent="0.25">
      <c r="A2171" s="6" t="s">
        <v>5206</v>
      </c>
      <c r="B2171" s="6">
        <v>7471</v>
      </c>
      <c r="C2171" s="6" t="s">
        <v>645</v>
      </c>
      <c r="D2171" s="7" t="s">
        <v>7033</v>
      </c>
      <c r="E2171" s="6" t="s">
        <v>3286</v>
      </c>
      <c r="F2171" s="6" t="s">
        <v>7960</v>
      </c>
      <c r="G2171" s="8">
        <v>45330</v>
      </c>
      <c r="H2171" s="6">
        <v>19.149999999999999</v>
      </c>
      <c r="I2171" s="6" cm="1">
        <f t="array" ref="I2171">IFERROR(VALUE(TRIM(LEFT(E2171,MIN(FIND({" ";"g";"k";"m";"o"},E2171&amp;" gkmo"))-1))),0)</f>
        <v>115</v>
      </c>
      <c r="J2171" s="6" t="str" cm="1">
        <f t="array" ref="J2171">IFERROR(TRIM(MID(E2171,MIN(FIND({" ";"g";"k";"m";"o"},E2171&amp;" gkmo")),10)),"unknown")</f>
        <v>g</v>
      </c>
      <c r="K2171" s="6" t="str">
        <f t="shared" si="132"/>
        <v>g</v>
      </c>
      <c r="L2171" s="6" t="str">
        <f t="shared" si="133"/>
        <v>Nestlé</v>
      </c>
      <c r="M2171" s="6" t="str">
        <f t="shared" si="134"/>
        <v>Chocolate Negro</v>
      </c>
      <c r="N2171" s="6" t="str">
        <f t="shared" si="135"/>
        <v>Spain, Morocco</v>
      </c>
    </row>
    <row r="2172" spans="1:14" x14ac:dyDescent="0.25">
      <c r="A2172" s="6" t="s">
        <v>5207</v>
      </c>
      <c r="B2172" s="6">
        <v>10415</v>
      </c>
      <c r="C2172" s="6" t="s">
        <v>5208</v>
      </c>
      <c r="D2172" s="7" t="s">
        <v>5209</v>
      </c>
      <c r="E2172" s="6" t="s">
        <v>2590</v>
      </c>
      <c r="F2172" s="6" t="s">
        <v>1774</v>
      </c>
      <c r="G2172" s="8">
        <v>45684</v>
      </c>
      <c r="H2172" s="6">
        <v>6.07</v>
      </c>
      <c r="I2172" s="6" cm="1">
        <f t="array" ref="I2172">IFERROR(VALUE(TRIM(LEFT(E2172,MIN(FIND({" ";"g";"k";"m";"o"},E2172&amp;" gkmo"))-1))),0)</f>
        <v>5</v>
      </c>
      <c r="J2172" s="6" t="str" cm="1">
        <f t="array" ref="J2172">IFERROR(TRIM(MID(E2172,MIN(FIND({" ";"g";"k";"m";"o"},E2172&amp;" gkmo")),10)),"unknown")</f>
        <v>x 20 g</v>
      </c>
      <c r="K2172" s="6" t="str">
        <f t="shared" si="132"/>
        <v>g</v>
      </c>
      <c r="L2172" s="6" t="str">
        <f t="shared" si="133"/>
        <v>Skinny Whip</v>
      </c>
      <c r="M2172" s="6" t="str">
        <f t="shared" si="134"/>
        <v>Mint</v>
      </c>
      <c r="N2172" s="6" t="str">
        <f t="shared" si="135"/>
        <v>Ireland,United Kingdom</v>
      </c>
    </row>
    <row r="2173" spans="1:14" x14ac:dyDescent="0.25">
      <c r="A2173" s="6" t="s">
        <v>5210</v>
      </c>
      <c r="B2173" s="6">
        <v>8111</v>
      </c>
      <c r="C2173" s="6" t="s">
        <v>1010</v>
      </c>
      <c r="D2173" s="7" t="s">
        <v>1010</v>
      </c>
      <c r="E2173" s="6" t="s">
        <v>1886</v>
      </c>
      <c r="F2173" s="6" t="s">
        <v>7940</v>
      </c>
      <c r="G2173" s="8">
        <v>45787</v>
      </c>
      <c r="H2173" s="6">
        <v>24.79</v>
      </c>
      <c r="I2173" s="6" cm="1">
        <f t="array" ref="I2173">IFERROR(VALUE(TRIM(LEFT(E2173,MIN(FIND({" ";"g";"k";"m";"o"},E2173&amp;" gkmo"))-1))),0)</f>
        <v>140</v>
      </c>
      <c r="J2173" s="6" t="str" cm="1">
        <f t="array" ref="J2173">IFERROR(TRIM(MID(E2173,MIN(FIND({" ";"g";"k";"m";"o"},E2173&amp;" gkmo")),10)),"unknown")</f>
        <v>g</v>
      </c>
      <c r="K2173" s="6" t="str">
        <f t="shared" si="132"/>
        <v>g</v>
      </c>
      <c r="L2173" s="6" t="str">
        <f t="shared" si="133"/>
        <v>Manomasa</v>
      </c>
      <c r="M2173" s="6" t="str">
        <f t="shared" si="134"/>
        <v>Manomasa</v>
      </c>
      <c r="N2173" s="6" t="str">
        <f t="shared" si="135"/>
        <v>Ireland, United-Kingdom</v>
      </c>
    </row>
    <row r="2174" spans="1:14" x14ac:dyDescent="0.25">
      <c r="A2174" s="6" t="s">
        <v>5211</v>
      </c>
      <c r="B2174" s="6">
        <v>10222</v>
      </c>
      <c r="C2174" s="6" t="s">
        <v>5212</v>
      </c>
      <c r="D2174" s="7" t="s">
        <v>814</v>
      </c>
      <c r="E2174" s="6"/>
      <c r="F2174" s="6" t="s">
        <v>8131</v>
      </c>
      <c r="G2174" s="8">
        <v>45642</v>
      </c>
      <c r="H2174" s="6">
        <v>22.69</v>
      </c>
      <c r="I2174" s="6" cm="1">
        <f t="array" ref="I2174">IFERROR(VALUE(TRIM(LEFT(E2174,MIN(FIND({" ";"g";"k";"m";"o"},E2174&amp;" gkmo"))-1))),0)</f>
        <v>0</v>
      </c>
      <c r="J2174" s="6" t="str" cm="1">
        <f t="array" ref="J2174">IFERROR(TRIM(MID(E2174,MIN(FIND({" ";"g";"k";"m";"o"},E2174&amp;" gkmo")),10)),"unknown")</f>
        <v/>
      </c>
      <c r="K2174" s="6" t="str">
        <f t="shared" si="132"/>
        <v>unknown</v>
      </c>
      <c r="L2174" s="6" t="str">
        <f t="shared" si="133"/>
        <v>Mondelez</v>
      </c>
      <c r="M2174" s="6" t="str">
        <f t="shared" si="134"/>
        <v>Halls Cherry</v>
      </c>
      <c r="N2174" s="6" t="str">
        <f t="shared" si="135"/>
        <v>Egypt, Morocco</v>
      </c>
    </row>
    <row r="2175" spans="1:14" x14ac:dyDescent="0.25">
      <c r="A2175" s="6" t="s">
        <v>5213</v>
      </c>
      <c r="B2175" s="6">
        <v>11970</v>
      </c>
      <c r="C2175" s="6" t="s">
        <v>5214</v>
      </c>
      <c r="D2175" s="7" t="s">
        <v>587</v>
      </c>
      <c r="E2175" s="6" t="s">
        <v>1312</v>
      </c>
      <c r="F2175" s="6" t="s">
        <v>2973</v>
      </c>
      <c r="G2175" s="8">
        <v>45955</v>
      </c>
      <c r="H2175" s="6">
        <v>21.56</v>
      </c>
      <c r="I2175" s="6" cm="1">
        <f t="array" ref="I2175">IFERROR(VALUE(TRIM(LEFT(E2175,MIN(FIND({" ";"g";"k";"m";"o"},E2175&amp;" gkmo"))-1))),0)</f>
        <v>50</v>
      </c>
      <c r="J2175" s="6" t="str" cm="1">
        <f t="array" ref="J2175">IFERROR(TRIM(MID(E2175,MIN(FIND({" ";"g";"k";"m";"o"},E2175&amp;" gkmo")),10)),"unknown")</f>
        <v>g</v>
      </c>
      <c r="K2175" s="6" t="str">
        <f t="shared" si="132"/>
        <v>g</v>
      </c>
      <c r="L2175" s="6" t="str">
        <f t="shared" si="133"/>
        <v>Graze</v>
      </c>
      <c r="M2175" s="6" t="str">
        <f t="shared" si="134"/>
        <v>Lively Lemon Oat Boosts</v>
      </c>
      <c r="N2175" s="6" t="str">
        <f t="shared" si="135"/>
        <v>Gb</v>
      </c>
    </row>
    <row r="2176" spans="1:14" x14ac:dyDescent="0.25">
      <c r="A2176" s="6" t="s">
        <v>5215</v>
      </c>
      <c r="B2176" s="6">
        <v>6295</v>
      </c>
      <c r="C2176" s="6" t="s">
        <v>5216</v>
      </c>
      <c r="D2176" s="7" t="s">
        <v>1307</v>
      </c>
      <c r="E2176" s="6"/>
      <c r="F2176" s="6" t="s">
        <v>177</v>
      </c>
      <c r="G2176" s="8">
        <v>45997</v>
      </c>
      <c r="H2176" s="6">
        <v>15.59</v>
      </c>
      <c r="I2176" s="6" cm="1">
        <f t="array" ref="I2176">IFERROR(VALUE(TRIM(LEFT(E2176,MIN(FIND({" ";"g";"k";"m";"o"},E2176&amp;" gkmo"))-1))),0)</f>
        <v>0</v>
      </c>
      <c r="J2176" s="6" t="str" cm="1">
        <f t="array" ref="J2176">IFERROR(TRIM(MID(E2176,MIN(FIND({" ";"g";"k";"m";"o"},E2176&amp;" gkmo")),10)),"unknown")</f>
        <v/>
      </c>
      <c r="K2176" s="6" t="str">
        <f t="shared" si="132"/>
        <v>unknown</v>
      </c>
      <c r="L2176" s="6" t="str">
        <f t="shared" si="133"/>
        <v>Graze</v>
      </c>
      <c r="M2176" s="6" t="str">
        <f t="shared" si="134"/>
        <v>Lemon Blueberry</v>
      </c>
      <c r="N2176" s="6" t="str">
        <f t="shared" si="135"/>
        <v>United Kingdom</v>
      </c>
    </row>
    <row r="2177" spans="1:14" x14ac:dyDescent="0.25">
      <c r="A2177" s="6" t="s">
        <v>5217</v>
      </c>
      <c r="B2177" s="6">
        <v>7753</v>
      </c>
      <c r="C2177" s="6" t="s">
        <v>5218</v>
      </c>
      <c r="D2177" s="7" t="s">
        <v>5219</v>
      </c>
      <c r="E2177" s="6" t="s">
        <v>1020</v>
      </c>
      <c r="F2177" s="6" t="s">
        <v>4701</v>
      </c>
      <c r="G2177" s="8">
        <v>45671</v>
      </c>
      <c r="H2177" s="6">
        <v>1.21</v>
      </c>
      <c r="I2177" s="6" cm="1">
        <f t="array" ref="I2177">IFERROR(VALUE(TRIM(LEFT(E2177,MIN(FIND({" ";"g";"k";"m";"o"},E2177&amp;" gkmo"))-1))),0)</f>
        <v>60</v>
      </c>
      <c r="J2177" s="6" t="str" cm="1">
        <f t="array" ref="J2177">IFERROR(TRIM(MID(E2177,MIN(FIND({" ";"g";"k";"m";"o"},E2177&amp;" gkmo")),10)),"unknown")</f>
        <v>g</v>
      </c>
      <c r="K2177" s="6" t="str">
        <f t="shared" si="132"/>
        <v>g</v>
      </c>
      <c r="L2177" s="6" t="str">
        <f t="shared" si="133"/>
        <v>Britannia</v>
      </c>
      <c r="M2177" s="6" t="str">
        <f t="shared" si="134"/>
        <v>Bourbon</v>
      </c>
      <c r="N2177" s="6" t="str">
        <f t="shared" si="135"/>
        <v>India</v>
      </c>
    </row>
    <row r="2178" spans="1:14" x14ac:dyDescent="0.25">
      <c r="A2178" s="6" t="s">
        <v>5220</v>
      </c>
      <c r="B2178" s="6">
        <v>12587</v>
      </c>
      <c r="C2178" s="6" t="s">
        <v>5221</v>
      </c>
      <c r="D2178" s="7" t="s">
        <v>7017</v>
      </c>
      <c r="E2178" s="6" t="s">
        <v>1886</v>
      </c>
      <c r="F2178" s="6" t="s">
        <v>5222</v>
      </c>
      <c r="G2178" s="8">
        <v>45444</v>
      </c>
      <c r="H2178" s="6">
        <v>21.85</v>
      </c>
      <c r="I2178" s="6" cm="1">
        <f t="array" ref="I2178">IFERROR(VALUE(TRIM(LEFT(E2178,MIN(FIND({" ";"g";"k";"m";"o"},E2178&amp;" gkmo"))-1))),0)</f>
        <v>140</v>
      </c>
      <c r="J2178" s="6" t="str" cm="1">
        <f t="array" ref="J2178">IFERROR(TRIM(MID(E2178,MIN(FIND({" ";"g";"k";"m";"o"},E2178&amp;" gkmo")),10)),"unknown")</f>
        <v>g</v>
      </c>
      <c r="K2178" s="6" t="str">
        <f t="shared" ref="K2178:K2241" si="136">IF(E2178="","unknown",IF(OR(J2178="g",LEFT(J2178,1)="g"),"g",IF(OR(LEFT(J2178,2)="kg",LEFT(J2178,2)="ki"),"kg",IF(OR(LEFT(J2178,2)="ml",LEFT(J2178,1)="m"),"ml",IF(LEFT(J2178,1)="l","l",IF(ISNUMBER(SEARCH("g",E2178)),"g",IF(ISNUMBER(SEARCH("kg",E2178)),"kg",IF(ISNUMBER(SEARCH("ml",E2178)),"ml","unknown"))))))))</f>
        <v>g</v>
      </c>
      <c r="L2178" s="6" t="str">
        <f t="shared" ref="L2178:L2241" si="137">IF(D2178="","Unknown",PROPER(TRIM(D2178)))</f>
        <v>Unknown</v>
      </c>
      <c r="M2178" s="6" t="str">
        <f t="shared" ref="M2178:M2241" si="138">IF(C2178="Unknown","Unknown",PROPER(TRIM(C2178)))</f>
        <v>Sour Shox</v>
      </c>
      <c r="N2178" s="6" t="str">
        <f t="shared" si="135"/>
        <v>United Kingdom,United States</v>
      </c>
    </row>
    <row r="2179" spans="1:14" x14ac:dyDescent="0.25">
      <c r="A2179" s="6" t="s">
        <v>5223</v>
      </c>
      <c r="B2179" s="6">
        <v>11032</v>
      </c>
      <c r="C2179" s="6" t="s">
        <v>5224</v>
      </c>
      <c r="D2179" s="7" t="s">
        <v>5225</v>
      </c>
      <c r="E2179" s="6" t="s">
        <v>5226</v>
      </c>
      <c r="F2179" s="6" t="s">
        <v>177</v>
      </c>
      <c r="G2179" s="8">
        <v>45666</v>
      </c>
      <c r="H2179" s="6">
        <v>19.18</v>
      </c>
      <c r="I2179" s="6" cm="1">
        <f t="array" ref="I2179">IFERROR(VALUE(TRIM(LEFT(E2179,MIN(FIND({" ";"g";"k";"m";"o"},E2179&amp;" gkmo"))-1))),0)</f>
        <v>140</v>
      </c>
      <c r="J2179" s="6" t="str" cm="1">
        <f t="array" ref="J2179">IFERROR(TRIM(MID(E2179,MIN(FIND({" ";"g";"k";"m";"o"},E2179&amp;" gkmo")),10)),"unknown")</f>
        <v>g (5 x 28</v>
      </c>
      <c r="K2179" s="6" t="str">
        <f t="shared" si="136"/>
        <v>g</v>
      </c>
      <c r="L2179" s="6" t="str">
        <f t="shared" si="137"/>
        <v>Pick Up!</v>
      </c>
      <c r="M2179" s="6" t="str">
        <f t="shared" si="138"/>
        <v>Pick Up! Original</v>
      </c>
      <c r="N2179" s="6" t="str">
        <f t="shared" ref="N2179:N2242" si="139">IF(F2179="","Unknown",PROPER(TRIM(F2179)))</f>
        <v>United Kingdom</v>
      </c>
    </row>
    <row r="2180" spans="1:14" x14ac:dyDescent="0.25">
      <c r="A2180" s="6" t="s">
        <v>5227</v>
      </c>
      <c r="B2180" s="6">
        <v>7507</v>
      </c>
      <c r="C2180" s="6" t="s">
        <v>7818</v>
      </c>
      <c r="D2180" s="7" t="s">
        <v>5228</v>
      </c>
      <c r="E2180" s="6" t="s">
        <v>138</v>
      </c>
      <c r="F2180" s="6" t="s">
        <v>7599</v>
      </c>
      <c r="G2180" s="8">
        <v>45371</v>
      </c>
      <c r="H2180" s="6">
        <v>21.62</v>
      </c>
      <c r="I2180" s="6" cm="1">
        <f t="array" ref="I2180">IFERROR(VALUE(TRIM(LEFT(E2180,MIN(FIND({" ";"g";"k";"m";"o"},E2180&amp;" gkmo"))-1))),0)</f>
        <v>400</v>
      </c>
      <c r="J2180" s="6" t="str" cm="1">
        <f t="array" ref="J2180">IFERROR(TRIM(MID(E2180,MIN(FIND({" ";"g";"k";"m";"o"},E2180&amp;" gkmo")),10)),"unknown")</f>
        <v>g</v>
      </c>
      <c r="K2180" s="6" t="str">
        <f t="shared" si="136"/>
        <v>g</v>
      </c>
      <c r="L2180" s="6" t="str">
        <f t="shared" si="137"/>
        <v>Artiach</v>
      </c>
      <c r="M2180" s="6" t="str">
        <f t="shared" si="138"/>
        <v>Marbàº Dorada 0% Azàºcares Aà±Adidos</v>
      </c>
      <c r="N2180" s="6" t="str">
        <f t="shared" si="139"/>
        <v>Marruecos,Espaà±A</v>
      </c>
    </row>
    <row r="2181" spans="1:14" x14ac:dyDescent="0.25">
      <c r="A2181" s="6" t="s">
        <v>5229</v>
      </c>
      <c r="B2181" s="6">
        <v>5326</v>
      </c>
      <c r="C2181" s="6" t="s">
        <v>5230</v>
      </c>
      <c r="D2181" s="7" t="s">
        <v>7337</v>
      </c>
      <c r="E2181" s="6" t="s">
        <v>39</v>
      </c>
      <c r="F2181" s="6" t="s">
        <v>442</v>
      </c>
      <c r="G2181" s="8">
        <v>45382</v>
      </c>
      <c r="H2181" s="6">
        <v>13.16</v>
      </c>
      <c r="I2181" s="6" cm="1">
        <f t="array" ref="I2181">IFERROR(VALUE(TRIM(LEFT(E2181,MIN(FIND({" ";"g";"k";"m";"o"},E2181&amp;" gkmo"))-1))),0)</f>
        <v>150</v>
      </c>
      <c r="J2181" s="6" t="str" cm="1">
        <f t="array" ref="J2181">IFERROR(TRIM(MID(E2181,MIN(FIND({" ";"g";"k";"m";"o"},E2181&amp;" gkmo")),10)),"unknown")</f>
        <v>g</v>
      </c>
      <c r="K2181" s="6" t="str">
        <f t="shared" si="136"/>
        <v>g</v>
      </c>
      <c r="L2181" s="6" t="str">
        <f t="shared" si="137"/>
        <v>Céliane</v>
      </c>
      <c r="M2181" s="6" t="str">
        <f t="shared" si="138"/>
        <v>Cookies Chocolat Noir</v>
      </c>
      <c r="N2181" s="6" t="str">
        <f t="shared" si="139"/>
        <v>Frankreich</v>
      </c>
    </row>
    <row r="2182" spans="1:14" x14ac:dyDescent="0.25">
      <c r="A2182" s="6" t="s">
        <v>5231</v>
      </c>
      <c r="B2182" s="6">
        <v>11058</v>
      </c>
      <c r="C2182" s="6" t="s">
        <v>7017</v>
      </c>
      <c r="D2182" s="7" t="s">
        <v>13</v>
      </c>
      <c r="E2182" s="6"/>
      <c r="F2182" s="6" t="s">
        <v>139</v>
      </c>
      <c r="G2182" s="8">
        <v>45705</v>
      </c>
      <c r="H2182" s="6">
        <v>13.16</v>
      </c>
      <c r="I2182" s="6" cm="1">
        <f t="array" ref="I2182">IFERROR(VALUE(TRIM(LEFT(E2182,MIN(FIND({" ";"g";"k";"m";"o"},E2182&amp;" gkmo"))-1))),0)</f>
        <v>0</v>
      </c>
      <c r="J2182" s="6" t="str" cm="1">
        <f t="array" ref="J2182">IFERROR(TRIM(MID(E2182,MIN(FIND({" ";"g";"k";"m";"o"},E2182&amp;" gkmo")),10)),"unknown")</f>
        <v/>
      </c>
      <c r="K2182" s="6" t="str">
        <f t="shared" si="136"/>
        <v>unknown</v>
      </c>
      <c r="L2182" s="6" t="str">
        <f t="shared" si="137"/>
        <v>Lu</v>
      </c>
      <c r="M2182" s="6" t="str">
        <f t="shared" si="138"/>
        <v>Unknown</v>
      </c>
      <c r="N2182" s="6" t="str">
        <f t="shared" si="139"/>
        <v>France</v>
      </c>
    </row>
    <row r="2183" spans="1:14" x14ac:dyDescent="0.25">
      <c r="A2183" s="6" t="s">
        <v>5232</v>
      </c>
      <c r="B2183" s="6">
        <v>9008</v>
      </c>
      <c r="C2183" s="6" t="s">
        <v>5233</v>
      </c>
      <c r="D2183" s="7" t="s">
        <v>726</v>
      </c>
      <c r="E2183" s="6" t="s">
        <v>5234</v>
      </c>
      <c r="F2183" s="6" t="s">
        <v>8132</v>
      </c>
      <c r="G2183" s="8">
        <v>45614</v>
      </c>
      <c r="H2183" s="6">
        <v>13.39</v>
      </c>
      <c r="I2183" s="6" cm="1">
        <f t="array" ref="I2183">IFERROR(VALUE(TRIM(LEFT(E2183,MIN(FIND({" ";"g";"k";"m";"o"},E2183&amp;" gkmo"))-1))),0)</f>
        <v>0</v>
      </c>
      <c r="J2183" s="6" t="str" cm="1">
        <f t="array" ref="J2183">IFERROR(TRIM(MID(E2183,MIN(FIND({" ";"g";"k";"m";"o"},E2183&amp;" gkmo")),10)),"unknown")</f>
        <v/>
      </c>
      <c r="K2183" s="6" t="str">
        <f t="shared" si="136"/>
        <v>g</v>
      </c>
      <c r="L2183" s="6" t="str">
        <f t="shared" si="137"/>
        <v>Walkers</v>
      </c>
      <c r="M2183" s="6" t="str">
        <f t="shared" si="138"/>
        <v>Shortbread Highlanders</v>
      </c>
      <c r="N2183" s="6" t="str">
        <f t="shared" si="139"/>
        <v>France, Germany, United Kingdom, Switzerland</v>
      </c>
    </row>
    <row r="2184" spans="1:14" x14ac:dyDescent="0.25">
      <c r="A2184" s="6" t="s">
        <v>5235</v>
      </c>
      <c r="B2184" s="6">
        <v>14834</v>
      </c>
      <c r="C2184" s="6" t="s">
        <v>5236</v>
      </c>
      <c r="D2184" s="7" t="s">
        <v>5237</v>
      </c>
      <c r="E2184" s="6" t="s">
        <v>5238</v>
      </c>
      <c r="F2184" s="6" t="s">
        <v>2682</v>
      </c>
      <c r="G2184" s="8">
        <v>45447</v>
      </c>
      <c r="H2184" s="6">
        <v>15.49</v>
      </c>
      <c r="I2184" s="6" cm="1">
        <f t="array" ref="I2184">IFERROR(VALUE(TRIM(LEFT(E2184,MIN(FIND({" ";"g";"k";"m";"o"},E2184&amp;" gkmo"))-1))),0)</f>
        <v>13.7</v>
      </c>
      <c r="J2184" s="6" t="str" cm="1">
        <f t="array" ref="J2184">IFERROR(TRIM(MID(E2184,MIN(FIND({" ";"g";"k";"m";"o"},E2184&amp;" gkmo")),10)),"unknown")</f>
        <v>OZ (388g)</v>
      </c>
      <c r="K2184" s="6" t="str">
        <f t="shared" si="136"/>
        <v>g</v>
      </c>
      <c r="L2184" s="6" t="str">
        <f t="shared" si="137"/>
        <v>Mondelez International</v>
      </c>
      <c r="M2184" s="6" t="str">
        <f t="shared" si="138"/>
        <v>Ritz Crackers The Original</v>
      </c>
      <c r="N2184" s="6" t="str">
        <f t="shared" si="139"/>
        <v>United States</v>
      </c>
    </row>
    <row r="2185" spans="1:14" x14ac:dyDescent="0.25">
      <c r="A2185" s="6" t="s">
        <v>5239</v>
      </c>
      <c r="B2185" s="6">
        <v>10804</v>
      </c>
      <c r="C2185" s="6" t="s">
        <v>5240</v>
      </c>
      <c r="D2185" s="7" t="s">
        <v>5241</v>
      </c>
      <c r="E2185" s="6"/>
      <c r="F2185" s="6" t="s">
        <v>2682</v>
      </c>
      <c r="G2185" s="8">
        <v>45677</v>
      </c>
      <c r="H2185" s="6">
        <v>7.96</v>
      </c>
      <c r="I2185" s="6" cm="1">
        <f t="array" ref="I2185">IFERROR(VALUE(TRIM(LEFT(E2185,MIN(FIND({" ";"g";"k";"m";"o"},E2185&amp;" gkmo"))-1))),0)</f>
        <v>0</v>
      </c>
      <c r="J2185" s="6" t="str" cm="1">
        <f t="array" ref="J2185">IFERROR(TRIM(MID(E2185,MIN(FIND({" ";"g";"k";"m";"o"},E2185&amp;" gkmo")),10)),"unknown")</f>
        <v/>
      </c>
      <c r="K2185" s="6" t="str">
        <f t="shared" si="136"/>
        <v>unknown</v>
      </c>
      <c r="L2185" s="6" t="str">
        <f t="shared" si="137"/>
        <v>Jiffy</v>
      </c>
      <c r="M2185" s="6" t="str">
        <f t="shared" si="138"/>
        <v>Corn Muffin Mix</v>
      </c>
      <c r="N2185" s="6" t="str">
        <f t="shared" si="139"/>
        <v>United States</v>
      </c>
    </row>
    <row r="2186" spans="1:14" x14ac:dyDescent="0.25">
      <c r="A2186" s="6" t="s">
        <v>5242</v>
      </c>
      <c r="B2186" s="6">
        <v>5041</v>
      </c>
      <c r="C2186" s="6" t="s">
        <v>5243</v>
      </c>
      <c r="D2186" s="7" t="s">
        <v>5244</v>
      </c>
      <c r="E2186" s="6" t="s">
        <v>848</v>
      </c>
      <c r="F2186" s="6" t="s">
        <v>8133</v>
      </c>
      <c r="G2186" s="8">
        <v>45653</v>
      </c>
      <c r="H2186" s="6">
        <v>6.48</v>
      </c>
      <c r="I2186" s="6" cm="1">
        <f t="array" ref="I2186">IFERROR(VALUE(TRIM(LEFT(E2186,MIN(FIND({" ";"g";"k";"m";"o"},E2186&amp;" gkmo"))-1))),0)</f>
        <v>32</v>
      </c>
      <c r="J2186" s="6" t="str" cm="1">
        <f t="array" ref="J2186">IFERROR(TRIM(MID(E2186,MIN(FIND({" ";"g";"k";"m";"o"},E2186&amp;" gkmo")),10)),"unknown")</f>
        <v>g</v>
      </c>
      <c r="K2186" s="6" t="str">
        <f t="shared" si="136"/>
        <v>g</v>
      </c>
      <c r="L2186" s="6" t="str">
        <f t="shared" si="137"/>
        <v>Panda</v>
      </c>
      <c r="M2186" s="6" t="str">
        <f t="shared" si="138"/>
        <v>Panda Liquorice</v>
      </c>
      <c r="N2186" s="6" t="str">
        <f t="shared" si="139"/>
        <v>France, Italy, Spain, United-Kingdom</v>
      </c>
    </row>
    <row r="2187" spans="1:14" x14ac:dyDescent="0.25">
      <c r="A2187" s="6" t="s">
        <v>5245</v>
      </c>
      <c r="B2187" s="6">
        <v>10937</v>
      </c>
      <c r="C2187" s="6" t="s">
        <v>7338</v>
      </c>
      <c r="D2187" s="7" t="s">
        <v>7017</v>
      </c>
      <c r="E2187" s="6" t="s">
        <v>528</v>
      </c>
      <c r="F2187" s="6" t="s">
        <v>139</v>
      </c>
      <c r="G2187" s="8">
        <v>45582</v>
      </c>
      <c r="H2187" s="6">
        <v>3.69</v>
      </c>
      <c r="I2187" s="6" cm="1">
        <f t="array" ref="I2187">IFERROR(VALUE(TRIM(LEFT(E2187,MIN(FIND({" ";"g";"k";"m";"o"},E2187&amp;" gkmo"))-1))),0)</f>
        <v>200</v>
      </c>
      <c r="J2187" s="6" t="str" cm="1">
        <f t="array" ref="J2187">IFERROR(TRIM(MID(E2187,MIN(FIND({" ";"g";"k";"m";"o"},E2187&amp;" gkmo")),10)),"unknown")</f>
        <v>g</v>
      </c>
      <c r="K2187" s="6" t="str">
        <f t="shared" si="136"/>
        <v>g</v>
      </c>
      <c r="L2187" s="6" t="str">
        <f t="shared" si="137"/>
        <v>Unknown</v>
      </c>
      <c r="M2187" s="6" t="str">
        <f t="shared" si="138"/>
        <v>Cookies Aux Pépites De Chocolat</v>
      </c>
      <c r="N2187" s="6" t="str">
        <f t="shared" si="139"/>
        <v>France</v>
      </c>
    </row>
    <row r="2188" spans="1:14" x14ac:dyDescent="0.25">
      <c r="A2188" s="6" t="s">
        <v>5246</v>
      </c>
      <c r="B2188" s="6">
        <v>13299</v>
      </c>
      <c r="C2188" s="6" t="s">
        <v>5247</v>
      </c>
      <c r="D2188" s="7" t="s">
        <v>2808</v>
      </c>
      <c r="E2188" s="6" t="s">
        <v>5248</v>
      </c>
      <c r="F2188" s="6" t="s">
        <v>139</v>
      </c>
      <c r="G2188" s="8">
        <v>45554</v>
      </c>
      <c r="H2188" s="6">
        <v>21.74</v>
      </c>
      <c r="I2188" s="6" cm="1">
        <f t="array" ref="I2188">IFERROR(VALUE(TRIM(LEFT(E2188,MIN(FIND({" ";"g";"k";"m";"o"},E2188&amp;" gkmo"))-1))),0)</f>
        <v>0.25</v>
      </c>
      <c r="J2188" s="6" t="str" cm="1">
        <f t="array" ref="J2188">IFERROR(TRIM(MID(E2188,MIN(FIND({" ";"g";"k";"m";"o"},E2188&amp;" gkmo")),10)),"unknown")</f>
        <v>kg</v>
      </c>
      <c r="K2188" s="6" t="str">
        <f t="shared" si="136"/>
        <v>kg</v>
      </c>
      <c r="L2188" s="6" t="str">
        <f t="shared" si="137"/>
        <v>Lutti</v>
      </c>
      <c r="M2188" s="6" t="str">
        <f t="shared" si="138"/>
        <v>Arlequin Original</v>
      </c>
      <c r="N2188" s="6" t="str">
        <f t="shared" si="139"/>
        <v>France</v>
      </c>
    </row>
    <row r="2189" spans="1:14" x14ac:dyDescent="0.25">
      <c r="A2189" s="6" t="s">
        <v>5249</v>
      </c>
      <c r="B2189" s="6">
        <v>5794</v>
      </c>
      <c r="C2189" s="6" t="s">
        <v>7339</v>
      </c>
      <c r="D2189" s="7" t="s">
        <v>7017</v>
      </c>
      <c r="E2189" s="6" t="s">
        <v>39</v>
      </c>
      <c r="F2189" s="6" t="s">
        <v>139</v>
      </c>
      <c r="G2189" s="8">
        <v>45435</v>
      </c>
      <c r="H2189" s="6">
        <v>20.3</v>
      </c>
      <c r="I2189" s="6" cm="1">
        <f t="array" ref="I2189">IFERROR(VALUE(TRIM(LEFT(E2189,MIN(FIND({" ";"g";"k";"m";"o"},E2189&amp;" gkmo"))-1))),0)</f>
        <v>150</v>
      </c>
      <c r="J2189" s="6" t="str" cm="1">
        <f t="array" ref="J2189">IFERROR(TRIM(MID(E2189,MIN(FIND({" ";"g";"k";"m";"o"},E2189&amp;" gkmo")),10)),"unknown")</f>
        <v>g</v>
      </c>
      <c r="K2189" s="6" t="str">
        <f t="shared" si="136"/>
        <v>g</v>
      </c>
      <c r="L2189" s="6" t="str">
        <f t="shared" si="137"/>
        <v>Unknown</v>
      </c>
      <c r="M2189" s="6" t="str">
        <f t="shared" si="138"/>
        <v>Bénénuts Twinuts Original</v>
      </c>
      <c r="N2189" s="6" t="str">
        <f t="shared" si="139"/>
        <v>France</v>
      </c>
    </row>
    <row r="2190" spans="1:14" x14ac:dyDescent="0.25">
      <c r="A2190" s="6" t="s">
        <v>5250</v>
      </c>
      <c r="B2190" s="6">
        <v>12679</v>
      </c>
      <c r="C2190" s="6" t="s">
        <v>5251</v>
      </c>
      <c r="D2190" s="7" t="s">
        <v>310</v>
      </c>
      <c r="E2190" s="6" t="s">
        <v>291</v>
      </c>
      <c r="F2190" s="6" t="s">
        <v>1181</v>
      </c>
      <c r="G2190" s="8">
        <v>45485</v>
      </c>
      <c r="H2190" s="6">
        <v>11.3</v>
      </c>
      <c r="I2190" s="6" cm="1">
        <f t="array" ref="I2190">IFERROR(VALUE(TRIM(LEFT(E2190,MIN(FIND({" ";"g";"k";"m";"o"},E2190&amp;" gkmo"))-1))),0)</f>
        <v>140</v>
      </c>
      <c r="J2190" s="6" t="str" cm="1">
        <f t="array" ref="J2190">IFERROR(TRIM(MID(E2190,MIN(FIND({" ";"g";"k";"m";"o"},E2190&amp;" gkmo")),10)),"unknown")</f>
        <v>g</v>
      </c>
      <c r="K2190" s="6" t="str">
        <f t="shared" si="136"/>
        <v>g</v>
      </c>
      <c r="L2190" s="6" t="str">
        <f t="shared" si="137"/>
        <v>St Michel</v>
      </c>
      <c r="M2190" s="6" t="str">
        <f t="shared" si="138"/>
        <v>Cocottes Chocolat Et Graines Bio</v>
      </c>
      <c r="N2190" s="6" t="str">
        <f t="shared" si="139"/>
        <v>France,Switzerland</v>
      </c>
    </row>
    <row r="2191" spans="1:14" x14ac:dyDescent="0.25">
      <c r="A2191" s="6" t="s">
        <v>5252</v>
      </c>
      <c r="B2191" s="6">
        <v>14715</v>
      </c>
      <c r="C2191" s="6" t="s">
        <v>5253</v>
      </c>
      <c r="D2191" s="7" t="s">
        <v>310</v>
      </c>
      <c r="E2191" s="6" t="s">
        <v>335</v>
      </c>
      <c r="F2191" s="6" t="s">
        <v>7919</v>
      </c>
      <c r="G2191" s="8">
        <v>45822</v>
      </c>
      <c r="H2191" s="6">
        <v>23.74</v>
      </c>
      <c r="I2191" s="6" cm="1">
        <f t="array" ref="I2191">IFERROR(VALUE(TRIM(LEFT(E2191,MIN(FIND({" ";"g";"k";"m";"o"},E2191&amp;" gkmo"))-1))),0)</f>
        <v>250</v>
      </c>
      <c r="J2191" s="6" t="str" cm="1">
        <f t="array" ref="J2191">IFERROR(TRIM(MID(E2191,MIN(FIND({" ";"g";"k";"m";"o"},E2191&amp;" gkmo")),10)),"unknown")</f>
        <v>g</v>
      </c>
      <c r="K2191" s="6" t="str">
        <f t="shared" si="136"/>
        <v>g</v>
      </c>
      <c r="L2191" s="6" t="str">
        <f t="shared" si="137"/>
        <v>St Michel</v>
      </c>
      <c r="M2191" s="6" t="str">
        <f t="shared" si="138"/>
        <v>Madeleines Moelleuses</v>
      </c>
      <c r="N2191" s="6" t="str">
        <f t="shared" si="139"/>
        <v>France, Morocco</v>
      </c>
    </row>
    <row r="2192" spans="1:14" x14ac:dyDescent="0.25">
      <c r="A2192" s="6" t="s">
        <v>5254</v>
      </c>
      <c r="B2192" s="6">
        <v>5781</v>
      </c>
      <c r="C2192" s="6" t="s">
        <v>4172</v>
      </c>
      <c r="D2192" s="7" t="s">
        <v>310</v>
      </c>
      <c r="E2192" s="6" t="s">
        <v>5255</v>
      </c>
      <c r="F2192" s="6" t="s">
        <v>8381</v>
      </c>
      <c r="G2192" s="8">
        <v>45422</v>
      </c>
      <c r="H2192" s="6">
        <v>21.27</v>
      </c>
      <c r="I2192" s="6" cm="1">
        <f t="array" ref="I2192">IFERROR(VALUE(TRIM(LEFT(E2192,MIN(FIND({" ";"g";"k";"m";"o"},E2192&amp;" gkmo"))-1))),0)</f>
        <v>208</v>
      </c>
      <c r="J2192" s="6" t="str" cm="1">
        <f t="array" ref="J2192">IFERROR(TRIM(MID(E2192,MIN(FIND({" ";"g";"k";"m";"o"},E2192&amp;" gkmo")),10)),"unknown")</f>
        <v>g</v>
      </c>
      <c r="K2192" s="6" t="str">
        <f t="shared" si="136"/>
        <v>g</v>
      </c>
      <c r="L2192" s="6" t="str">
        <f t="shared" si="137"/>
        <v>St Michel</v>
      </c>
      <c r="M2192" s="6" t="str">
        <f t="shared" si="138"/>
        <v>Galettes Au Bon Beurre</v>
      </c>
      <c r="N2192" s="6" t="str">
        <f t="shared" si="139"/>
        <v>France,Germany,United Kingdom,Italie</v>
      </c>
    </row>
    <row r="2193" spans="1:14" x14ac:dyDescent="0.25">
      <c r="A2193" s="6" t="s">
        <v>5256</v>
      </c>
      <c r="B2193" s="6">
        <v>5290</v>
      </c>
      <c r="C2193" s="6" t="s">
        <v>7340</v>
      </c>
      <c r="D2193" s="7" t="s">
        <v>5257</v>
      </c>
      <c r="E2193" s="6" t="s">
        <v>120</v>
      </c>
      <c r="F2193" s="6" t="s">
        <v>139</v>
      </c>
      <c r="G2193" s="8">
        <v>45538</v>
      </c>
      <c r="H2193" s="6">
        <v>9.59</v>
      </c>
      <c r="I2193" s="6" cm="1">
        <f t="array" ref="I2193">IFERROR(VALUE(TRIM(LEFT(E2193,MIN(FIND({" ";"g";"k";"m";"o"},E2193&amp;" gkmo"))-1))),0)</f>
        <v>210</v>
      </c>
      <c r="J2193" s="6" t="str" cm="1">
        <f t="array" ref="J2193">IFERROR(TRIM(MID(E2193,MIN(FIND({" ";"g";"k";"m";"o"},E2193&amp;" gkmo")),10)),"unknown")</f>
        <v>g</v>
      </c>
      <c r="K2193" s="6" t="str">
        <f t="shared" si="136"/>
        <v>g</v>
      </c>
      <c r="L2193" s="6" t="str">
        <f t="shared" si="137"/>
        <v>Harris, Harrys</v>
      </c>
      <c r="M2193" s="6" t="str">
        <f t="shared" si="138"/>
        <v>Mini Brioches Tressées</v>
      </c>
      <c r="N2193" s="6" t="str">
        <f t="shared" si="139"/>
        <v>France</v>
      </c>
    </row>
    <row r="2194" spans="1:14" x14ac:dyDescent="0.25">
      <c r="A2194" s="6" t="s">
        <v>5258</v>
      </c>
      <c r="B2194" s="6">
        <v>11735</v>
      </c>
      <c r="C2194" s="6" t="s">
        <v>5259</v>
      </c>
      <c r="D2194" s="7" t="s">
        <v>646</v>
      </c>
      <c r="E2194" s="6" t="s">
        <v>151</v>
      </c>
      <c r="F2194" s="6" t="s">
        <v>8291</v>
      </c>
      <c r="G2194" s="8">
        <v>45429</v>
      </c>
      <c r="H2194" s="6">
        <v>13.16</v>
      </c>
      <c r="I2194" s="6" cm="1">
        <f t="array" ref="I2194">IFERROR(VALUE(TRIM(LEFT(E2194,MIN(FIND({" ";"g";"k";"m";"o"},E2194&amp;" gkmo"))-1))),0)</f>
        <v>200</v>
      </c>
      <c r="J2194" s="6" t="str" cm="1">
        <f t="array" ref="J2194">IFERROR(TRIM(MID(E2194,MIN(FIND({" ";"g";"k";"m";"o"},E2194&amp;" gkmo")),10)),"unknown")</f>
        <v>g</v>
      </c>
      <c r="K2194" s="6" t="str">
        <f t="shared" si="136"/>
        <v>g</v>
      </c>
      <c r="L2194" s="6" t="str">
        <f t="shared" si="137"/>
        <v>Carrefour Bio, Carrefour</v>
      </c>
      <c r="M2194" s="6" t="str">
        <f t="shared" si="138"/>
        <v>Crackers Espelta 3 Semillas</v>
      </c>
      <c r="N2194" s="6" t="str">
        <f t="shared" si="139"/>
        <v>France,Spain, Italie</v>
      </c>
    </row>
    <row r="2195" spans="1:14" x14ac:dyDescent="0.25">
      <c r="A2195" s="6" t="s">
        <v>5260</v>
      </c>
      <c r="B2195" s="6">
        <v>12487</v>
      </c>
      <c r="C2195" s="6" t="s">
        <v>5261</v>
      </c>
      <c r="D2195" s="7" t="s">
        <v>5262</v>
      </c>
      <c r="E2195" s="6" t="s">
        <v>14</v>
      </c>
      <c r="F2195" s="6" t="s">
        <v>139</v>
      </c>
      <c r="G2195" s="8">
        <v>45532</v>
      </c>
      <c r="H2195" s="6">
        <v>7.63</v>
      </c>
      <c r="I2195" s="6" cm="1">
        <f t="array" ref="I2195">IFERROR(VALUE(TRIM(LEFT(E2195,MIN(FIND({" ";"g";"k";"m";"o"},E2195&amp;" gkmo"))-1))),0)</f>
        <v>300</v>
      </c>
      <c r="J2195" s="6" t="str" cm="1">
        <f t="array" ref="J2195">IFERROR(TRIM(MID(E2195,MIN(FIND({" ";"g";"k";"m";"o"},E2195&amp;" gkmo")),10)),"unknown")</f>
        <v>g</v>
      </c>
      <c r="K2195" s="6" t="str">
        <f t="shared" si="136"/>
        <v>g</v>
      </c>
      <c r="L2195" s="6" t="str">
        <f t="shared" si="137"/>
        <v>Monique Ranou</v>
      </c>
      <c r="M2195" s="6" t="str">
        <f t="shared" si="138"/>
        <v>Coleslaw</v>
      </c>
      <c r="N2195" s="6" t="str">
        <f t="shared" si="139"/>
        <v>France</v>
      </c>
    </row>
    <row r="2196" spans="1:14" x14ac:dyDescent="0.25">
      <c r="A2196" s="6" t="s">
        <v>5263</v>
      </c>
      <c r="B2196" s="6">
        <v>13566</v>
      </c>
      <c r="C2196" s="6" t="s">
        <v>5264</v>
      </c>
      <c r="D2196" s="7" t="s">
        <v>4889</v>
      </c>
      <c r="E2196" s="6" t="s">
        <v>840</v>
      </c>
      <c r="F2196" s="6" t="s">
        <v>139</v>
      </c>
      <c r="G2196" s="8">
        <v>45988</v>
      </c>
      <c r="H2196" s="6">
        <v>7.79</v>
      </c>
      <c r="I2196" s="6" cm="1">
        <f t="array" ref="I2196">IFERROR(VALUE(TRIM(LEFT(E2196,MIN(FIND({" ";"g";"k";"m";"o"},E2196&amp;" gkmo"))-1))),0)</f>
        <v>175</v>
      </c>
      <c r="J2196" s="6" t="str" cm="1">
        <f t="array" ref="J2196">IFERROR(TRIM(MID(E2196,MIN(FIND({" ";"g";"k";"m";"o"},E2196&amp;" gkmo")),10)),"unknown")</f>
        <v>g</v>
      </c>
      <c r="K2196" s="6" t="str">
        <f t="shared" si="136"/>
        <v>g</v>
      </c>
      <c r="L2196" s="6" t="str">
        <f t="shared" si="137"/>
        <v>Chabrior</v>
      </c>
      <c r="M2196" s="6" t="str">
        <f t="shared" si="138"/>
        <v>Gaufres Fourrage Au Miel - Bio</v>
      </c>
      <c r="N2196" s="6" t="str">
        <f t="shared" si="139"/>
        <v>France</v>
      </c>
    </row>
    <row r="2197" spans="1:14" x14ac:dyDescent="0.25">
      <c r="A2197" s="6" t="s">
        <v>5265</v>
      </c>
      <c r="B2197" s="6">
        <v>9761</v>
      </c>
      <c r="C2197" s="6" t="s">
        <v>5266</v>
      </c>
      <c r="D2197" s="7" t="s">
        <v>854</v>
      </c>
      <c r="E2197" s="6" t="s">
        <v>151</v>
      </c>
      <c r="F2197" s="6" t="s">
        <v>5267</v>
      </c>
      <c r="G2197" s="8">
        <v>46053</v>
      </c>
      <c r="H2197" s="6">
        <v>18.66</v>
      </c>
      <c r="I2197" s="6" cm="1">
        <f t="array" ref="I2197">IFERROR(VALUE(TRIM(LEFT(E2197,MIN(FIND({" ";"g";"k";"m";"o"},E2197&amp;" gkmo"))-1))),0)</f>
        <v>200</v>
      </c>
      <c r="J2197" s="6" t="str" cm="1">
        <f t="array" ref="J2197">IFERROR(TRIM(MID(E2197,MIN(FIND({" ";"g";"k";"m";"o"},E2197&amp;" gkmo")),10)),"unknown")</f>
        <v>g</v>
      </c>
      <c r="K2197" s="6" t="str">
        <f t="shared" si="136"/>
        <v>g</v>
      </c>
      <c r="L2197" s="6" t="str">
        <f t="shared" si="137"/>
        <v>Carrefour</v>
      </c>
      <c r="M2197" s="6" t="str">
        <f t="shared" si="138"/>
        <v>Cookies Tout Chocolat</v>
      </c>
      <c r="N2197" s="6" t="str">
        <f t="shared" si="139"/>
        <v>Belgium,France,Italy,Morocco,Spain</v>
      </c>
    </row>
    <row r="2198" spans="1:14" x14ac:dyDescent="0.25">
      <c r="A2198" s="6" t="s">
        <v>5268</v>
      </c>
      <c r="B2198" s="6">
        <v>6255</v>
      </c>
      <c r="C2198" s="6" t="s">
        <v>5269</v>
      </c>
      <c r="D2198" s="7" t="s">
        <v>5270</v>
      </c>
      <c r="E2198" s="6" t="s">
        <v>151</v>
      </c>
      <c r="F2198" s="6" t="s">
        <v>5271</v>
      </c>
      <c r="G2198" s="8">
        <v>45838</v>
      </c>
      <c r="H2198" s="6">
        <v>14.81</v>
      </c>
      <c r="I2198" s="6" cm="1">
        <f t="array" ref="I2198">IFERROR(VALUE(TRIM(LEFT(E2198,MIN(FIND({" ";"g";"k";"m";"o"},E2198&amp;" gkmo"))-1))),0)</f>
        <v>200</v>
      </c>
      <c r="J2198" s="6" t="str" cm="1">
        <f t="array" ref="J2198">IFERROR(TRIM(MID(E2198,MIN(FIND({" ";"g";"k";"m";"o"},E2198&amp;" gkmo")),10)),"unknown")</f>
        <v>g</v>
      </c>
      <c r="K2198" s="6" t="str">
        <f t="shared" si="136"/>
        <v>g</v>
      </c>
      <c r="L2198" s="6" t="str">
        <f t="shared" si="137"/>
        <v>Carrefour Extra</v>
      </c>
      <c r="M2198" s="6" t="str">
        <f t="shared" si="138"/>
        <v>Noir Noisettes Entieres</v>
      </c>
      <c r="N2198" s="6" t="str">
        <f t="shared" si="139"/>
        <v>Belgium,France,Kenya</v>
      </c>
    </row>
    <row r="2199" spans="1:14" x14ac:dyDescent="0.25">
      <c r="A2199" s="6" t="s">
        <v>5272</v>
      </c>
      <c r="B2199" s="6">
        <v>12165</v>
      </c>
      <c r="C2199" s="6" t="s">
        <v>7341</v>
      </c>
      <c r="D2199" s="7" t="s">
        <v>646</v>
      </c>
      <c r="E2199" s="6" t="s">
        <v>99</v>
      </c>
      <c r="F2199" s="6" t="s">
        <v>139</v>
      </c>
      <c r="G2199" s="8">
        <v>45893</v>
      </c>
      <c r="H2199" s="6">
        <v>22.68</v>
      </c>
      <c r="I2199" s="6" cm="1">
        <f t="array" ref="I2199">IFERROR(VALUE(TRIM(LEFT(E2199,MIN(FIND({" ";"g";"k";"m";"o"},E2199&amp;" gkmo"))-1))),0)</f>
        <v>160</v>
      </c>
      <c r="J2199" s="6" t="str" cm="1">
        <f t="array" ref="J2199">IFERROR(TRIM(MID(E2199,MIN(FIND({" ";"g";"k";"m";"o"},E2199&amp;" gkmo")),10)),"unknown")</f>
        <v>g</v>
      </c>
      <c r="K2199" s="6" t="str">
        <f t="shared" si="136"/>
        <v>g</v>
      </c>
      <c r="L2199" s="6" t="str">
        <f t="shared" si="137"/>
        <v>Carrefour Bio, Carrefour</v>
      </c>
      <c r="M2199" s="6" t="str">
        <f t="shared" si="138"/>
        <v>Sablés Au Deux Céréales Chocolat Lait</v>
      </c>
      <c r="N2199" s="6" t="str">
        <f t="shared" si="139"/>
        <v>France</v>
      </c>
    </row>
    <row r="2200" spans="1:14" x14ac:dyDescent="0.25">
      <c r="A2200" s="6" t="s">
        <v>5273</v>
      </c>
      <c r="B2200" s="6">
        <v>14012</v>
      </c>
      <c r="C2200" s="6" t="s">
        <v>7342</v>
      </c>
      <c r="D2200" s="7" t="s">
        <v>7480</v>
      </c>
      <c r="E2200" s="6" t="s">
        <v>1396</v>
      </c>
      <c r="F2200" s="6" t="s">
        <v>139</v>
      </c>
      <c r="G2200" s="8">
        <v>45449</v>
      </c>
      <c r="H2200" s="6">
        <v>5.71</v>
      </c>
      <c r="I2200" s="6" cm="1">
        <f t="array" ref="I2200">IFERROR(VALUE(TRIM(LEFT(E2200,MIN(FIND({" ";"g";"k";"m";"o"},E2200&amp;" gkmo"))-1))),0)</f>
        <v>600</v>
      </c>
      <c r="J2200" s="6" t="str" cm="1">
        <f t="array" ref="J2200">IFERROR(TRIM(MID(E2200,MIN(FIND({" ";"g";"k";"m";"o"},E2200&amp;" gkmo")),10)),"unknown")</f>
        <v>g</v>
      </c>
      <c r="K2200" s="6" t="str">
        <f t="shared" si="136"/>
        <v>g</v>
      </c>
      <c r="L2200" s="6" t="str">
        <f t="shared" si="137"/>
        <v>Marque Repère, P'Tit Déli</v>
      </c>
      <c r="M2200" s="6" t="str">
        <f t="shared" si="138"/>
        <v>Déli Matin</v>
      </c>
      <c r="N2200" s="6" t="str">
        <f t="shared" si="139"/>
        <v>France</v>
      </c>
    </row>
    <row r="2201" spans="1:14" x14ac:dyDescent="0.25">
      <c r="A2201" s="6" t="s">
        <v>5274</v>
      </c>
      <c r="B2201" s="6">
        <v>9177</v>
      </c>
      <c r="C2201" s="6" t="s">
        <v>7819</v>
      </c>
      <c r="D2201" s="7" t="s">
        <v>5275</v>
      </c>
      <c r="E2201" s="6"/>
      <c r="F2201" s="6" t="s">
        <v>139</v>
      </c>
      <c r="G2201" s="8">
        <v>45691</v>
      </c>
      <c r="H2201" s="6">
        <v>1.33</v>
      </c>
      <c r="I2201" s="6" cm="1">
        <f t="array" ref="I2201">IFERROR(VALUE(TRIM(LEFT(E2201,MIN(FIND({" ";"g";"k";"m";"o"},E2201&amp;" gkmo"))-1))),0)</f>
        <v>0</v>
      </c>
      <c r="J2201" s="6" t="str" cm="1">
        <f t="array" ref="J2201">IFERROR(TRIM(MID(E2201,MIN(FIND({" ";"g";"k";"m";"o"},E2201&amp;" gkmo")),10)),"unknown")</f>
        <v/>
      </c>
      <c r="K2201" s="6" t="str">
        <f t="shared" si="136"/>
        <v>unknown</v>
      </c>
      <c r="L2201" s="6" t="str">
        <f t="shared" si="137"/>
        <v>La Fournee Doree</v>
      </c>
      <c r="M2201" s="6" t="str">
        <f t="shared" si="138"/>
        <v>La Gà¢Che Tranchée Au Sucre X 14 Tranches</v>
      </c>
      <c r="N2201" s="6" t="str">
        <f t="shared" si="139"/>
        <v>France</v>
      </c>
    </row>
    <row r="2202" spans="1:14" x14ac:dyDescent="0.25">
      <c r="A2202" s="6" t="s">
        <v>5276</v>
      </c>
      <c r="B2202" s="6">
        <v>13989</v>
      </c>
      <c r="C2202" s="6" t="s">
        <v>5277</v>
      </c>
      <c r="D2202" s="7" t="s">
        <v>5278</v>
      </c>
      <c r="E2202" s="6" t="s">
        <v>1309</v>
      </c>
      <c r="F2202" s="6" t="s">
        <v>8449</v>
      </c>
      <c r="G2202" s="8">
        <v>45557</v>
      </c>
      <c r="H2202" s="6">
        <v>5.61</v>
      </c>
      <c r="I2202" s="6" cm="1">
        <f t="array" ref="I2202">IFERROR(VALUE(TRIM(LEFT(E2202,MIN(FIND({" ";"g";"k";"m";"o"},E2202&amp;" gkmo"))-1))),0)</f>
        <v>300</v>
      </c>
      <c r="J2202" s="6" t="str" cm="1">
        <f t="array" ref="J2202">IFERROR(TRIM(MID(E2202,MIN(FIND({" ";"g";"k";"m";"o"},E2202&amp;" gkmo")),10)),"unknown")</f>
        <v>g</v>
      </c>
      <c r="K2202" s="6" t="str">
        <f t="shared" si="136"/>
        <v>g</v>
      </c>
      <c r="L2202" s="6" t="str">
        <f t="shared" si="137"/>
        <v>Findus</v>
      </c>
      <c r="M2202" s="6" t="str">
        <f t="shared" si="138"/>
        <v>Croquettes De Poisson Msc Ail Et Fines Herbes</v>
      </c>
      <c r="N2202" s="6" t="str">
        <f t="shared" si="139"/>
        <v>France,La Reunion</v>
      </c>
    </row>
    <row r="2203" spans="1:14" x14ac:dyDescent="0.25">
      <c r="A2203" s="6" t="s">
        <v>5279</v>
      </c>
      <c r="B2203" s="6">
        <v>10633</v>
      </c>
      <c r="C2203" s="6" t="s">
        <v>5280</v>
      </c>
      <c r="D2203" s="7" t="s">
        <v>439</v>
      </c>
      <c r="E2203" s="6" t="s">
        <v>14</v>
      </c>
      <c r="F2203" s="6" t="s">
        <v>139</v>
      </c>
      <c r="G2203" s="8">
        <v>46036</v>
      </c>
      <c r="H2203" s="6">
        <v>8.33</v>
      </c>
      <c r="I2203" s="6" cm="1">
        <f t="array" ref="I2203">IFERROR(VALUE(TRIM(LEFT(E2203,MIN(FIND({" ";"g";"k";"m";"o"},E2203&amp;" gkmo"))-1))),0)</f>
        <v>300</v>
      </c>
      <c r="J2203" s="6" t="str" cm="1">
        <f t="array" ref="J2203">IFERROR(TRIM(MID(E2203,MIN(FIND({" ";"g";"k";"m";"o"},E2203&amp;" gkmo")),10)),"unknown")</f>
        <v>g</v>
      </c>
      <c r="K2203" s="6" t="str">
        <f t="shared" si="136"/>
        <v>g</v>
      </c>
      <c r="L2203" s="6" t="str">
        <f t="shared" si="137"/>
        <v>Poulain</v>
      </c>
      <c r="M2203" s="6" t="str">
        <f t="shared" si="138"/>
        <v>Poulain Noir Extra</v>
      </c>
      <c r="N2203" s="6" t="str">
        <f t="shared" si="139"/>
        <v>France</v>
      </c>
    </row>
    <row r="2204" spans="1:14" x14ac:dyDescent="0.25">
      <c r="A2204" s="6" t="s">
        <v>5281</v>
      </c>
      <c r="B2204" s="6">
        <v>6213</v>
      </c>
      <c r="C2204" s="6" t="s">
        <v>7820</v>
      </c>
      <c r="D2204" s="7" t="s">
        <v>5282</v>
      </c>
      <c r="E2204" s="6" t="s">
        <v>10</v>
      </c>
      <c r="F2204" s="6" t="s">
        <v>7919</v>
      </c>
      <c r="G2204" s="8">
        <v>45911</v>
      </c>
      <c r="H2204" s="6">
        <v>16.39</v>
      </c>
      <c r="I2204" s="6" cm="1">
        <f t="array" ref="I2204">IFERROR(VALUE(TRIM(LEFT(E2204,MIN(FIND({" ";"g";"k";"m";"o"},E2204&amp;" gkmo"))-1))),0)</f>
        <v>100</v>
      </c>
      <c r="J2204" s="6" t="str" cm="1">
        <f t="array" ref="J2204">IFERROR(TRIM(MID(E2204,MIN(FIND({" ";"g";"k";"m";"o"},E2204&amp;" gkmo")),10)),"unknown")</f>
        <v>g</v>
      </c>
      <c r="K2204" s="6" t="str">
        <f t="shared" si="136"/>
        <v>g</v>
      </c>
      <c r="L2204" s="6" t="str">
        <f t="shared" si="137"/>
        <v>Fine Gourmande, Poulain</v>
      </c>
      <c r="M2204" s="6" t="str">
        <f t="shared" si="138"/>
        <v>Fine Et Gourmande Lait Franà§Ais</v>
      </c>
      <c r="N2204" s="6" t="str">
        <f t="shared" si="139"/>
        <v>France, Morocco</v>
      </c>
    </row>
    <row r="2205" spans="1:14" x14ac:dyDescent="0.25">
      <c r="A2205" s="6" t="s">
        <v>5283</v>
      </c>
      <c r="B2205" s="6">
        <v>14522</v>
      </c>
      <c r="C2205" s="6" t="s">
        <v>5284</v>
      </c>
      <c r="D2205" s="7" t="s">
        <v>5285</v>
      </c>
      <c r="E2205" s="6" t="s">
        <v>573</v>
      </c>
      <c r="F2205" s="6" t="s">
        <v>139</v>
      </c>
      <c r="G2205" s="8">
        <v>45467</v>
      </c>
      <c r="H2205" s="6">
        <v>22.86</v>
      </c>
      <c r="I2205" s="6" cm="1">
        <f t="array" ref="I2205">IFERROR(VALUE(TRIM(LEFT(E2205,MIN(FIND({" ";"g";"k";"m";"o"},E2205&amp;" gkmo"))-1))),0)</f>
        <v>280</v>
      </c>
      <c r="J2205" s="6" t="str" cm="1">
        <f t="array" ref="J2205">IFERROR(TRIM(MID(E2205,MIN(FIND({" ";"g";"k";"m";"o"},E2205&amp;" gkmo")),10)),"unknown")</f>
        <v>g</v>
      </c>
      <c r="K2205" s="6" t="str">
        <f t="shared" si="136"/>
        <v>g</v>
      </c>
      <c r="L2205" s="6" t="str">
        <f t="shared" si="137"/>
        <v>Bien</v>
      </c>
      <c r="M2205" s="6" t="str">
        <f t="shared" si="138"/>
        <v>Pain Lait Bio* Nature X8 280G</v>
      </c>
      <c r="N2205" s="6" t="str">
        <f t="shared" si="139"/>
        <v>France</v>
      </c>
    </row>
    <row r="2206" spans="1:14" x14ac:dyDescent="0.25">
      <c r="A2206" s="6" t="s">
        <v>5286</v>
      </c>
      <c r="B2206" s="6">
        <v>11609</v>
      </c>
      <c r="C2206" s="6" t="s">
        <v>5287</v>
      </c>
      <c r="D2206" s="7" t="s">
        <v>600</v>
      </c>
      <c r="E2206" s="6" t="s">
        <v>10</v>
      </c>
      <c r="F2206" s="6" t="s">
        <v>139</v>
      </c>
      <c r="G2206" s="8">
        <v>45946</v>
      </c>
      <c r="H2206" s="6">
        <v>17.399999999999999</v>
      </c>
      <c r="I2206" s="6" cm="1">
        <f t="array" ref="I2206">IFERROR(VALUE(TRIM(LEFT(E2206,MIN(FIND({" ";"g";"k";"m";"o"},E2206&amp;" gkmo"))-1))),0)</f>
        <v>100</v>
      </c>
      <c r="J2206" s="6" t="str" cm="1">
        <f t="array" ref="J2206">IFERROR(TRIM(MID(E2206,MIN(FIND({" ";"g";"k";"m";"o"},E2206&amp;" gkmo")),10)),"unknown")</f>
        <v>g</v>
      </c>
      <c r="K2206" s="6" t="str">
        <f t="shared" si="136"/>
        <v>g</v>
      </c>
      <c r="L2206" s="6" t="str">
        <f t="shared" si="137"/>
        <v>Ethiquable</v>
      </c>
      <c r="M2206" s="6" t="str">
        <f t="shared" si="138"/>
        <v>Chocolat Noir Extra</v>
      </c>
      <c r="N2206" s="6" t="str">
        <f t="shared" si="139"/>
        <v>France</v>
      </c>
    </row>
    <row r="2207" spans="1:14" x14ac:dyDescent="0.25">
      <c r="A2207" s="6" t="s">
        <v>5288</v>
      </c>
      <c r="B2207" s="6">
        <v>11796</v>
      </c>
      <c r="C2207" s="6" t="s">
        <v>5289</v>
      </c>
      <c r="D2207" s="7" t="s">
        <v>5290</v>
      </c>
      <c r="E2207" s="6" t="s">
        <v>10</v>
      </c>
      <c r="F2207" s="6" t="s">
        <v>8001</v>
      </c>
      <c r="G2207" s="8">
        <v>45488</v>
      </c>
      <c r="H2207" s="6">
        <v>13.99</v>
      </c>
      <c r="I2207" s="6" cm="1">
        <f t="array" ref="I2207">IFERROR(VALUE(TRIM(LEFT(E2207,MIN(FIND({" ";"g";"k";"m";"o"},E2207&amp;" gkmo"))-1))),0)</f>
        <v>100</v>
      </c>
      <c r="J2207" s="6" t="str" cm="1">
        <f t="array" ref="J2207">IFERROR(TRIM(MID(E2207,MIN(FIND({" ";"g";"k";"m";"o"},E2207&amp;" gkmo")),10)),"unknown")</f>
        <v>g</v>
      </c>
      <c r="K2207" s="6" t="str">
        <f t="shared" si="136"/>
        <v>g</v>
      </c>
      <c r="L2207" s="6" t="str">
        <f t="shared" si="137"/>
        <v>Grain De Sail</v>
      </c>
      <c r="M2207" s="6" t="str">
        <f t="shared" si="138"/>
        <v>Tablette De Chocolat 85% De Cacao</v>
      </c>
      <c r="N2207" s="6" t="str">
        <f t="shared" si="139"/>
        <v>France,France</v>
      </c>
    </row>
    <row r="2208" spans="1:14" x14ac:dyDescent="0.25">
      <c r="A2208" s="6" t="s">
        <v>5291</v>
      </c>
      <c r="B2208" s="6">
        <v>13117</v>
      </c>
      <c r="C2208" s="6" t="s">
        <v>7821</v>
      </c>
      <c r="D2208" s="7" t="s">
        <v>5292</v>
      </c>
      <c r="E2208" s="6" t="s">
        <v>64</v>
      </c>
      <c r="F2208" s="6" t="s">
        <v>5293</v>
      </c>
      <c r="G2208" s="8">
        <v>45906</v>
      </c>
      <c r="H2208" s="6">
        <v>11.46</v>
      </c>
      <c r="I2208" s="6" cm="1">
        <f t="array" ref="I2208">IFERROR(VALUE(TRIM(LEFT(E2208,MIN(FIND({" ";"g";"k";"m";"o"},E2208&amp;" gkmo"))-1))),0)</f>
        <v>150</v>
      </c>
      <c r="J2208" s="6" t="str" cm="1">
        <f t="array" ref="J2208">IFERROR(TRIM(MID(E2208,MIN(FIND({" ";"g";"k";"m";"o"},E2208&amp;" gkmo")),10)),"unknown")</f>
        <v>g</v>
      </c>
      <c r="K2208" s="6" t="str">
        <f t="shared" si="136"/>
        <v>g</v>
      </c>
      <c r="L2208" s="6" t="str">
        <f t="shared" si="137"/>
        <v>Corny, Schwartau</v>
      </c>
      <c r="M2208" s="6" t="str">
        <f t="shared" si="138"/>
        <v>Corny Schoko-Banane 4011800523213 Mà¼Sliriegel</v>
      </c>
      <c r="N2208" s="6" t="str">
        <f t="shared" si="139"/>
        <v>Austria,Germany</v>
      </c>
    </row>
    <row r="2209" spans="1:14" x14ac:dyDescent="0.25">
      <c r="A2209" s="6" t="s">
        <v>5294</v>
      </c>
      <c r="B2209" s="6">
        <v>5907</v>
      </c>
      <c r="C2209" s="6" t="s">
        <v>7822</v>
      </c>
      <c r="D2209" s="7" t="s">
        <v>5295</v>
      </c>
      <c r="E2209" s="6" t="s">
        <v>580</v>
      </c>
      <c r="F2209" s="6" t="s">
        <v>3684</v>
      </c>
      <c r="G2209" s="8">
        <v>45342</v>
      </c>
      <c r="H2209" s="6">
        <v>3.56</v>
      </c>
      <c r="I2209" s="6" cm="1">
        <f t="array" ref="I2209">IFERROR(VALUE(TRIM(LEFT(E2209,MIN(FIND({" ";"g";"k";"m";"o"},E2209&amp;" gkmo"))-1))),0)</f>
        <v>250</v>
      </c>
      <c r="J2209" s="6" t="str" cm="1">
        <f t="array" ref="J2209">IFERROR(TRIM(MID(E2209,MIN(FIND({" ";"g";"k";"m";"o"},E2209&amp;" gkmo")),10)),"unknown")</f>
        <v>g</v>
      </c>
      <c r="K2209" s="6" t="str">
        <f t="shared" si="136"/>
        <v>g</v>
      </c>
      <c r="L2209" s="6" t="str">
        <f t="shared" si="137"/>
        <v>Bahlsen, Brandt</v>
      </c>
      <c r="M2209" s="6" t="str">
        <f t="shared" si="138"/>
        <v>Sà¼Àÿes, Kekse Hobbits Kernig</v>
      </c>
      <c r="N2209" s="6" t="str">
        <f t="shared" si="139"/>
        <v>France,Germany,Spain</v>
      </c>
    </row>
    <row r="2210" spans="1:14" x14ac:dyDescent="0.25">
      <c r="A2210" s="6" t="s">
        <v>5296</v>
      </c>
      <c r="B2210" s="6">
        <v>5680</v>
      </c>
      <c r="C2210" s="6" t="s">
        <v>7017</v>
      </c>
      <c r="D2210" s="7" t="s">
        <v>5297</v>
      </c>
      <c r="E2210" s="6" t="s">
        <v>123</v>
      </c>
      <c r="F2210" s="6" t="s">
        <v>8134</v>
      </c>
      <c r="G2210" s="8">
        <v>45447</v>
      </c>
      <c r="H2210" s="6">
        <v>13.16</v>
      </c>
      <c r="I2210" s="6" cm="1">
        <f t="array" ref="I2210">IFERROR(VALUE(TRIM(LEFT(E2210,MIN(FIND({" ";"g";"k";"m";"o"},E2210&amp;" gkmo"))-1))),0)</f>
        <v>50</v>
      </c>
      <c r="J2210" s="6" t="str" cm="1">
        <f t="array" ref="J2210">IFERROR(TRIM(MID(E2210,MIN(FIND({" ";"g";"k";"m";"o"},E2210&amp;" gkmo")),10)),"unknown")</f>
        <v>g</v>
      </c>
      <c r="K2210" s="6" t="str">
        <f t="shared" si="136"/>
        <v>g</v>
      </c>
      <c r="L2210" s="6" t="str">
        <f t="shared" si="137"/>
        <v>Werther'S Original</v>
      </c>
      <c r="M2210" s="6" t="str">
        <f t="shared" si="138"/>
        <v>Unknown</v>
      </c>
      <c r="N2210" s="6" t="str">
        <f t="shared" si="139"/>
        <v>Belgium, France, New Zealand, Morocco</v>
      </c>
    </row>
    <row r="2211" spans="1:14" x14ac:dyDescent="0.25">
      <c r="A2211" s="6" t="s">
        <v>5298</v>
      </c>
      <c r="B2211" s="6">
        <v>10431</v>
      </c>
      <c r="C2211" s="6" t="s">
        <v>384</v>
      </c>
      <c r="D2211" s="7" t="s">
        <v>5299</v>
      </c>
      <c r="E2211" s="6" t="s">
        <v>14</v>
      </c>
      <c r="F2211" s="6" t="s">
        <v>8135</v>
      </c>
      <c r="G2211" s="8">
        <v>45783</v>
      </c>
      <c r="H2211" s="6">
        <v>6.15</v>
      </c>
      <c r="I2211" s="6" cm="1">
        <f t="array" ref="I2211">IFERROR(VALUE(TRIM(LEFT(E2211,MIN(FIND({" ";"g";"k";"m";"o"},E2211&amp;" gkmo"))-1))),0)</f>
        <v>300</v>
      </c>
      <c r="J2211" s="6" t="str" cm="1">
        <f t="array" ref="J2211">IFERROR(TRIM(MID(E2211,MIN(FIND({" ";"g";"k";"m";"o"},E2211&amp;" gkmo")),10)),"unknown")</f>
        <v>g</v>
      </c>
      <c r="K2211" s="6" t="str">
        <f t="shared" si="136"/>
        <v>g</v>
      </c>
      <c r="L2211" s="6" t="str">
        <f t="shared" si="137"/>
        <v>Barber</v>
      </c>
      <c r="M2211" s="6" t="str">
        <f t="shared" si="138"/>
        <v>Cream Crackers</v>
      </c>
      <c r="N2211" s="6" t="str">
        <f t="shared" si="139"/>
        <v>France, Netherlands, Spain, United-Kingdom</v>
      </c>
    </row>
    <row r="2212" spans="1:14" x14ac:dyDescent="0.25">
      <c r="A2212" s="6" t="s">
        <v>5300</v>
      </c>
      <c r="B2212" s="6">
        <v>13519</v>
      </c>
      <c r="C2212" s="6" t="s">
        <v>5301</v>
      </c>
      <c r="D2212" s="7" t="s">
        <v>5302</v>
      </c>
      <c r="E2212" s="6" t="s">
        <v>18</v>
      </c>
      <c r="F2212" s="6" t="s">
        <v>400</v>
      </c>
      <c r="G2212" s="8">
        <v>45358</v>
      </c>
      <c r="H2212" s="6">
        <v>13.87</v>
      </c>
      <c r="I2212" s="6" cm="1">
        <f t="array" ref="I2212">IFERROR(VALUE(TRIM(LEFT(E2212,MIN(FIND({" ";"g";"k";"m";"o"},E2212&amp;" gkmo"))-1))),0)</f>
        <v>100</v>
      </c>
      <c r="J2212" s="6" t="str" cm="1">
        <f t="array" ref="J2212">IFERROR(TRIM(MID(E2212,MIN(FIND({" ";"g";"k";"m";"o"},E2212&amp;" gkmo")),10)),"unknown")</f>
        <v>g</v>
      </c>
      <c r="K2212" s="6" t="str">
        <f t="shared" si="136"/>
        <v>g</v>
      </c>
      <c r="L2212" s="6" t="str">
        <f t="shared" si="137"/>
        <v>Menier</v>
      </c>
      <c r="M2212" s="6" t="str">
        <f t="shared" si="138"/>
        <v>Menier Swiss Dark Chocolate</v>
      </c>
      <c r="N2212" s="6" t="str">
        <f t="shared" si="139"/>
        <v>France,United Kingdom</v>
      </c>
    </row>
    <row r="2213" spans="1:14" x14ac:dyDescent="0.25">
      <c r="A2213" s="6" t="s">
        <v>5303</v>
      </c>
      <c r="B2213" s="6">
        <v>9654</v>
      </c>
      <c r="C2213" s="6" t="s">
        <v>5304</v>
      </c>
      <c r="D2213" s="7" t="s">
        <v>5305</v>
      </c>
      <c r="E2213" s="6"/>
      <c r="F2213" s="6" t="s">
        <v>7926</v>
      </c>
      <c r="G2213" s="8">
        <v>45634</v>
      </c>
      <c r="H2213" s="6">
        <v>18.809999999999999</v>
      </c>
      <c r="I2213" s="6" cm="1">
        <f t="array" ref="I2213">IFERROR(VALUE(TRIM(LEFT(E2213,MIN(FIND({" ";"g";"k";"m";"o"},E2213&amp;" gkmo"))-1))),0)</f>
        <v>0</v>
      </c>
      <c r="J2213" s="6" t="str" cm="1">
        <f t="array" ref="J2213">IFERROR(TRIM(MID(E2213,MIN(FIND({" ";"g";"k";"m";"o"},E2213&amp;" gkmo")),10)),"unknown")</f>
        <v/>
      </c>
      <c r="K2213" s="6" t="str">
        <f t="shared" si="136"/>
        <v>unknown</v>
      </c>
      <c r="L2213" s="6" t="str">
        <f t="shared" si="137"/>
        <v>Smiths</v>
      </c>
      <c r="M2213" s="6" t="str">
        <f t="shared" si="138"/>
        <v>Smiths Scampi &amp; Lemon Snacks</v>
      </c>
      <c r="N2213" s="6" t="str">
        <f t="shared" si="139"/>
        <v>France, United-Kingdom</v>
      </c>
    </row>
    <row r="2214" spans="1:14" x14ac:dyDescent="0.25">
      <c r="A2214" s="6" t="s">
        <v>5306</v>
      </c>
      <c r="B2214" s="6">
        <v>5324</v>
      </c>
      <c r="C2214" s="6" t="s">
        <v>5307</v>
      </c>
      <c r="D2214" s="7" t="s">
        <v>306</v>
      </c>
      <c r="E2214" s="6" t="s">
        <v>2294</v>
      </c>
      <c r="F2214" s="6" t="s">
        <v>5308</v>
      </c>
      <c r="G2214" s="8">
        <v>45571</v>
      </c>
      <c r="H2214" s="6">
        <v>15.5</v>
      </c>
      <c r="I2214" s="6" cm="1">
        <f t="array" ref="I2214">IFERROR(VALUE(TRIM(LEFT(E2214,MIN(FIND({" ";"g";"k";"m";"o"},E2214&amp;" gkmo"))-1))),0)</f>
        <v>45</v>
      </c>
      <c r="J2214" s="6" t="str" cm="1">
        <f t="array" ref="J2214">IFERROR(TRIM(MID(E2214,MIN(FIND({" ";"g";"k";"m";"o"},E2214&amp;" gkmo")),10)),"unknown")</f>
        <v>g e</v>
      </c>
      <c r="K2214" s="6" t="str">
        <f t="shared" si="136"/>
        <v>g</v>
      </c>
      <c r="L2214" s="6" t="str">
        <f t="shared" si="137"/>
        <v>Lu</v>
      </c>
      <c r="M2214" s="6" t="str">
        <f t="shared" si="138"/>
        <v>Centwafers</v>
      </c>
      <c r="N2214" s="6" t="str">
        <f t="shared" si="139"/>
        <v>Belgium,France,Luxembourg</v>
      </c>
    </row>
    <row r="2215" spans="1:14" x14ac:dyDescent="0.25">
      <c r="A2215" s="6" t="s">
        <v>5309</v>
      </c>
      <c r="B2215" s="6">
        <v>8334</v>
      </c>
      <c r="C2215" s="6" t="s">
        <v>5310</v>
      </c>
      <c r="D2215" s="7" t="s">
        <v>306</v>
      </c>
      <c r="E2215" s="6" t="s">
        <v>5311</v>
      </c>
      <c r="F2215" s="6" t="s">
        <v>139</v>
      </c>
      <c r="G2215" s="8">
        <v>45846</v>
      </c>
      <c r="H2215" s="6">
        <v>13.16</v>
      </c>
      <c r="I2215" s="6" cm="1">
        <f t="array" ref="I2215">IFERROR(VALUE(TRIM(LEFT(E2215,MIN(FIND({" ";"g";"k";"m";"o"},E2215&amp;" gkmo"))-1))),0)</f>
        <v>150</v>
      </c>
      <c r="J2215" s="6" t="str" cm="1">
        <f t="array" ref="J2215">IFERROR(TRIM(MID(E2215,MIN(FIND({" ";"g";"k";"m";"o"},E2215&amp;" gkmo")),10)),"unknown")</f>
        <v>g e</v>
      </c>
      <c r="K2215" s="6" t="str">
        <f t="shared" si="136"/>
        <v>g</v>
      </c>
      <c r="L2215" s="6" t="str">
        <f t="shared" si="137"/>
        <v>Lu</v>
      </c>
      <c r="M2215" s="6" t="str">
        <f t="shared" si="138"/>
        <v>Pim'S Fraise Touche De Fraise Des Bois</v>
      </c>
      <c r="N2215" s="6" t="str">
        <f t="shared" si="139"/>
        <v>France</v>
      </c>
    </row>
    <row r="2216" spans="1:14" x14ac:dyDescent="0.25">
      <c r="A2216" s="6" t="s">
        <v>5312</v>
      </c>
      <c r="B2216" s="6">
        <v>5157</v>
      </c>
      <c r="C2216" s="6" t="s">
        <v>5313</v>
      </c>
      <c r="D2216" s="7" t="s">
        <v>7017</v>
      </c>
      <c r="E2216" s="6" t="s">
        <v>2083</v>
      </c>
      <c r="F2216" s="6" t="s">
        <v>8136</v>
      </c>
      <c r="G2216" s="8">
        <v>45414</v>
      </c>
      <c r="H2216" s="6">
        <v>1.69</v>
      </c>
      <c r="I2216" s="6" cm="1">
        <f t="array" ref="I2216">IFERROR(VALUE(TRIM(LEFT(E2216,MIN(FIND({" ";"g";"k";"m";"o"},E2216&amp;" gkmo"))-1))),0)</f>
        <v>240</v>
      </c>
      <c r="J2216" s="6" t="str" cm="1">
        <f t="array" ref="J2216">IFERROR(TRIM(MID(E2216,MIN(FIND({" ";"g";"k";"m";"o"},E2216&amp;" gkmo")),10)),"unknown")</f>
        <v>g</v>
      </c>
      <c r="K2216" s="6" t="str">
        <f t="shared" si="136"/>
        <v>g</v>
      </c>
      <c r="L2216" s="6" t="str">
        <f t="shared" si="137"/>
        <v>Unknown</v>
      </c>
      <c r="M2216" s="6" t="str">
        <f t="shared" si="138"/>
        <v>Sans Gluten Et Sans Lactose</v>
      </c>
      <c r="N2216" s="6" t="str">
        <f t="shared" si="139"/>
        <v>Belgium, France, Germany, Switzerland, Netherlands</v>
      </c>
    </row>
    <row r="2217" spans="1:14" x14ac:dyDescent="0.25">
      <c r="A2217" s="6" t="s">
        <v>3144</v>
      </c>
      <c r="B2217" s="6">
        <v>6585</v>
      </c>
      <c r="C2217" s="6" t="s">
        <v>5314</v>
      </c>
      <c r="D2217" s="7" t="s">
        <v>1837</v>
      </c>
      <c r="E2217" s="6"/>
      <c r="F2217" s="6" t="s">
        <v>139</v>
      </c>
      <c r="G2217" s="8">
        <v>45385</v>
      </c>
      <c r="H2217" s="6">
        <v>3.9</v>
      </c>
      <c r="I2217" s="6" cm="1">
        <f t="array" ref="I2217">IFERROR(VALUE(TRIM(LEFT(E2217,MIN(FIND({" ";"g";"k";"m";"o"},E2217&amp;" gkmo"))-1))),0)</f>
        <v>0</v>
      </c>
      <c r="J2217" s="6" t="str" cm="1">
        <f t="array" ref="J2217">IFERROR(TRIM(MID(E2217,MIN(FIND({" ";"g";"k";"m";"o"},E2217&amp;" gkmo")),10)),"unknown")</f>
        <v/>
      </c>
      <c r="K2217" s="6" t="str">
        <f t="shared" si="136"/>
        <v>unknown</v>
      </c>
      <c r="L2217" s="6" t="str">
        <f t="shared" si="137"/>
        <v>Ovomaltine</v>
      </c>
      <c r="M2217" s="6" t="str">
        <f t="shared" si="138"/>
        <v>Ovomaltine Barres</v>
      </c>
      <c r="N2217" s="6" t="str">
        <f t="shared" si="139"/>
        <v>France</v>
      </c>
    </row>
    <row r="2218" spans="1:14" x14ac:dyDescent="0.25">
      <c r="A2218" s="6" t="s">
        <v>5315</v>
      </c>
      <c r="B2218" s="6">
        <v>7619</v>
      </c>
      <c r="C2218" s="6" t="s">
        <v>5316</v>
      </c>
      <c r="D2218" s="7" t="s">
        <v>7017</v>
      </c>
      <c r="E2218" s="6"/>
      <c r="F2218" s="6" t="s">
        <v>139</v>
      </c>
      <c r="G2218" s="8">
        <v>45548</v>
      </c>
      <c r="H2218" s="6">
        <v>5.42</v>
      </c>
      <c r="I2218" s="6" cm="1">
        <f t="array" ref="I2218">IFERROR(VALUE(TRIM(LEFT(E2218,MIN(FIND({" ";"g";"k";"m";"o"},E2218&amp;" gkmo"))-1))),0)</f>
        <v>0</v>
      </c>
      <c r="J2218" s="6" t="str" cm="1">
        <f t="array" ref="J2218">IFERROR(TRIM(MID(E2218,MIN(FIND({" ";"g";"k";"m";"o"},E2218&amp;" gkmo")),10)),"unknown")</f>
        <v/>
      </c>
      <c r="K2218" s="6" t="str">
        <f t="shared" si="136"/>
        <v>unknown</v>
      </c>
      <c r="L2218" s="6" t="str">
        <f t="shared" si="137"/>
        <v>Unknown</v>
      </c>
      <c r="M2218" s="6" t="str">
        <f t="shared" si="138"/>
        <v>Granola Barre Extra Cookie</v>
      </c>
      <c r="N2218" s="6" t="str">
        <f t="shared" si="139"/>
        <v>France</v>
      </c>
    </row>
    <row r="2219" spans="1:14" x14ac:dyDescent="0.25">
      <c r="A2219" s="6" t="s">
        <v>5317</v>
      </c>
      <c r="B2219" s="6">
        <v>5718</v>
      </c>
      <c r="C2219" s="6" t="s">
        <v>433</v>
      </c>
      <c r="D2219" s="7" t="s">
        <v>5318</v>
      </c>
      <c r="E2219" s="6" t="s">
        <v>5319</v>
      </c>
      <c r="F2219" s="6" t="s">
        <v>5320</v>
      </c>
      <c r="G2219" s="8">
        <v>46005</v>
      </c>
      <c r="H2219" s="6">
        <v>16.18</v>
      </c>
      <c r="I2219" s="6" cm="1">
        <f t="array" ref="I2219">IFERROR(VALUE(TRIM(LEFT(E2219,MIN(FIND({" ";"g";"k";"m";"o"},E2219&amp;" gkmo"))-1))),0)</f>
        <v>360</v>
      </c>
      <c r="J2219" s="6" t="str" cm="1">
        <f t="array" ref="J2219">IFERROR(TRIM(MID(E2219,MIN(FIND({" ";"g";"k";"m";"o"},E2219&amp;" gkmo")),10)),"unknown")</f>
        <v>gram</v>
      </c>
      <c r="K2219" s="6" t="str">
        <f t="shared" si="136"/>
        <v>g</v>
      </c>
      <c r="L2219" s="6" t="str">
        <f t="shared" si="137"/>
        <v>Toblerone</v>
      </c>
      <c r="M2219" s="6" t="str">
        <f t="shared" si="138"/>
        <v>Toblerone</v>
      </c>
      <c r="N2219" s="6" t="str">
        <f t="shared" si="139"/>
        <v>France, Switzerland, Germany</v>
      </c>
    </row>
    <row r="2220" spans="1:14" x14ac:dyDescent="0.25">
      <c r="A2220" s="6" t="s">
        <v>5321</v>
      </c>
      <c r="B2220" s="6">
        <v>11415</v>
      </c>
      <c r="C2220" s="6" t="s">
        <v>7262</v>
      </c>
      <c r="D2220" s="7" t="s">
        <v>2840</v>
      </c>
      <c r="E2220" s="6" t="s">
        <v>5322</v>
      </c>
      <c r="F2220" s="6" t="s">
        <v>139</v>
      </c>
      <c r="G2220" s="8">
        <v>46033</v>
      </c>
      <c r="H2220" s="6">
        <v>16.489999999999998</v>
      </c>
      <c r="I2220" s="6" cm="1">
        <f t="array" ref="I2220">IFERROR(VALUE(TRIM(LEFT(E2220,MIN(FIND({" ";"g";"k";"m";"o"},E2220&amp;" gkmo"))-1))),0)</f>
        <v>215</v>
      </c>
      <c r="J2220" s="6" t="str" cm="1">
        <f t="array" ref="J2220">IFERROR(TRIM(MID(E2220,MIN(FIND({" ";"g";"k";"m";"o"},E2220&amp;" gkmo")),10)),"unknown")</f>
        <v>g</v>
      </c>
      <c r="K2220" s="6" t="str">
        <f t="shared" si="136"/>
        <v>g</v>
      </c>
      <c r="L2220" s="6" t="str">
        <f t="shared" si="137"/>
        <v>Ferrero, Kinder</v>
      </c>
      <c r="M2220" s="6" t="str">
        <f t="shared" si="138"/>
        <v>Barre Chocolatée Kinder Bueno Chocolat Au Lait</v>
      </c>
      <c r="N2220" s="6" t="str">
        <f t="shared" si="139"/>
        <v>France</v>
      </c>
    </row>
    <row r="2221" spans="1:14" x14ac:dyDescent="0.25">
      <c r="A2221" s="6" t="s">
        <v>5323</v>
      </c>
      <c r="B2221" s="6">
        <v>13348</v>
      </c>
      <c r="C2221" s="6" t="s">
        <v>7823</v>
      </c>
      <c r="D2221" s="7" t="s">
        <v>5324</v>
      </c>
      <c r="E2221" s="6" t="s">
        <v>3620</v>
      </c>
      <c r="F2221" s="6" t="s">
        <v>5325</v>
      </c>
      <c r="G2221" s="8">
        <v>45409</v>
      </c>
      <c r="H2221" s="6">
        <v>5.99</v>
      </c>
      <c r="I2221" s="6" cm="1">
        <f t="array" ref="I2221">IFERROR(VALUE(TRIM(LEFT(E2221,MIN(FIND({" ";"g";"k";"m";"o"},E2221&amp;" gkmo"))-1))),0)</f>
        <v>54</v>
      </c>
      <c r="J2221" s="6" t="str" cm="1">
        <f t="array" ref="J2221">IFERROR(TRIM(MID(E2221,MIN(FIND({" ";"g";"k";"m";"o"},E2221&amp;" gkmo")),10)),"unknown")</f>
        <v>g</v>
      </c>
      <c r="K2221" s="6" t="str">
        <f t="shared" si="136"/>
        <v>g</v>
      </c>
      <c r="L2221" s="6" t="str">
        <f t="shared" si="137"/>
        <v>Ferrero, Tic Tac</v>
      </c>
      <c r="M2221" s="6" t="str">
        <f t="shared" si="138"/>
        <v>Bonbons Tic Tac X110 Pastilles Menthe Extra Fraàžche - 54G</v>
      </c>
      <c r="N2221" s="6" t="str">
        <f t="shared" si="139"/>
        <v>France, Switzerland</v>
      </c>
    </row>
    <row r="2222" spans="1:14" x14ac:dyDescent="0.25">
      <c r="A2222" s="6" t="s">
        <v>5326</v>
      </c>
      <c r="B2222" s="6">
        <v>9570</v>
      </c>
      <c r="C2222" s="6" t="s">
        <v>5327</v>
      </c>
      <c r="D2222" s="7" t="s">
        <v>5328</v>
      </c>
      <c r="E2222" s="6" t="s">
        <v>5329</v>
      </c>
      <c r="F2222" s="6" t="s">
        <v>5330</v>
      </c>
      <c r="G2222" s="8">
        <v>45427</v>
      </c>
      <c r="H2222" s="6">
        <v>23.37</v>
      </c>
      <c r="I2222" s="6" cm="1">
        <f t="array" ref="I2222">IFERROR(VALUE(TRIM(LEFT(E2222,MIN(FIND({" ";"g";"k";"m";"o"},E2222&amp;" gkmo"))-1))),0)</f>
        <v>0</v>
      </c>
      <c r="J2222" s="6" t="str" cm="1">
        <f t="array" ref="J2222">IFERROR(TRIM(MID(E2222,MIN(FIND({" ";"g";"k";"m";"o"},E2222&amp;" gkmo")),10)),"unknown")</f>
        <v/>
      </c>
      <c r="K2222" s="6" t="str">
        <f t="shared" si="136"/>
        <v>unknown</v>
      </c>
      <c r="L2222" s="6" t="str">
        <f t="shared" si="137"/>
        <v>Bambi</v>
      </c>
      <c r="M2222" s="6" t="str">
        <f t="shared" si="138"/>
        <v>Plazma</v>
      </c>
      <c r="N2222" s="6" t="str">
        <f t="shared" si="139"/>
        <v>Serbien, Germany</v>
      </c>
    </row>
    <row r="2223" spans="1:14" x14ac:dyDescent="0.25">
      <c r="A2223" s="6" t="s">
        <v>5331</v>
      </c>
      <c r="B2223" s="6">
        <v>5618</v>
      </c>
      <c r="C2223" s="6" t="s">
        <v>5332</v>
      </c>
      <c r="D2223" s="7" t="s">
        <v>1348</v>
      </c>
      <c r="E2223" s="6"/>
      <c r="F2223" s="6" t="s">
        <v>1456</v>
      </c>
      <c r="G2223" s="8">
        <v>45999</v>
      </c>
      <c r="H2223" s="6">
        <v>12.06</v>
      </c>
      <c r="I2223" s="6" cm="1">
        <f t="array" ref="I2223">IFERROR(VALUE(TRIM(LEFT(E2223,MIN(FIND({" ";"g";"k";"m";"o"},E2223&amp;" gkmo"))-1))),0)</f>
        <v>0</v>
      </c>
      <c r="J2223" s="6" t="str" cm="1">
        <f t="array" ref="J2223">IFERROR(TRIM(MID(E2223,MIN(FIND({" ";"g";"k";"m";"o"},E2223&amp;" gkmo")),10)),"unknown")</f>
        <v/>
      </c>
      <c r="K2223" s="6" t="str">
        <f t="shared" si="136"/>
        <v>unknown</v>
      </c>
      <c r="L2223" s="6" t="str">
        <f t="shared" si="137"/>
        <v>Cadbury</v>
      </c>
      <c r="M2223" s="6" t="str">
        <f t="shared" si="138"/>
        <v>Dairy Milk Little Bar</v>
      </c>
      <c r="N2223" s="6" t="str">
        <f t="shared" si="139"/>
        <v>France,United Kingdom,United States</v>
      </c>
    </row>
    <row r="2224" spans="1:14" x14ac:dyDescent="0.25">
      <c r="A2224" s="6" t="s">
        <v>5333</v>
      </c>
      <c r="B2224" s="6">
        <v>12575</v>
      </c>
      <c r="C2224" s="6" t="s">
        <v>7343</v>
      </c>
      <c r="D2224" s="7" t="s">
        <v>854</v>
      </c>
      <c r="E2224" s="6"/>
      <c r="F2224" s="6" t="s">
        <v>8280</v>
      </c>
      <c r="G2224" s="8">
        <v>45400</v>
      </c>
      <c r="H2224" s="6">
        <v>20.68</v>
      </c>
      <c r="I2224" s="6" cm="1">
        <f t="array" ref="I2224">IFERROR(VALUE(TRIM(LEFT(E2224,MIN(FIND({" ";"g";"k";"m";"o"},E2224&amp;" gkmo"))-1))),0)</f>
        <v>0</v>
      </c>
      <c r="J2224" s="6" t="str" cm="1">
        <f t="array" ref="J2224">IFERROR(TRIM(MID(E2224,MIN(FIND({" ";"g";"k";"m";"o"},E2224&amp;" gkmo")),10)),"unknown")</f>
        <v/>
      </c>
      <c r="K2224" s="6" t="str">
        <f t="shared" si="136"/>
        <v>unknown</v>
      </c>
      <c r="L2224" s="6" t="str">
        <f t="shared" si="137"/>
        <v>Carrefour</v>
      </c>
      <c r="M2224" s="6" t="str">
        <f t="shared" si="138"/>
        <v>Crunchy Toasts Seigle Complet &amp; Sésame</v>
      </c>
      <c r="N2224" s="6" t="str">
        <f t="shared" si="139"/>
        <v>France,Italie,Spain</v>
      </c>
    </row>
    <row r="2225" spans="1:14" x14ac:dyDescent="0.25">
      <c r="A2225" s="6" t="s">
        <v>5334</v>
      </c>
      <c r="B2225" s="6">
        <v>6728</v>
      </c>
      <c r="C2225" s="6" t="s">
        <v>7824</v>
      </c>
      <c r="D2225" s="7" t="s">
        <v>5335</v>
      </c>
      <c r="E2225" s="6"/>
      <c r="F2225" s="6" t="s">
        <v>5336</v>
      </c>
      <c r="G2225" s="8">
        <v>45421</v>
      </c>
      <c r="H2225" s="6">
        <v>17</v>
      </c>
      <c r="I2225" s="6" cm="1">
        <f t="array" ref="I2225">IFERROR(VALUE(TRIM(LEFT(E2225,MIN(FIND({" ";"g";"k";"m";"o"},E2225&amp;" gkmo"))-1))),0)</f>
        <v>0</v>
      </c>
      <c r="J2225" s="6" t="str" cm="1">
        <f t="array" ref="J2225">IFERROR(TRIM(MID(E2225,MIN(FIND({" ";"g";"k";"m";"o"},E2225&amp;" gkmo")),10)),"unknown")</f>
        <v/>
      </c>
      <c r="K2225" s="6" t="str">
        <f t="shared" si="136"/>
        <v>unknown</v>
      </c>
      <c r="L2225" s="6" t="str">
        <f t="shared" si="137"/>
        <v>Carrefour Classic'</v>
      </c>
      <c r="M2225" s="6" t="str">
        <f t="shared" si="138"/>
        <v>CacahuàˆTes Grillees Salees</v>
      </c>
      <c r="N2225" s="6" t="str">
        <f t="shared" si="139"/>
        <v>Belgium,France,Italy,Poland,Romania,Spain,Guadeloupe</v>
      </c>
    </row>
    <row r="2226" spans="1:14" x14ac:dyDescent="0.25">
      <c r="A2226" s="6" t="s">
        <v>5337</v>
      </c>
      <c r="B2226" s="6">
        <v>12279</v>
      </c>
      <c r="C2226" s="6" t="s">
        <v>5338</v>
      </c>
      <c r="D2226" s="7" t="s">
        <v>613</v>
      </c>
      <c r="E2226" s="6" t="s">
        <v>291</v>
      </c>
      <c r="F2226" s="6" t="s">
        <v>7562</v>
      </c>
      <c r="G2226" s="8">
        <v>45358</v>
      </c>
      <c r="H2226" s="6">
        <v>3.45</v>
      </c>
      <c r="I2226" s="6" cm="1">
        <f t="array" ref="I2226">IFERROR(VALUE(TRIM(LEFT(E2226,MIN(FIND({" ";"g";"k";"m";"o"},E2226&amp;" gkmo"))-1))),0)</f>
        <v>140</v>
      </c>
      <c r="J2226" s="6" t="str" cm="1">
        <f t="array" ref="J2226">IFERROR(TRIM(MID(E2226,MIN(FIND({" ";"g";"k";"m";"o"},E2226&amp;" gkmo")),10)),"unknown")</f>
        <v>g</v>
      </c>
      <c r="K2226" s="6" t="str">
        <f t="shared" si="136"/>
        <v>g</v>
      </c>
      <c r="L2226" s="6" t="str">
        <f t="shared" si="137"/>
        <v>Nakd</v>
      </c>
      <c r="M2226" s="6" t="str">
        <f t="shared" si="138"/>
        <v>Salted Caramel Bar</v>
      </c>
      <c r="N2226" s="6" t="str">
        <f t="shared" si="139"/>
        <v>België,Tsjechië,Frankrijk,Senegal,Spanje</v>
      </c>
    </row>
    <row r="2227" spans="1:14" x14ac:dyDescent="0.25">
      <c r="A2227" s="6" t="s">
        <v>5339</v>
      </c>
      <c r="B2227" s="6">
        <v>14139</v>
      </c>
      <c r="C2227" s="6" t="s">
        <v>7344</v>
      </c>
      <c r="D2227" s="7" t="s">
        <v>5340</v>
      </c>
      <c r="E2227" s="6" t="s">
        <v>82</v>
      </c>
      <c r="F2227" s="6" t="s">
        <v>3952</v>
      </c>
      <c r="G2227" s="8">
        <v>45328</v>
      </c>
      <c r="H2227" s="6">
        <v>1.85</v>
      </c>
      <c r="I2227" s="6" cm="1">
        <f t="array" ref="I2227">IFERROR(VALUE(TRIM(LEFT(E2227,MIN(FIND({" ";"g";"k";"m";"o"},E2227&amp;" gkmo"))-1))),0)</f>
        <v>230</v>
      </c>
      <c r="J2227" s="6" t="str" cm="1">
        <f t="array" ref="J2227">IFERROR(TRIM(MID(E2227,MIN(FIND({" ";"g";"k";"m";"o"},E2227&amp;" gkmo")),10)),"unknown")</f>
        <v>g</v>
      </c>
      <c r="K2227" s="6" t="str">
        <f t="shared" si="136"/>
        <v>g</v>
      </c>
      <c r="L2227" s="6" t="str">
        <f t="shared" si="137"/>
        <v>Ekibio,Le Pain Des Fleurs</v>
      </c>
      <c r="M2227" s="6" t="str">
        <f t="shared" si="138"/>
        <v>Spécial Matin Sarrasin Fibre</v>
      </c>
      <c r="N2227" s="6" t="str">
        <f t="shared" si="139"/>
        <v>Belgium,France,Spain</v>
      </c>
    </row>
    <row r="2228" spans="1:14" x14ac:dyDescent="0.25">
      <c r="A2228" s="6" t="s">
        <v>5341</v>
      </c>
      <c r="B2228" s="6">
        <v>12311</v>
      </c>
      <c r="C2228" s="6" t="s">
        <v>5342</v>
      </c>
      <c r="D2228" s="7" t="s">
        <v>2398</v>
      </c>
      <c r="E2228" s="6" t="s">
        <v>14</v>
      </c>
      <c r="F2228" s="6" t="s">
        <v>113</v>
      </c>
      <c r="G2228" s="8">
        <v>45433</v>
      </c>
      <c r="H2228" s="6">
        <v>15.81</v>
      </c>
      <c r="I2228" s="6" cm="1">
        <f t="array" ref="I2228">IFERROR(VALUE(TRIM(LEFT(E2228,MIN(FIND({" ";"g";"k";"m";"o"},E2228&amp;" gkmo"))-1))),0)</f>
        <v>300</v>
      </c>
      <c r="J2228" s="6" t="str" cm="1">
        <f t="array" ref="J2228">IFERROR(TRIM(MID(E2228,MIN(FIND({" ";"g";"k";"m";"o"},E2228&amp;" gkmo")),10)),"unknown")</f>
        <v>g</v>
      </c>
      <c r="K2228" s="6" t="str">
        <f t="shared" si="136"/>
        <v>g</v>
      </c>
      <c r="L2228" s="6" t="str">
        <f t="shared" si="137"/>
        <v>Galbusera</v>
      </c>
      <c r="M2228" s="6" t="str">
        <f t="shared" si="138"/>
        <v>Galbusera Frollino Vitagi Alcalinizzante</v>
      </c>
      <c r="N2228" s="6" t="str">
        <f t="shared" si="139"/>
        <v>Italia</v>
      </c>
    </row>
    <row r="2229" spans="1:14" x14ac:dyDescent="0.25">
      <c r="A2229" s="6" t="s">
        <v>5343</v>
      </c>
      <c r="B2229" s="6">
        <v>9476</v>
      </c>
      <c r="C2229" s="6" t="s">
        <v>5344</v>
      </c>
      <c r="D2229" s="7" t="s">
        <v>7033</v>
      </c>
      <c r="E2229" s="6" t="s">
        <v>5345</v>
      </c>
      <c r="F2229" s="6" t="s">
        <v>2973</v>
      </c>
      <c r="G2229" s="8">
        <v>45846</v>
      </c>
      <c r="H2229" s="6">
        <v>13.16</v>
      </c>
      <c r="I2229" s="6" cm="1">
        <f t="array" ref="I2229">IFERROR(VALUE(TRIM(LEFT(E2229,MIN(FIND({" ";"g";"k";"m";"o"},E2229&amp;" gkmo"))-1))),0)</f>
        <v>0</v>
      </c>
      <c r="J2229" s="6" t="str" cm="1">
        <f t="array" ref="J2229">IFERROR(TRIM(MID(E2229,MIN(FIND({" ";"g";"k";"m";"o"},E2229&amp;" gkmo")),10)),"unknown")</f>
        <v>g</v>
      </c>
      <c r="K2229" s="6" t="str">
        <f t="shared" si="136"/>
        <v>g</v>
      </c>
      <c r="L2229" s="6" t="str">
        <f t="shared" si="137"/>
        <v>Nestlé</v>
      </c>
      <c r="M2229" s="6" t="str">
        <f t="shared" si="138"/>
        <v>Kitkat Chunky</v>
      </c>
      <c r="N2229" s="6" t="str">
        <f t="shared" si="139"/>
        <v>Gb</v>
      </c>
    </row>
    <row r="2230" spans="1:14" x14ac:dyDescent="0.25">
      <c r="A2230" s="6" t="s">
        <v>5346</v>
      </c>
      <c r="B2230" s="6">
        <v>14969</v>
      </c>
      <c r="C2230" s="6" t="s">
        <v>5347</v>
      </c>
      <c r="D2230" s="7" t="s">
        <v>5348</v>
      </c>
      <c r="E2230" s="6" t="s">
        <v>5349</v>
      </c>
      <c r="F2230" s="6" t="s">
        <v>48</v>
      </c>
      <c r="G2230" s="8">
        <v>45836</v>
      </c>
      <c r="H2230" s="6">
        <v>7.72</v>
      </c>
      <c r="I2230" s="6" cm="1">
        <f t="array" ref="I2230">IFERROR(VALUE(TRIM(LEFT(E2230,MIN(FIND({" ";"g";"k";"m";"o"},E2230&amp;" gkmo"))-1))),0)</f>
        <v>15</v>
      </c>
      <c r="J2230" s="6" t="str" cm="1">
        <f t="array" ref="J2230">IFERROR(TRIM(MID(E2230,MIN(FIND({" ";"g";"k";"m";"o"},E2230&amp;" gkmo")),10)),"unknown")</f>
        <v>g</v>
      </c>
      <c r="K2230" s="6" t="str">
        <f t="shared" si="136"/>
        <v>g</v>
      </c>
      <c r="L2230" s="6" t="str">
        <f t="shared" si="137"/>
        <v>Frita</v>
      </c>
      <c r="M2230" s="6" t="str">
        <f t="shared" si="138"/>
        <v>Frita Saveur Paprika</v>
      </c>
      <c r="N2230" s="6" t="str">
        <f t="shared" si="139"/>
        <v>Morocco</v>
      </c>
    </row>
    <row r="2231" spans="1:14" x14ac:dyDescent="0.25">
      <c r="A2231" s="6" t="s">
        <v>5350</v>
      </c>
      <c r="B2231" s="6">
        <v>7790</v>
      </c>
      <c r="C2231" s="6" t="s">
        <v>5351</v>
      </c>
      <c r="D2231" s="7" t="s">
        <v>624</v>
      </c>
      <c r="E2231" s="6" t="s">
        <v>423</v>
      </c>
      <c r="F2231" s="6" t="s">
        <v>139</v>
      </c>
      <c r="G2231" s="8">
        <v>45583</v>
      </c>
      <c r="H2231" s="6">
        <v>18.34</v>
      </c>
      <c r="I2231" s="6" cm="1">
        <f t="array" ref="I2231">IFERROR(VALUE(TRIM(LEFT(E2231,MIN(FIND({" ";"g";"k";"m";"o"},E2231&amp;" gkmo"))-1))),0)</f>
        <v>125</v>
      </c>
      <c r="J2231" s="6" t="str" cm="1">
        <f t="array" ref="J2231">IFERROR(TRIM(MID(E2231,MIN(FIND({" ";"g";"k";"m";"o"},E2231&amp;" gkmo")),10)),"unknown")</f>
        <v>g</v>
      </c>
      <c r="K2231" s="6" t="str">
        <f t="shared" si="136"/>
        <v>g</v>
      </c>
      <c r="L2231" s="6" t="str">
        <f t="shared" si="137"/>
        <v>Brets</v>
      </c>
      <c r="M2231" s="6" t="str">
        <f t="shared" si="138"/>
        <v>Chips Saveur Sauce Pommes Frites</v>
      </c>
      <c r="N2231" s="6" t="str">
        <f t="shared" si="139"/>
        <v>France</v>
      </c>
    </row>
    <row r="2232" spans="1:14" x14ac:dyDescent="0.25">
      <c r="A2232" s="6" t="s">
        <v>5352</v>
      </c>
      <c r="B2232" s="6">
        <v>12343</v>
      </c>
      <c r="C2232" s="6" t="s">
        <v>7017</v>
      </c>
      <c r="D2232" s="7" t="s">
        <v>7578</v>
      </c>
      <c r="E2232" s="6" t="s">
        <v>39</v>
      </c>
      <c r="F2232" s="6" t="s">
        <v>8137</v>
      </c>
      <c r="G2232" s="8">
        <v>45327</v>
      </c>
      <c r="H2232" s="6">
        <v>13.16</v>
      </c>
      <c r="I2232" s="6" cm="1">
        <f t="array" ref="I2232">IFERROR(VALUE(TRIM(LEFT(E2232,MIN(FIND({" ";"g";"k";"m";"o"},E2232&amp;" gkmo"))-1))),0)</f>
        <v>150</v>
      </c>
      <c r="J2232" s="6" t="str" cm="1">
        <f t="array" ref="J2232">IFERROR(TRIM(MID(E2232,MIN(FIND({" ";"g";"k";"m";"o"},E2232&amp;" gkmo")),10)),"unknown")</f>
        <v>g</v>
      </c>
      <c r="K2232" s="6" t="str">
        <f t="shared" si="136"/>
        <v>g</v>
      </c>
      <c r="L2232" s="6" t="str">
        <f t="shared" si="137"/>
        <v>Gullà³N</v>
      </c>
      <c r="M2232" s="6" t="str">
        <f t="shared" si="138"/>
        <v>Unknown</v>
      </c>
      <c r="N2232" s="6" t="str">
        <f t="shared" si="139"/>
        <v>Morocco, Spain, France</v>
      </c>
    </row>
    <row r="2233" spans="1:14" x14ac:dyDescent="0.25">
      <c r="A2233" s="6" t="s">
        <v>5353</v>
      </c>
      <c r="B2233" s="6">
        <v>10128</v>
      </c>
      <c r="C2233" s="6" t="s">
        <v>5354</v>
      </c>
      <c r="D2233" s="7" t="s">
        <v>726</v>
      </c>
      <c r="E2233" s="6" t="s">
        <v>197</v>
      </c>
      <c r="F2233" s="6" t="s">
        <v>177</v>
      </c>
      <c r="G2233" s="8">
        <v>46056</v>
      </c>
      <c r="H2233" s="6">
        <v>1.38</v>
      </c>
      <c r="I2233" s="6" cm="1">
        <f t="array" ref="I2233">IFERROR(VALUE(TRIM(LEFT(E2233,MIN(FIND({" ";"g";"k";"m";"o"},E2233&amp;" gkmo"))-1))),0)</f>
        <v>130</v>
      </c>
      <c r="J2233" s="6" t="str" cm="1">
        <f t="array" ref="J2233">IFERROR(TRIM(MID(E2233,MIN(FIND({" ";"g";"k";"m";"o"},E2233&amp;" gkmo")),10)),"unknown")</f>
        <v>g</v>
      </c>
      <c r="K2233" s="6" t="str">
        <f t="shared" si="136"/>
        <v>g</v>
      </c>
      <c r="L2233" s="6" t="str">
        <f t="shared" si="137"/>
        <v>Walkers</v>
      </c>
      <c r="M2233" s="6" t="str">
        <f t="shared" si="138"/>
        <v>Wortsits Giants Really Cheesy</v>
      </c>
      <c r="N2233" s="6" t="str">
        <f t="shared" si="139"/>
        <v>United Kingdom</v>
      </c>
    </row>
    <row r="2234" spans="1:14" x14ac:dyDescent="0.25">
      <c r="A2234" s="6" t="s">
        <v>5355</v>
      </c>
      <c r="B2234" s="6">
        <v>7036</v>
      </c>
      <c r="C2234" s="6" t="s">
        <v>5356</v>
      </c>
      <c r="D2234" s="7" t="s">
        <v>7505</v>
      </c>
      <c r="E2234" s="6" t="s">
        <v>151</v>
      </c>
      <c r="F2234" s="6" t="s">
        <v>139</v>
      </c>
      <c r="G2234" s="8">
        <v>45926</v>
      </c>
      <c r="H2234" s="6">
        <v>22.54</v>
      </c>
      <c r="I2234" s="6" cm="1">
        <f t="array" ref="I2234">IFERROR(VALUE(TRIM(LEFT(E2234,MIN(FIND({" ";"g";"k";"m";"o"},E2234&amp;" gkmo"))-1))),0)</f>
        <v>200</v>
      </c>
      <c r="J2234" s="6" t="str" cm="1">
        <f t="array" ref="J2234">IFERROR(TRIM(MID(E2234,MIN(FIND({" ";"g";"k";"m";"o"},E2234&amp;" gkmo")),10)),"unknown")</f>
        <v>g</v>
      </c>
      <c r="K2234" s="6" t="str">
        <f t="shared" si="136"/>
        <v>g</v>
      </c>
      <c r="L2234" s="6" t="str">
        <f t="shared" si="137"/>
        <v>Marque Repère, Nat&amp;Vie</v>
      </c>
      <c r="M2234" s="6" t="str">
        <f t="shared" si="138"/>
        <v>Pomme</v>
      </c>
      <c r="N2234" s="6" t="str">
        <f t="shared" si="139"/>
        <v>France</v>
      </c>
    </row>
    <row r="2235" spans="1:14" x14ac:dyDescent="0.25">
      <c r="A2235" s="6" t="s">
        <v>5357</v>
      </c>
      <c r="B2235" s="6">
        <v>10615</v>
      </c>
      <c r="C2235" s="6" t="s">
        <v>5358</v>
      </c>
      <c r="D2235" s="7" t="s">
        <v>726</v>
      </c>
      <c r="E2235" s="6" t="s">
        <v>575</v>
      </c>
      <c r="F2235" s="6" t="s">
        <v>177</v>
      </c>
      <c r="G2235" s="8">
        <v>45919</v>
      </c>
      <c r="H2235" s="6">
        <v>18.47</v>
      </c>
      <c r="I2235" s="6" cm="1">
        <f t="array" ref="I2235">IFERROR(VALUE(TRIM(LEFT(E2235,MIN(FIND({" ";"g";"k";"m";"o"},E2235&amp;" gkmo"))-1))),0)</f>
        <v>21</v>
      </c>
      <c r="J2235" s="6" t="str" cm="1">
        <f t="array" ref="J2235">IFERROR(TRIM(MID(E2235,MIN(FIND({" ";"g";"k";"m";"o"},E2235&amp;" gkmo")),10)),"unknown")</f>
        <v>g</v>
      </c>
      <c r="K2235" s="6" t="str">
        <f t="shared" si="136"/>
        <v>g</v>
      </c>
      <c r="L2235" s="6" t="str">
        <f t="shared" si="137"/>
        <v>Walkers</v>
      </c>
      <c r="M2235" s="6" t="str">
        <f t="shared" si="138"/>
        <v>French Fries - Ready Salted</v>
      </c>
      <c r="N2235" s="6" t="str">
        <f t="shared" si="139"/>
        <v>United Kingdom</v>
      </c>
    </row>
    <row r="2236" spans="1:14" x14ac:dyDescent="0.25">
      <c r="A2236" s="6" t="s">
        <v>5359</v>
      </c>
      <c r="B2236" s="6">
        <v>6340</v>
      </c>
      <c r="C2236" s="6" t="s">
        <v>5360</v>
      </c>
      <c r="D2236" s="7" t="s">
        <v>1905</v>
      </c>
      <c r="E2236" s="6"/>
      <c r="F2236" s="6" t="s">
        <v>177</v>
      </c>
      <c r="G2236" s="8">
        <v>45468</v>
      </c>
      <c r="H2236" s="6">
        <v>9.9499999999999993</v>
      </c>
      <c r="I2236" s="6" cm="1">
        <f t="array" ref="I2236">IFERROR(VALUE(TRIM(LEFT(E2236,MIN(FIND({" ";"g";"k";"m";"o"},E2236&amp;" gkmo"))-1))),0)</f>
        <v>0</v>
      </c>
      <c r="J2236" s="6" t="str" cm="1">
        <f t="array" ref="J2236">IFERROR(TRIM(MID(E2236,MIN(FIND({" ";"g";"k";"m";"o"},E2236&amp;" gkmo")),10)),"unknown")</f>
        <v/>
      </c>
      <c r="K2236" s="6" t="str">
        <f t="shared" si="136"/>
        <v>unknown</v>
      </c>
      <c r="L2236" s="6" t="str">
        <f t="shared" si="137"/>
        <v>Trek</v>
      </c>
      <c r="M2236" s="6" t="str">
        <f t="shared" si="138"/>
        <v>Protein Flapjacks Salted Caramel</v>
      </c>
      <c r="N2236" s="6" t="str">
        <f t="shared" si="139"/>
        <v>United Kingdom</v>
      </c>
    </row>
    <row r="2237" spans="1:14" x14ac:dyDescent="0.25">
      <c r="A2237" s="6" t="s">
        <v>5361</v>
      </c>
      <c r="B2237" s="6">
        <v>11554</v>
      </c>
      <c r="C2237" s="6" t="s">
        <v>5362</v>
      </c>
      <c r="D2237" s="7" t="s">
        <v>7578</v>
      </c>
      <c r="E2237" s="6" t="s">
        <v>1020</v>
      </c>
      <c r="F2237" s="6" t="s">
        <v>1185</v>
      </c>
      <c r="G2237" s="8">
        <v>45548</v>
      </c>
      <c r="H2237" s="6">
        <v>13.44</v>
      </c>
      <c r="I2237" s="6" cm="1">
        <f t="array" ref="I2237">IFERROR(VALUE(TRIM(LEFT(E2237,MIN(FIND({" ";"g";"k";"m";"o"},E2237&amp;" gkmo"))-1))),0)</f>
        <v>60</v>
      </c>
      <c r="J2237" s="6" t="str" cm="1">
        <f t="array" ref="J2237">IFERROR(TRIM(MID(E2237,MIN(FIND({" ";"g";"k";"m";"o"},E2237&amp;" gkmo")),10)),"unknown")</f>
        <v>g</v>
      </c>
      <c r="K2237" s="6" t="str">
        <f t="shared" si="136"/>
        <v>g</v>
      </c>
      <c r="L2237" s="6" t="str">
        <f t="shared" si="137"/>
        <v>Gullà³N</v>
      </c>
      <c r="M2237" s="6" t="str">
        <f t="shared" si="138"/>
        <v>Gullon Zero Wafer Vanilla</v>
      </c>
      <c r="N2237" s="6" t="str">
        <f t="shared" si="139"/>
        <v>Spain</v>
      </c>
    </row>
    <row r="2238" spans="1:14" x14ac:dyDescent="0.25">
      <c r="A2238" s="6" t="s">
        <v>5363</v>
      </c>
      <c r="B2238" s="6">
        <v>11024</v>
      </c>
      <c r="C2238" s="6" t="s">
        <v>5364</v>
      </c>
      <c r="D2238" s="7" t="s">
        <v>7017</v>
      </c>
      <c r="E2238" s="6" t="s">
        <v>5365</v>
      </c>
      <c r="F2238" s="6" t="s">
        <v>2973</v>
      </c>
      <c r="G2238" s="8">
        <v>46031</v>
      </c>
      <c r="H2238" s="6">
        <v>7.22</v>
      </c>
      <c r="I2238" s="6" cm="1">
        <f t="array" ref="I2238">IFERROR(VALUE(TRIM(LEFT(E2238,MIN(FIND({" ";"g";"k";"m";"o"},E2238&amp;" gkmo"))-1))),0)</f>
        <v>6</v>
      </c>
      <c r="J2238" s="6" t="str" cm="1">
        <f t="array" ref="J2238">IFERROR(TRIM(MID(E2238,MIN(FIND({" ";"g";"k";"m";"o"},E2238&amp;" gkmo")),10)),"unknown")</f>
        <v>x 25g = 1</v>
      </c>
      <c r="K2238" s="6" t="str">
        <f t="shared" si="136"/>
        <v>g</v>
      </c>
      <c r="L2238" s="6" t="str">
        <f t="shared" si="137"/>
        <v>Unknown</v>
      </c>
      <c r="M2238" s="6" t="str">
        <f t="shared" si="138"/>
        <v>Carrot Cake Soft Oaty Bars</v>
      </c>
      <c r="N2238" s="6" t="str">
        <f t="shared" si="139"/>
        <v>Gb</v>
      </c>
    </row>
    <row r="2239" spans="1:14" x14ac:dyDescent="0.25">
      <c r="A2239" s="6" t="s">
        <v>5366</v>
      </c>
      <c r="B2239" s="6">
        <v>10054</v>
      </c>
      <c r="C2239" s="6" t="s">
        <v>5367</v>
      </c>
      <c r="D2239" s="7" t="s">
        <v>2058</v>
      </c>
      <c r="E2239" s="6" t="s">
        <v>2059</v>
      </c>
      <c r="F2239" s="6" t="s">
        <v>8138</v>
      </c>
      <c r="G2239" s="8">
        <v>45618</v>
      </c>
      <c r="H2239" s="6">
        <v>9.56</v>
      </c>
      <c r="I2239" s="6" cm="1">
        <f t="array" ref="I2239">IFERROR(VALUE(TRIM(LEFT(E2239,MIN(FIND({" ";"g";"k";"m";"o"},E2239&amp;" gkmo"))-1))),0)</f>
        <v>48</v>
      </c>
      <c r="J2239" s="6" t="str" cm="1">
        <f t="array" ref="J2239">IFERROR(TRIM(MID(E2239,MIN(FIND({" ";"g";"k";"m";"o"},E2239&amp;" gkmo")),10)),"unknown")</f>
        <v>g</v>
      </c>
      <c r="K2239" s="6" t="str">
        <f t="shared" si="136"/>
        <v>g</v>
      </c>
      <c r="L2239" s="6" t="str">
        <f t="shared" si="137"/>
        <v>Kiddylicious</v>
      </c>
      <c r="M2239" s="6" t="str">
        <f t="shared" si="138"/>
        <v>Kiddylicious Cheesy Straws - Saveur Fromage - 48G (4X12G)</v>
      </c>
      <c r="N2239" s="6" t="str">
        <f t="shared" si="139"/>
        <v>Gb, France</v>
      </c>
    </row>
    <row r="2240" spans="1:14" x14ac:dyDescent="0.25">
      <c r="A2240" s="6" t="s">
        <v>5368</v>
      </c>
      <c r="B2240" s="6">
        <v>13872</v>
      </c>
      <c r="C2240" s="6" t="s">
        <v>5369</v>
      </c>
      <c r="D2240" s="7" t="s">
        <v>1572</v>
      </c>
      <c r="E2240" s="6"/>
      <c r="F2240" s="6" t="s">
        <v>177</v>
      </c>
      <c r="G2240" s="8">
        <v>45801</v>
      </c>
      <c r="H2240" s="6">
        <v>12.54</v>
      </c>
      <c r="I2240" s="6" cm="1">
        <f t="array" ref="I2240">IFERROR(VALUE(TRIM(LEFT(E2240,MIN(FIND({" ";"g";"k";"m";"o"},E2240&amp;" gkmo"))-1))),0)</f>
        <v>0</v>
      </c>
      <c r="J2240" s="6" t="str" cm="1">
        <f t="array" ref="J2240">IFERROR(TRIM(MID(E2240,MIN(FIND({" ";"g";"k";"m";"o"},E2240&amp;" gkmo")),10)),"unknown")</f>
        <v/>
      </c>
      <c r="K2240" s="6" t="str">
        <f t="shared" si="136"/>
        <v>unknown</v>
      </c>
      <c r="L2240" s="6" t="str">
        <f t="shared" si="137"/>
        <v>Asda</v>
      </c>
      <c r="M2240" s="6" t="str">
        <f t="shared" si="138"/>
        <v>Peruvian Dark Chocolate</v>
      </c>
      <c r="N2240" s="6" t="str">
        <f t="shared" si="139"/>
        <v>United Kingdom</v>
      </c>
    </row>
    <row r="2241" spans="1:14" x14ac:dyDescent="0.25">
      <c r="A2241" s="6" t="s">
        <v>5370</v>
      </c>
      <c r="B2241" s="6">
        <v>13424</v>
      </c>
      <c r="C2241" s="6" t="s">
        <v>5371</v>
      </c>
      <c r="D2241" s="7" t="s">
        <v>5372</v>
      </c>
      <c r="E2241" s="6" t="s">
        <v>151</v>
      </c>
      <c r="F2241" s="6" t="s">
        <v>5373</v>
      </c>
      <c r="G2241" s="8">
        <v>45964</v>
      </c>
      <c r="H2241" s="6">
        <v>18.91</v>
      </c>
      <c r="I2241" s="6" cm="1">
        <f t="array" ref="I2241">IFERROR(VALUE(TRIM(LEFT(E2241,MIN(FIND({" ";"g";"k";"m";"o"},E2241&amp;" gkmo"))-1))),0)</f>
        <v>200</v>
      </c>
      <c r="J2241" s="6" t="str" cm="1">
        <f t="array" ref="J2241">IFERROR(TRIM(MID(E2241,MIN(FIND({" ";"g";"k";"m";"o"},E2241&amp;" gkmo")),10)),"unknown")</f>
        <v>g</v>
      </c>
      <c r="K2241" s="6" t="str">
        <f t="shared" si="136"/>
        <v>g</v>
      </c>
      <c r="L2241" s="6" t="str">
        <f t="shared" si="137"/>
        <v>J.D. Gross,Lidl,Schluckwerder</v>
      </c>
      <c r="M2241" s="6" t="str">
        <f t="shared" si="138"/>
        <v>Mozart Kugeln</v>
      </c>
      <c r="N2241" s="6" t="str">
        <f t="shared" si="139"/>
        <v>France,Germany,Netherlands,Spain</v>
      </c>
    </row>
    <row r="2242" spans="1:14" x14ac:dyDescent="0.25">
      <c r="A2242" s="6" t="s">
        <v>5374</v>
      </c>
      <c r="B2242" s="6">
        <v>10622</v>
      </c>
      <c r="C2242" s="6" t="s">
        <v>5375</v>
      </c>
      <c r="D2242" s="7" t="s">
        <v>1918</v>
      </c>
      <c r="E2242" s="6">
        <v>80</v>
      </c>
      <c r="F2242" s="6" t="s">
        <v>7599</v>
      </c>
      <c r="G2242" s="8">
        <v>45591</v>
      </c>
      <c r="H2242" s="6">
        <v>15.75</v>
      </c>
      <c r="I2242" s="6" cm="1">
        <f t="array" ref="I2242">IFERROR(VALUE(TRIM(LEFT(E2242,MIN(FIND({" ";"g";"k";"m";"o"},E2242&amp;" gkmo"))-1))),0)</f>
        <v>80</v>
      </c>
      <c r="J2242" s="6" t="str" cm="1">
        <f t="array" ref="J2242">IFERROR(TRIM(MID(E2242,MIN(FIND({" ";"g";"k";"m";"o"},E2242&amp;" gkmo")),10)),"unknown")</f>
        <v/>
      </c>
      <c r="K2242" s="6" t="str">
        <f t="shared" ref="K2242:K2305" si="140">IF(E2242="","unknown",IF(OR(J2242="g",LEFT(J2242,1)="g"),"g",IF(OR(LEFT(J2242,2)="kg",LEFT(J2242,2)="ki"),"kg",IF(OR(LEFT(J2242,2)="ml",LEFT(J2242,1)="m"),"ml",IF(LEFT(J2242,1)="l","l",IF(ISNUMBER(SEARCH("g",E2242)),"g",IF(ISNUMBER(SEARCH("kg",E2242)),"kg",IF(ISNUMBER(SEARCH("ml",E2242)),"ml","unknown"))))))))</f>
        <v>unknown</v>
      </c>
      <c r="L2242" s="6" t="str">
        <f t="shared" ref="L2242:L2305" si="141">IF(D2242="","Unknown",PROPER(TRIM(D2242)))</f>
        <v>Trapa</v>
      </c>
      <c r="M2242" s="6" t="str">
        <f t="shared" ref="M2242:M2305" si="142">IF(C2242="Unknown","Unknown",PROPER(TRIM(C2242)))</f>
        <v>Chocolate Con Leche 0%</v>
      </c>
      <c r="N2242" s="6" t="str">
        <f t="shared" si="139"/>
        <v>Marruecos,Espaà±A</v>
      </c>
    </row>
    <row r="2243" spans="1:14" x14ac:dyDescent="0.25">
      <c r="A2243" s="6" t="s">
        <v>5376</v>
      </c>
      <c r="B2243" s="6">
        <v>6480</v>
      </c>
      <c r="C2243" s="6" t="s">
        <v>889</v>
      </c>
      <c r="D2243" s="7" t="s">
        <v>248</v>
      </c>
      <c r="E2243" s="6" t="s">
        <v>4106</v>
      </c>
      <c r="F2243" s="6" t="s">
        <v>400</v>
      </c>
      <c r="G2243" s="8">
        <v>45694</v>
      </c>
      <c r="H2243" s="6">
        <v>7.39</v>
      </c>
      <c r="I2243" s="6" cm="1">
        <f t="array" ref="I2243">IFERROR(VALUE(TRIM(LEFT(E2243,MIN(FIND({" ";"g";"k";"m";"o"},E2243&amp;" gkmo"))-1))),0)</f>
        <v>6</v>
      </c>
      <c r="J2243" s="6" t="str" cm="1">
        <f t="array" ref="J2243">IFERROR(TRIM(MID(E2243,MIN(FIND({" ";"g";"k";"m";"o"},E2243&amp;" gkmo")),10)),"unknown")</f>
        <v>x 25 g</v>
      </c>
      <c r="K2243" s="6" t="str">
        <f t="shared" si="140"/>
        <v>g</v>
      </c>
      <c r="L2243" s="6" t="str">
        <f t="shared" si="141"/>
        <v>Tesco</v>
      </c>
      <c r="M2243" s="6" t="str">
        <f t="shared" si="142"/>
        <v>Ready Salted Crisps</v>
      </c>
      <c r="N2243" s="6" t="str">
        <f t="shared" ref="N2243:N2306" si="143">IF(F2243="","Unknown",PROPER(TRIM(F2243)))</f>
        <v>France,United Kingdom</v>
      </c>
    </row>
    <row r="2244" spans="1:14" x14ac:dyDescent="0.25">
      <c r="A2244" s="6" t="s">
        <v>5377</v>
      </c>
      <c r="B2244" s="6">
        <v>12060</v>
      </c>
      <c r="C2244" s="6" t="s">
        <v>1434</v>
      </c>
      <c r="D2244" s="7" t="s">
        <v>1434</v>
      </c>
      <c r="E2244" s="6" t="s">
        <v>573</v>
      </c>
      <c r="F2244" s="6" t="s">
        <v>139</v>
      </c>
      <c r="G2244" s="8">
        <v>45329</v>
      </c>
      <c r="H2244" s="6">
        <v>7.92</v>
      </c>
      <c r="I2244" s="6" cm="1">
        <f t="array" ref="I2244">IFERROR(VALUE(TRIM(LEFT(E2244,MIN(FIND({" ";"g";"k";"m";"o"},E2244&amp;" gkmo"))-1))),0)</f>
        <v>280</v>
      </c>
      <c r="J2244" s="6" t="str" cm="1">
        <f t="array" ref="J2244">IFERROR(TRIM(MID(E2244,MIN(FIND({" ";"g";"k";"m";"o"},E2244&amp;" gkmo")),10)),"unknown")</f>
        <v>g</v>
      </c>
      <c r="K2244" s="6" t="str">
        <f t="shared" si="140"/>
        <v>g</v>
      </c>
      <c r="L2244" s="6" t="str">
        <f t="shared" si="141"/>
        <v>Doritos</v>
      </c>
      <c r="M2244" s="6" t="str">
        <f t="shared" si="142"/>
        <v>Doritos</v>
      </c>
      <c r="N2244" s="6" t="str">
        <f t="shared" si="143"/>
        <v>France</v>
      </c>
    </row>
    <row r="2245" spans="1:14" x14ac:dyDescent="0.25">
      <c r="A2245" s="6" t="s">
        <v>5378</v>
      </c>
      <c r="B2245" s="6">
        <v>12636</v>
      </c>
      <c r="C2245" s="6" t="s">
        <v>5379</v>
      </c>
      <c r="D2245" s="7" t="s">
        <v>633</v>
      </c>
      <c r="E2245" s="6" t="s">
        <v>151</v>
      </c>
      <c r="F2245" s="6" t="s">
        <v>7942</v>
      </c>
      <c r="G2245" s="8">
        <v>45745</v>
      </c>
      <c r="H2245" s="6">
        <v>15.79</v>
      </c>
      <c r="I2245" s="6" cm="1">
        <f t="array" ref="I2245">IFERROR(VALUE(TRIM(LEFT(E2245,MIN(FIND({" ";"g";"k";"m";"o"},E2245&amp;" gkmo"))-1))),0)</f>
        <v>200</v>
      </c>
      <c r="J2245" s="6" t="str" cm="1">
        <f t="array" ref="J2245">IFERROR(TRIM(MID(E2245,MIN(FIND({" ";"g";"k";"m";"o"},E2245&amp;" gkmo")),10)),"unknown")</f>
        <v>g</v>
      </c>
      <c r="K2245" s="6" t="str">
        <f t="shared" si="140"/>
        <v>g</v>
      </c>
      <c r="L2245" s="6" t="str">
        <f t="shared" si="141"/>
        <v>Nairn'S</v>
      </c>
      <c r="M2245" s="6" t="str">
        <f t="shared" si="142"/>
        <v>Chocolate Orange Oat Biscuits</v>
      </c>
      <c r="N2245" s="6" t="str">
        <f t="shared" si="143"/>
        <v>United Kingdom,United-Kingdom</v>
      </c>
    </row>
    <row r="2246" spans="1:14" x14ac:dyDescent="0.25">
      <c r="A2246" s="6" t="s">
        <v>5380</v>
      </c>
      <c r="B2246" s="6">
        <v>11936</v>
      </c>
      <c r="C2246" s="6" t="s">
        <v>5381</v>
      </c>
      <c r="D2246" s="7" t="s">
        <v>7017</v>
      </c>
      <c r="E2246" s="6"/>
      <c r="F2246" s="6" t="s">
        <v>177</v>
      </c>
      <c r="G2246" s="8">
        <v>45883</v>
      </c>
      <c r="H2246" s="6">
        <v>13.16</v>
      </c>
      <c r="I2246" s="6" cm="1">
        <f t="array" ref="I2246">IFERROR(VALUE(TRIM(LEFT(E2246,MIN(FIND({" ";"g";"k";"m";"o"},E2246&amp;" gkmo"))-1))),0)</f>
        <v>0</v>
      </c>
      <c r="J2246" s="6" t="str" cm="1">
        <f t="array" ref="J2246">IFERROR(TRIM(MID(E2246,MIN(FIND({" ";"g";"k";"m";"o"},E2246&amp;" gkmo")),10)),"unknown")</f>
        <v/>
      </c>
      <c r="K2246" s="6" t="str">
        <f t="shared" si="140"/>
        <v>unknown</v>
      </c>
      <c r="L2246" s="6" t="str">
        <f t="shared" si="141"/>
        <v>Unknown</v>
      </c>
      <c r="M2246" s="6" t="str">
        <f t="shared" si="142"/>
        <v>Water Biscuits</v>
      </c>
      <c r="N2246" s="6" t="str">
        <f t="shared" si="143"/>
        <v>United Kingdom</v>
      </c>
    </row>
    <row r="2247" spans="1:14" x14ac:dyDescent="0.25">
      <c r="A2247" s="6" t="s">
        <v>5382</v>
      </c>
      <c r="B2247" s="6">
        <v>8668</v>
      </c>
      <c r="C2247" s="6" t="s">
        <v>5383</v>
      </c>
      <c r="D2247" s="7" t="s">
        <v>7017</v>
      </c>
      <c r="E2247" s="6"/>
      <c r="F2247" s="6" t="s">
        <v>7595</v>
      </c>
      <c r="G2247" s="8">
        <v>45482</v>
      </c>
      <c r="H2247" s="6">
        <v>10.34</v>
      </c>
      <c r="I2247" s="6" cm="1">
        <f t="array" ref="I2247">IFERROR(VALUE(TRIM(LEFT(E2247,MIN(FIND({" ";"g";"k";"m";"o"},E2247&amp;" gkmo"))-1))),0)</f>
        <v>0</v>
      </c>
      <c r="J2247" s="6" t="str" cm="1">
        <f t="array" ref="J2247">IFERROR(TRIM(MID(E2247,MIN(FIND({" ";"g";"k";"m";"o"},E2247&amp;" gkmo")),10)),"unknown")</f>
        <v/>
      </c>
      <c r="K2247" s="6" t="str">
        <f t="shared" si="140"/>
        <v>unknown</v>
      </c>
      <c r="L2247" s="6" t="str">
        <f t="shared" si="141"/>
        <v>Unknown</v>
      </c>
      <c r="M2247" s="6" t="str">
        <f t="shared" si="142"/>
        <v>Galletas Divertidas</v>
      </c>
      <c r="N2247" s="6" t="str">
        <f t="shared" si="143"/>
        <v>Espaà±A</v>
      </c>
    </row>
    <row r="2248" spans="1:14" x14ac:dyDescent="0.25">
      <c r="A2248" s="6" t="s">
        <v>5384</v>
      </c>
      <c r="B2248" s="6">
        <v>7582</v>
      </c>
      <c r="C2248" s="6" t="s">
        <v>5385</v>
      </c>
      <c r="D2248" s="7" t="s">
        <v>656</v>
      </c>
      <c r="E2248" s="6" t="s">
        <v>10</v>
      </c>
      <c r="F2248" s="6" t="s">
        <v>7949</v>
      </c>
      <c r="G2248" s="8">
        <v>45531</v>
      </c>
      <c r="H2248" s="6">
        <v>21.47</v>
      </c>
      <c r="I2248" s="6" cm="1">
        <f t="array" ref="I2248">IFERROR(VALUE(TRIM(LEFT(E2248,MIN(FIND({" ";"g";"k";"m";"o"},E2248&amp;" gkmo"))-1))),0)</f>
        <v>100</v>
      </c>
      <c r="J2248" s="6" t="str" cm="1">
        <f t="array" ref="J2248">IFERROR(TRIM(MID(E2248,MIN(FIND({" ";"g";"k";"m";"o"},E2248&amp;" gkmo")),10)),"unknown")</f>
        <v>g</v>
      </c>
      <c r="K2248" s="6" t="str">
        <f t="shared" si="140"/>
        <v>g</v>
      </c>
      <c r="L2248" s="6" t="str">
        <f t="shared" si="141"/>
        <v>Null</v>
      </c>
      <c r="M2248" s="6" t="str">
        <f t="shared" si="142"/>
        <v>Milka Chips Ahoy Chocolate</v>
      </c>
      <c r="N2248" s="6" t="str">
        <f t="shared" si="143"/>
        <v>Morocco</v>
      </c>
    </row>
    <row r="2249" spans="1:14" x14ac:dyDescent="0.25">
      <c r="A2249" s="6" t="s">
        <v>5386</v>
      </c>
      <c r="B2249" s="6">
        <v>8138</v>
      </c>
      <c r="C2249" s="6" t="s">
        <v>882</v>
      </c>
      <c r="D2249" s="7" t="s">
        <v>116</v>
      </c>
      <c r="E2249" s="6">
        <v>42</v>
      </c>
      <c r="F2249" s="6" t="s">
        <v>8231</v>
      </c>
      <c r="G2249" s="8">
        <v>45940</v>
      </c>
      <c r="H2249" s="6">
        <v>13.16</v>
      </c>
      <c r="I2249" s="6" cm="1">
        <f t="array" ref="I2249">IFERROR(VALUE(TRIM(LEFT(E2249,MIN(FIND({" ";"g";"k";"m";"o"},E2249&amp;" gkmo"))-1))),0)</f>
        <v>42</v>
      </c>
      <c r="J2249" s="6" t="str" cm="1">
        <f t="array" ref="J2249">IFERROR(TRIM(MID(E2249,MIN(FIND({" ";"g";"k";"m";"o"},E2249&amp;" gkmo")),10)),"unknown")</f>
        <v/>
      </c>
      <c r="K2249" s="6" t="str">
        <f t="shared" si="140"/>
        <v>unknown</v>
      </c>
      <c r="L2249" s="6" t="str">
        <f t="shared" si="141"/>
        <v>Nature Valley</v>
      </c>
      <c r="M2249" s="6" t="str">
        <f t="shared" si="142"/>
        <v>Crunchy</v>
      </c>
      <c r="N2249" s="6" t="str">
        <f t="shared" si="143"/>
        <v>France,Espaà±A</v>
      </c>
    </row>
    <row r="2250" spans="1:14" x14ac:dyDescent="0.25">
      <c r="A2250" s="6" t="s">
        <v>5387</v>
      </c>
      <c r="B2250" s="6">
        <v>7321</v>
      </c>
      <c r="C2250" s="6" t="s">
        <v>5388</v>
      </c>
      <c r="D2250" s="7" t="s">
        <v>5389</v>
      </c>
      <c r="E2250" s="6" t="s">
        <v>946</v>
      </c>
      <c r="F2250" s="6" t="s">
        <v>139</v>
      </c>
      <c r="G2250" s="8">
        <v>45596</v>
      </c>
      <c r="H2250" s="6">
        <v>8.24</v>
      </c>
      <c r="I2250" s="6" cm="1">
        <f t="array" ref="I2250">IFERROR(VALUE(TRIM(LEFT(E2250,MIN(FIND({" ";"g";"k";"m";"o"},E2250&amp;" gkmo"))-1))),0)</f>
        <v>138</v>
      </c>
      <c r="J2250" s="6" t="str" cm="1">
        <f t="array" ref="J2250">IFERROR(TRIM(MID(E2250,MIN(FIND({" ";"g";"k";"m";"o"},E2250&amp;" gkmo")),10)),"unknown")</f>
        <v>g</v>
      </c>
      <c r="K2250" s="6" t="str">
        <f t="shared" si="140"/>
        <v>g</v>
      </c>
      <c r="L2250" s="6" t="str">
        <f t="shared" si="141"/>
        <v>Cadbury, Fingers, Mondelez</v>
      </c>
      <c r="M2250" s="6" t="str">
        <f t="shared" si="142"/>
        <v>L'Original Fingers</v>
      </c>
      <c r="N2250" s="6" t="str">
        <f t="shared" si="143"/>
        <v>France</v>
      </c>
    </row>
    <row r="2251" spans="1:14" x14ac:dyDescent="0.25">
      <c r="A2251" s="6" t="s">
        <v>5390</v>
      </c>
      <c r="B2251" s="6">
        <v>14428</v>
      </c>
      <c r="C2251" s="6" t="s">
        <v>5391</v>
      </c>
      <c r="D2251" s="7" t="s">
        <v>2945</v>
      </c>
      <c r="E2251" s="6" t="s">
        <v>5392</v>
      </c>
      <c r="F2251" s="6" t="s">
        <v>1986</v>
      </c>
      <c r="G2251" s="8">
        <v>45937</v>
      </c>
      <c r="H2251" s="6">
        <v>6.84</v>
      </c>
      <c r="I2251" s="6" cm="1">
        <f t="array" ref="I2251">IFERROR(VALUE(TRIM(LEFT(E2251,MIN(FIND({" ";"g";"k";"m";"o"},E2251&amp;" gkmo"))-1))),0)</f>
        <v>140</v>
      </c>
      <c r="J2251" s="6" t="str" cm="1">
        <f t="array" ref="J2251">IFERROR(TRIM(MID(E2251,MIN(FIND({" ";"g";"k";"m";"o"},E2251&amp;" gkmo")),10)),"unknown")</f>
        <v>g (4 x 35</v>
      </c>
      <c r="K2251" s="6" t="str">
        <f t="shared" si="140"/>
        <v>g</v>
      </c>
      <c r="L2251" s="6" t="str">
        <f t="shared" si="141"/>
        <v>Corny</v>
      </c>
      <c r="M2251" s="6" t="str">
        <f t="shared" si="142"/>
        <v>Haferkraft Zero - Kakao 4Er-Pack</v>
      </c>
      <c r="N2251" s="6" t="str">
        <f t="shared" si="143"/>
        <v>Deutschland</v>
      </c>
    </row>
    <row r="2252" spans="1:14" x14ac:dyDescent="0.25">
      <c r="A2252" s="6" t="s">
        <v>5393</v>
      </c>
      <c r="B2252" s="6">
        <v>7877</v>
      </c>
      <c r="C2252" s="6" t="s">
        <v>5394</v>
      </c>
      <c r="D2252" s="7" t="s">
        <v>5395</v>
      </c>
      <c r="E2252" s="6" t="s">
        <v>64</v>
      </c>
      <c r="F2252" s="6" t="s">
        <v>241</v>
      </c>
      <c r="G2252" s="8">
        <v>45826</v>
      </c>
      <c r="H2252" s="6">
        <v>14.45</v>
      </c>
      <c r="I2252" s="6" cm="1">
        <f t="array" ref="I2252">IFERROR(VALUE(TRIM(LEFT(E2252,MIN(FIND({" ";"g";"k";"m";"o"},E2252&amp;" gkmo"))-1))),0)</f>
        <v>150</v>
      </c>
      <c r="J2252" s="6" t="str" cm="1">
        <f t="array" ref="J2252">IFERROR(TRIM(MID(E2252,MIN(FIND({" ";"g";"k";"m";"o"},E2252&amp;" gkmo")),10)),"unknown")</f>
        <v>g</v>
      </c>
      <c r="K2252" s="6" t="str">
        <f t="shared" si="140"/>
        <v>g</v>
      </c>
      <c r="L2252" s="6" t="str">
        <f t="shared" si="141"/>
        <v>Funny-Frisch</v>
      </c>
      <c r="M2252" s="6" t="str">
        <f t="shared" si="142"/>
        <v>Chipsfrisch Peperoni</v>
      </c>
      <c r="N2252" s="6" t="str">
        <f t="shared" si="143"/>
        <v>Germany</v>
      </c>
    </row>
    <row r="2253" spans="1:14" x14ac:dyDescent="0.25">
      <c r="A2253" s="6" t="s">
        <v>5396</v>
      </c>
      <c r="B2253" s="6">
        <v>13124</v>
      </c>
      <c r="C2253" s="6" t="s">
        <v>7017</v>
      </c>
      <c r="D2253" s="7" t="s">
        <v>7017</v>
      </c>
      <c r="E2253" s="6" t="s">
        <v>10</v>
      </c>
      <c r="F2253" s="6" t="s">
        <v>8139</v>
      </c>
      <c r="G2253" s="8">
        <v>46007</v>
      </c>
      <c r="H2253" s="6">
        <v>13.16</v>
      </c>
      <c r="I2253" s="6" cm="1">
        <f t="array" ref="I2253">IFERROR(VALUE(TRIM(LEFT(E2253,MIN(FIND({" ";"g";"k";"m";"o"},E2253&amp;" gkmo"))-1))),0)</f>
        <v>100</v>
      </c>
      <c r="J2253" s="6" t="str" cm="1">
        <f t="array" ref="J2253">IFERROR(TRIM(MID(E2253,MIN(FIND({" ";"g";"k";"m";"o"},E2253&amp;" gkmo")),10)),"unknown")</f>
        <v>g</v>
      </c>
      <c r="K2253" s="6" t="str">
        <f t="shared" si="140"/>
        <v>g</v>
      </c>
      <c r="L2253" s="6" t="str">
        <f t="shared" si="141"/>
        <v>Unknown</v>
      </c>
      <c r="M2253" s="6" t="str">
        <f t="shared" si="142"/>
        <v>Unknown</v>
      </c>
      <c r="N2253" s="6" t="str">
        <f t="shared" si="143"/>
        <v>Romania, Lithuania</v>
      </c>
    </row>
    <row r="2254" spans="1:14" x14ac:dyDescent="0.25">
      <c r="A2254" s="6" t="s">
        <v>5397</v>
      </c>
      <c r="B2254" s="6">
        <v>13792</v>
      </c>
      <c r="C2254" s="6" t="s">
        <v>5398</v>
      </c>
      <c r="D2254" s="7" t="s">
        <v>3479</v>
      </c>
      <c r="E2254" s="6" t="s">
        <v>5399</v>
      </c>
      <c r="F2254" s="6" t="s">
        <v>5759</v>
      </c>
      <c r="G2254" s="8">
        <v>45417</v>
      </c>
      <c r="H2254" s="6">
        <v>13.16</v>
      </c>
      <c r="I2254" s="6" cm="1">
        <f t="array" ref="I2254">IFERROR(VALUE(TRIM(LEFT(E2254,MIN(FIND({" ";"g";"k";"m";"o"},E2254&amp;" gkmo"))-1))),0)</f>
        <v>0</v>
      </c>
      <c r="J2254" s="6" t="str" cm="1">
        <f t="array" ref="J2254">IFERROR(TRIM(MID(E2254,MIN(FIND({" ";"g";"k";"m";"o"},E2254&amp;" gkmo")),10)),"unknown")</f>
        <v>235 gr</v>
      </c>
      <c r="K2254" s="6" t="str">
        <f t="shared" si="140"/>
        <v>g</v>
      </c>
      <c r="L2254" s="6" t="str">
        <f t="shared" si="141"/>
        <v>Bonne Maman</v>
      </c>
      <c r="M2254" s="6" t="str">
        <f t="shared" si="142"/>
        <v>La Pause Chocolat</v>
      </c>
      <c r="N2254" s="6" t="str">
        <f t="shared" si="143"/>
        <v>Fr</v>
      </c>
    </row>
    <row r="2255" spans="1:14" x14ac:dyDescent="0.25">
      <c r="A2255" s="6" t="s">
        <v>5400</v>
      </c>
      <c r="B2255" s="6">
        <v>12615</v>
      </c>
      <c r="C2255" s="6" t="s">
        <v>7345</v>
      </c>
      <c r="D2255" s="7" t="s">
        <v>3594</v>
      </c>
      <c r="E2255" s="6" t="s">
        <v>2225</v>
      </c>
      <c r="F2255" s="6" t="s">
        <v>139</v>
      </c>
      <c r="G2255" s="8">
        <v>45598</v>
      </c>
      <c r="H2255" s="6">
        <v>21.97</v>
      </c>
      <c r="I2255" s="6" cm="1">
        <f t="array" ref="I2255">IFERROR(VALUE(TRIM(LEFT(E2255,MIN(FIND({" ";"g";"k";"m";"o"},E2255&amp;" gkmo"))-1))),0)</f>
        <v>70</v>
      </c>
      <c r="J2255" s="6" t="str" cm="1">
        <f t="array" ref="J2255">IFERROR(TRIM(MID(E2255,MIN(FIND({" ";"g";"k";"m";"o"},E2255&amp;" gkmo")),10)),"unknown")</f>
        <v>g</v>
      </c>
      <c r="K2255" s="6" t="str">
        <f t="shared" si="140"/>
        <v>g</v>
      </c>
      <c r="L2255" s="6" t="str">
        <f t="shared" si="141"/>
        <v>U</v>
      </c>
      <c r="M2255" s="6" t="str">
        <f t="shared" si="142"/>
        <v>Snacks Poppés Lentilles Pois Cassés Et Quinoa, Sachet 70G</v>
      </c>
      <c r="N2255" s="6" t="str">
        <f t="shared" si="143"/>
        <v>France</v>
      </c>
    </row>
    <row r="2256" spans="1:14" x14ac:dyDescent="0.25">
      <c r="A2256" s="6" t="s">
        <v>5401</v>
      </c>
      <c r="B2256" s="6">
        <v>9046</v>
      </c>
      <c r="C2256" s="6" t="s">
        <v>5402</v>
      </c>
      <c r="D2256" s="7" t="s">
        <v>5403</v>
      </c>
      <c r="E2256" s="6" t="s">
        <v>1886</v>
      </c>
      <c r="F2256" s="6" t="s">
        <v>177</v>
      </c>
      <c r="G2256" s="8">
        <v>45496</v>
      </c>
      <c r="H2256" s="6">
        <v>4.7</v>
      </c>
      <c r="I2256" s="6" cm="1">
        <f t="array" ref="I2256">IFERROR(VALUE(TRIM(LEFT(E2256,MIN(FIND({" ";"g";"k";"m";"o"},E2256&amp;" gkmo"))-1))),0)</f>
        <v>140</v>
      </c>
      <c r="J2256" s="6" t="str" cm="1">
        <f t="array" ref="J2256">IFERROR(TRIM(MID(E2256,MIN(FIND({" ";"g";"k";"m";"o"},E2256&amp;" gkmo")),10)),"unknown")</f>
        <v>g</v>
      </c>
      <c r="K2256" s="6" t="str">
        <f t="shared" si="140"/>
        <v>g</v>
      </c>
      <c r="L2256" s="6" t="str">
        <f t="shared" si="141"/>
        <v>Swizzels</v>
      </c>
      <c r="M2256" s="6" t="str">
        <f t="shared" si="142"/>
        <v>Drumstick Squashies</v>
      </c>
      <c r="N2256" s="6" t="str">
        <f t="shared" si="143"/>
        <v>United Kingdom</v>
      </c>
    </row>
    <row r="2257" spans="1:14" x14ac:dyDescent="0.25">
      <c r="A2257" s="6" t="s">
        <v>5404</v>
      </c>
      <c r="B2257" s="6">
        <v>7037</v>
      </c>
      <c r="C2257" s="6" t="s">
        <v>5405</v>
      </c>
      <c r="D2257" s="7" t="s">
        <v>112</v>
      </c>
      <c r="E2257" s="6" t="s">
        <v>621</v>
      </c>
      <c r="F2257" s="6" t="s">
        <v>8382</v>
      </c>
      <c r="G2257" s="8">
        <v>45787</v>
      </c>
      <c r="H2257" s="6">
        <v>22.14</v>
      </c>
      <c r="I2257" s="6" cm="1">
        <f t="array" ref="I2257">IFERROR(VALUE(TRIM(LEFT(E2257,MIN(FIND({" ";"g";"k";"m";"o"},E2257&amp;" gkmo"))-1))),0)</f>
        <v>160</v>
      </c>
      <c r="J2257" s="6" t="str" cm="1">
        <f t="array" ref="J2257">IFERROR(TRIM(MID(E2257,MIN(FIND({" ";"g";"k";"m";"o"},E2257&amp;" gkmo")),10)),"unknown")</f>
        <v>g</v>
      </c>
      <c r="K2257" s="6" t="str">
        <f t="shared" si="140"/>
        <v>g</v>
      </c>
      <c r="L2257" s="6" t="str">
        <f t="shared" si="141"/>
        <v>Pringles</v>
      </c>
      <c r="M2257" s="6" t="str">
        <f t="shared" si="142"/>
        <v>Pringles Hot Cheese</v>
      </c>
      <c r="N2257" s="6" t="str">
        <f t="shared" si="143"/>
        <v>France,Germany,Morocco,United Kingdom,États-Unis</v>
      </c>
    </row>
    <row r="2258" spans="1:14" x14ac:dyDescent="0.25">
      <c r="A2258" s="6" t="s">
        <v>5406</v>
      </c>
      <c r="B2258" s="6">
        <v>10587</v>
      </c>
      <c r="C2258" s="6" t="s">
        <v>5407</v>
      </c>
      <c r="D2258" s="7" t="s">
        <v>5408</v>
      </c>
      <c r="E2258" s="6" t="s">
        <v>5409</v>
      </c>
      <c r="F2258" s="6" t="s">
        <v>2682</v>
      </c>
      <c r="G2258" s="8">
        <v>45357</v>
      </c>
      <c r="H2258" s="6">
        <v>22.19</v>
      </c>
      <c r="I2258" s="6" cm="1">
        <f t="array" ref="I2258">IFERROR(VALUE(TRIM(LEFT(E2258,MIN(FIND({" ";"g";"k";"m";"o"},E2258&amp;" gkmo"))-1))),0)</f>
        <v>12.4</v>
      </c>
      <c r="J2258" s="6" t="str" cm="1">
        <f t="array" ref="J2258">IFERROR(TRIM(MID(E2258,MIN(FIND({" ";"g";"k";"m";"o"},E2258&amp;" gkmo")),10)),"unknown")</f>
        <v>oz</v>
      </c>
      <c r="K2258" s="6" t="str">
        <f t="shared" si="140"/>
        <v>unknown</v>
      </c>
      <c r="L2258" s="6" t="str">
        <f t="shared" si="141"/>
        <v>Cheez-It</v>
      </c>
      <c r="M2258" s="6" t="str">
        <f t="shared" si="142"/>
        <v>Original</v>
      </c>
      <c r="N2258" s="6" t="str">
        <f t="shared" si="143"/>
        <v>United States</v>
      </c>
    </row>
    <row r="2259" spans="1:14" x14ac:dyDescent="0.25">
      <c r="A2259" s="6" t="s">
        <v>5410</v>
      </c>
      <c r="B2259" s="6">
        <v>13699</v>
      </c>
      <c r="C2259" s="6" t="s">
        <v>111</v>
      </c>
      <c r="D2259" s="7" t="s">
        <v>112</v>
      </c>
      <c r="E2259" s="6" t="s">
        <v>5411</v>
      </c>
      <c r="F2259" s="6" t="s">
        <v>5412</v>
      </c>
      <c r="G2259" s="8">
        <v>45927</v>
      </c>
      <c r="H2259" s="6">
        <v>3.67</v>
      </c>
      <c r="I2259" s="6" cm="1">
        <f t="array" ref="I2259">IFERROR(VALUE(TRIM(LEFT(E2259,MIN(FIND({" ";"g";"k";"m";"o"},E2259&amp;" gkmo"))-1))),0)</f>
        <v>100</v>
      </c>
      <c r="J2259" s="6" t="str" cm="1">
        <f t="array" ref="J2259">IFERROR(TRIM(MID(E2259,MIN(FIND({" ";"g";"k";"m";"o"},E2259&amp;" gkmo")),10)),"unknown")</f>
        <v>g, 5.2 oz</v>
      </c>
      <c r="K2259" s="6" t="str">
        <f t="shared" si="140"/>
        <v>g</v>
      </c>
      <c r="L2259" s="6" t="str">
        <f t="shared" si="141"/>
        <v>Pringles</v>
      </c>
      <c r="M2259" s="6" t="str">
        <f t="shared" si="142"/>
        <v>Pringles Original</v>
      </c>
      <c r="N2259" s="6" t="str">
        <f t="shared" si="143"/>
        <v>Bolivia,France,Germany,Hong Kong,United States</v>
      </c>
    </row>
    <row r="2260" spans="1:14" x14ac:dyDescent="0.25">
      <c r="A2260" s="6" t="s">
        <v>5413</v>
      </c>
      <c r="B2260" s="6">
        <v>9121</v>
      </c>
      <c r="C2260" s="6" t="s">
        <v>5414</v>
      </c>
      <c r="D2260" s="7" t="s">
        <v>4182</v>
      </c>
      <c r="E2260" s="6" t="s">
        <v>5415</v>
      </c>
      <c r="F2260" s="6" t="s">
        <v>5416</v>
      </c>
      <c r="G2260" s="8">
        <v>45494</v>
      </c>
      <c r="H2260" s="6">
        <v>20.91</v>
      </c>
      <c r="I2260" s="6" cm="1">
        <f t="array" ref="I2260">IFERROR(VALUE(TRIM(LEFT(E2260,MIN(FIND({" ";"g";"k";"m";"o"},E2260&amp;" gkmo"))-1))),0)</f>
        <v>190</v>
      </c>
      <c r="J2260" s="6" t="str" cm="1">
        <f t="array" ref="J2260">IFERROR(TRIM(MID(E2260,MIN(FIND({" ";"g";"k";"m";"o"},E2260&amp;" gkmo")),10)),"unknown")</f>
        <v>g, 14 bisc</v>
      </c>
      <c r="K2260" s="6" t="str">
        <f t="shared" si="140"/>
        <v>g</v>
      </c>
      <c r="L2260" s="6" t="str">
        <f t="shared" si="141"/>
        <v>Bisson</v>
      </c>
      <c r="M2260" s="6" t="str">
        <f t="shared" si="142"/>
        <v>Tartines Craquantes Riz Et Quinoa</v>
      </c>
      <c r="N2260" s="6" t="str">
        <f t="shared" si="143"/>
        <v>Belgium,France,Guadeloupe,New Caledonia</v>
      </c>
    </row>
    <row r="2261" spans="1:14" x14ac:dyDescent="0.25">
      <c r="A2261" s="6" t="s">
        <v>5417</v>
      </c>
      <c r="B2261" s="6">
        <v>12505</v>
      </c>
      <c r="C2261" s="6" t="s">
        <v>5418</v>
      </c>
      <c r="D2261" s="7" t="s">
        <v>5419</v>
      </c>
      <c r="E2261" s="6"/>
      <c r="F2261" s="6" t="s">
        <v>5420</v>
      </c>
      <c r="G2261" s="8">
        <v>45789</v>
      </c>
      <c r="H2261" s="6">
        <v>6.99</v>
      </c>
      <c r="I2261" s="6" cm="1">
        <f t="array" ref="I2261">IFERROR(VALUE(TRIM(LEFT(E2261,MIN(FIND({" ";"g";"k";"m";"o"},E2261&amp;" gkmo"))-1))),0)</f>
        <v>0</v>
      </c>
      <c r="J2261" s="6" t="str" cm="1">
        <f t="array" ref="J2261">IFERROR(TRIM(MID(E2261,MIN(FIND({" ";"g";"k";"m";"o"},E2261&amp;" gkmo")),10)),"unknown")</f>
        <v/>
      </c>
      <c r="K2261" s="6" t="str">
        <f t="shared" si="140"/>
        <v>unknown</v>
      </c>
      <c r="L2261" s="6" t="str">
        <f t="shared" si="141"/>
        <v>Deluxe,Lidl,Solo Italia</v>
      </c>
      <c r="M2261" s="6" t="str">
        <f t="shared" si="142"/>
        <v>Tiramisu</v>
      </c>
      <c r="N2261" s="6" t="str">
        <f t="shared" si="143"/>
        <v>Bulgaria,Croatia,Czech Republic,France,Germany,Slovakia,Slovenia,Spain,United Kingdom</v>
      </c>
    </row>
    <row r="2262" spans="1:14" x14ac:dyDescent="0.25">
      <c r="A2262" s="6" t="s">
        <v>5421</v>
      </c>
      <c r="B2262" s="6">
        <v>6575</v>
      </c>
      <c r="C2262" s="6" t="s">
        <v>5422</v>
      </c>
      <c r="D2262" s="7" t="s">
        <v>7346</v>
      </c>
      <c r="E2262" s="6" t="s">
        <v>160</v>
      </c>
      <c r="F2262" s="6" t="s">
        <v>3183</v>
      </c>
      <c r="G2262" s="8">
        <v>45462</v>
      </c>
      <c r="H2262" s="6">
        <v>13.44</v>
      </c>
      <c r="I2262" s="6" cm="1">
        <f t="array" ref="I2262">IFERROR(VALUE(TRIM(LEFT(E2262,MIN(FIND({" ";"g";"k";"m";"o"},E2262&amp;" gkmo"))-1))),0)</f>
        <v>165</v>
      </c>
      <c r="J2262" s="6" t="str" cm="1">
        <f t="array" ref="J2262">IFERROR(TRIM(MID(E2262,MIN(FIND({" ";"g";"k";"m";"o"},E2262&amp;" gkmo")),10)),"unknown")</f>
        <v>g</v>
      </c>
      <c r="K2262" s="6" t="str">
        <f t="shared" si="140"/>
        <v>g</v>
      </c>
      <c r="L2262" s="6" t="str">
        <f t="shared" si="141"/>
        <v>Lidl, Qualité Supérieure</v>
      </c>
      <c r="M2262" s="6" t="str">
        <f t="shared" si="142"/>
        <v>La Cerise</v>
      </c>
      <c r="N2262" s="6" t="str">
        <f t="shared" si="143"/>
        <v>France,Germany,United Kingdom</v>
      </c>
    </row>
    <row r="2263" spans="1:14" x14ac:dyDescent="0.25">
      <c r="A2263" s="6" t="s">
        <v>5423</v>
      </c>
      <c r="B2263" s="6">
        <v>10868</v>
      </c>
      <c r="C2263" s="6" t="s">
        <v>5424</v>
      </c>
      <c r="D2263" s="7" t="s">
        <v>5425</v>
      </c>
      <c r="E2263" s="6"/>
      <c r="F2263" s="6" t="s">
        <v>157</v>
      </c>
      <c r="G2263" s="8">
        <v>45732</v>
      </c>
      <c r="H2263" s="6">
        <v>2.81</v>
      </c>
      <c r="I2263" s="6" cm="1">
        <f t="array" ref="I2263">IFERROR(VALUE(TRIM(LEFT(E2263,MIN(FIND({" ";"g";"k";"m";"o"},E2263&amp;" gkmo"))-1))),0)</f>
        <v>0</v>
      </c>
      <c r="J2263" s="6" t="str" cm="1">
        <f t="array" ref="J2263">IFERROR(TRIM(MID(E2263,MIN(FIND({" ";"g";"k";"m";"o"},E2263&amp;" gkmo")),10)),"unknown")</f>
        <v/>
      </c>
      <c r="K2263" s="6" t="str">
        <f t="shared" si="140"/>
        <v>unknown</v>
      </c>
      <c r="L2263" s="6" t="str">
        <f t="shared" si="141"/>
        <v>Sondey Envitas</v>
      </c>
      <c r="M2263" s="6" t="str">
        <f t="shared" si="142"/>
        <v>Envitas Fraise &amp; Yaourt</v>
      </c>
      <c r="N2263" s="6" t="str">
        <f t="shared" si="143"/>
        <v>France,Germany,Switzerland</v>
      </c>
    </row>
    <row r="2264" spans="1:14" x14ac:dyDescent="0.25">
      <c r="A2264" s="6" t="s">
        <v>5426</v>
      </c>
      <c r="B2264" s="6">
        <v>6484</v>
      </c>
      <c r="C2264" s="6" t="s">
        <v>5427</v>
      </c>
      <c r="D2264" s="7" t="s">
        <v>5428</v>
      </c>
      <c r="E2264" s="6" t="s">
        <v>5429</v>
      </c>
      <c r="F2264" s="6" t="s">
        <v>139</v>
      </c>
      <c r="G2264" s="8">
        <v>45648</v>
      </c>
      <c r="H2264" s="6">
        <v>1.05</v>
      </c>
      <c r="I2264" s="6" cm="1">
        <f t="array" ref="I2264">IFERROR(VALUE(TRIM(LEFT(E2264,MIN(FIND({" ";"g";"k";"m";"o"},E2264&amp;" gkmo"))-1))),0)</f>
        <v>6</v>
      </c>
      <c r="J2264" s="6" t="str" cm="1">
        <f t="array" ref="J2264">IFERROR(TRIM(MID(E2264,MIN(FIND({" ";"g";"k";"m";"o"},E2264&amp;" gkmo")),10)),"unknown")</f>
        <v>g</v>
      </c>
      <c r="K2264" s="6" t="str">
        <f t="shared" si="140"/>
        <v>g</v>
      </c>
      <c r="L2264" s="6" t="str">
        <f t="shared" si="141"/>
        <v>Lajaunie</v>
      </c>
      <c r="M2264" s="6" t="str">
        <f t="shared" si="142"/>
        <v>Cachou</v>
      </c>
      <c r="N2264" s="6" t="str">
        <f t="shared" si="143"/>
        <v>France</v>
      </c>
    </row>
    <row r="2265" spans="1:14" x14ac:dyDescent="0.25">
      <c r="A2265" s="6" t="s">
        <v>5430</v>
      </c>
      <c r="B2265" s="6">
        <v>10106</v>
      </c>
      <c r="C2265" s="6" t="s">
        <v>7347</v>
      </c>
      <c r="D2265" s="7" t="s">
        <v>744</v>
      </c>
      <c r="E2265" s="6" t="s">
        <v>1309</v>
      </c>
      <c r="F2265" s="6" t="s">
        <v>139</v>
      </c>
      <c r="G2265" s="8">
        <v>45978</v>
      </c>
      <c r="H2265" s="6">
        <v>18.62</v>
      </c>
      <c r="I2265" s="6" cm="1">
        <f t="array" ref="I2265">IFERROR(VALUE(TRIM(LEFT(E2265,MIN(FIND({" ";"g";"k";"m";"o"},E2265&amp;" gkmo"))-1))),0)</f>
        <v>300</v>
      </c>
      <c r="J2265" s="6" t="str" cm="1">
        <f t="array" ref="J2265">IFERROR(TRIM(MID(E2265,MIN(FIND({" ";"g";"k";"m";"o"},E2265&amp;" gkmo")),10)),"unknown")</f>
        <v>g</v>
      </c>
      <c r="K2265" s="6" t="str">
        <f t="shared" si="140"/>
        <v>g</v>
      </c>
      <c r="L2265" s="6" t="str">
        <f t="shared" si="141"/>
        <v>Lu, Mondelez</v>
      </c>
      <c r="M2265" s="6" t="str">
        <f t="shared" si="142"/>
        <v>Pépito Pépites</v>
      </c>
      <c r="N2265" s="6" t="str">
        <f t="shared" si="143"/>
        <v>France</v>
      </c>
    </row>
    <row r="2266" spans="1:14" x14ac:dyDescent="0.25">
      <c r="A2266" s="6" t="s">
        <v>5431</v>
      </c>
      <c r="B2266" s="6">
        <v>5609</v>
      </c>
      <c r="C2266" s="6" t="s">
        <v>5432</v>
      </c>
      <c r="D2266" s="7" t="s">
        <v>7017</v>
      </c>
      <c r="E2266" s="6" t="s">
        <v>2081</v>
      </c>
      <c r="F2266" s="6" t="s">
        <v>139</v>
      </c>
      <c r="G2266" s="8">
        <v>45976</v>
      </c>
      <c r="H2266" s="6">
        <v>19.07</v>
      </c>
      <c r="I2266" s="6" cm="1">
        <f t="array" ref="I2266">IFERROR(VALUE(TRIM(LEFT(E2266,MIN(FIND({" ";"g";"k";"m";"o"},E2266&amp;" gkmo"))-1))),0)</f>
        <v>120</v>
      </c>
      <c r="J2266" s="6" t="str" cm="1">
        <f t="array" ref="J2266">IFERROR(TRIM(MID(E2266,MIN(FIND({" ";"g";"k";"m";"o"},E2266&amp;" gkmo")),10)),"unknown")</f>
        <v>g</v>
      </c>
      <c r="K2266" s="6" t="str">
        <f t="shared" si="140"/>
        <v>g</v>
      </c>
      <c r="L2266" s="6" t="str">
        <f t="shared" si="141"/>
        <v>Unknown</v>
      </c>
      <c r="M2266" s="6" t="str">
        <f t="shared" si="142"/>
        <v>Bledina Mon Premier Boudoir</v>
      </c>
      <c r="N2266" s="6" t="str">
        <f t="shared" si="143"/>
        <v>France</v>
      </c>
    </row>
    <row r="2267" spans="1:14" x14ac:dyDescent="0.25">
      <c r="A2267" s="6" t="s">
        <v>5433</v>
      </c>
      <c r="B2267" s="6">
        <v>13477</v>
      </c>
      <c r="C2267" s="6" t="s">
        <v>5434</v>
      </c>
      <c r="D2267" s="7" t="s">
        <v>7017</v>
      </c>
      <c r="E2267" s="6" t="s">
        <v>1487</v>
      </c>
      <c r="F2267" s="6" t="s">
        <v>8304</v>
      </c>
      <c r="G2267" s="8">
        <v>45887</v>
      </c>
      <c r="H2267" s="6">
        <v>6.74</v>
      </c>
      <c r="I2267" s="6" cm="1">
        <f t="array" ref="I2267">IFERROR(VALUE(TRIM(LEFT(E2267,MIN(FIND({" ";"g";"k";"m";"o"},E2267&amp;" gkmo"))-1))),0)</f>
        <v>320</v>
      </c>
      <c r="J2267" s="6" t="str" cm="1">
        <f t="array" ref="J2267">IFERROR(TRIM(MID(E2267,MIN(FIND({" ";"g";"k";"m";"o"},E2267&amp;" gkmo")),10)),"unknown")</f>
        <v>g</v>
      </c>
      <c r="K2267" s="6" t="str">
        <f t="shared" si="140"/>
        <v>g</v>
      </c>
      <c r="L2267" s="6" t="str">
        <f t="shared" si="141"/>
        <v>Unknown</v>
      </c>
      <c r="M2267" s="6" t="str">
        <f t="shared" si="142"/>
        <v>Macedoine De Legumes 320G</v>
      </c>
      <c r="N2267" s="6" t="str">
        <f t="shared" si="143"/>
        <v>France, Belgium, Luxembourg</v>
      </c>
    </row>
    <row r="2268" spans="1:14" x14ac:dyDescent="0.25">
      <c r="A2268" s="6" t="s">
        <v>5435</v>
      </c>
      <c r="B2268" s="6">
        <v>12518</v>
      </c>
      <c r="C2268" s="6" t="s">
        <v>5436</v>
      </c>
      <c r="D2268" s="7" t="s">
        <v>7030</v>
      </c>
      <c r="E2268" s="6" t="s">
        <v>470</v>
      </c>
      <c r="F2268" s="6" t="s">
        <v>8001</v>
      </c>
      <c r="G2268" s="8">
        <v>45762</v>
      </c>
      <c r="H2268" s="6">
        <v>24.14</v>
      </c>
      <c r="I2268" s="6" cm="1">
        <f t="array" ref="I2268">IFERROR(VALUE(TRIM(LEFT(E2268,MIN(FIND({" ";"g";"k";"m";"o"},E2268&amp;" gkmo"))-1))),0)</f>
        <v>132</v>
      </c>
      <c r="J2268" s="6" t="str" cm="1">
        <f t="array" ref="J2268">IFERROR(TRIM(MID(E2268,MIN(FIND({" ";"g";"k";"m";"o"},E2268&amp;" gkmo")),10)),"unknown")</f>
        <v>g</v>
      </c>
      <c r="K2268" s="6" t="str">
        <f t="shared" si="140"/>
        <v>g</v>
      </c>
      <c r="L2268" s="6" t="str">
        <f t="shared" si="141"/>
        <v>Gerblé</v>
      </c>
      <c r="M2268" s="6" t="str">
        <f t="shared" si="142"/>
        <v>Biscuit Quinoa Cacao</v>
      </c>
      <c r="N2268" s="6" t="str">
        <f t="shared" si="143"/>
        <v>France,France</v>
      </c>
    </row>
    <row r="2269" spans="1:14" x14ac:dyDescent="0.25">
      <c r="A2269" s="6" t="s">
        <v>5437</v>
      </c>
      <c r="B2269" s="6">
        <v>11903</v>
      </c>
      <c r="C2269" s="6" t="s">
        <v>5438</v>
      </c>
      <c r="D2269" s="7" t="s">
        <v>7030</v>
      </c>
      <c r="E2269" s="6" t="s">
        <v>5439</v>
      </c>
      <c r="F2269" s="6" t="s">
        <v>139</v>
      </c>
      <c r="G2269" s="8">
        <v>45562</v>
      </c>
      <c r="H2269" s="6">
        <v>14.08</v>
      </c>
      <c r="I2269" s="6" cm="1">
        <f t="array" ref="I2269">IFERROR(VALUE(TRIM(LEFT(E2269,MIN(FIND({" ";"g";"k";"m";"o"},E2269&amp;" gkmo"))-1))),0)</f>
        <v>0</v>
      </c>
      <c r="J2269" s="6" t="str" cm="1">
        <f t="array" ref="J2269">IFERROR(TRIM(MID(E2269,MIN(FIND({" ";"g";"k";"m";"o"},E2269&amp;" gkmo")),10)),"unknown")</f>
        <v>g</v>
      </c>
      <c r="K2269" s="6" t="str">
        <f t="shared" si="140"/>
        <v>g</v>
      </c>
      <c r="L2269" s="6" t="str">
        <f t="shared" si="141"/>
        <v>Gerblé</v>
      </c>
      <c r="M2269" s="6" t="str">
        <f t="shared" si="142"/>
        <v>Galette Riz Chocolat Noir</v>
      </c>
      <c r="N2269" s="6" t="str">
        <f t="shared" si="143"/>
        <v>France</v>
      </c>
    </row>
    <row r="2270" spans="1:14" x14ac:dyDescent="0.25">
      <c r="A2270" s="6" t="s">
        <v>5440</v>
      </c>
      <c r="B2270" s="6">
        <v>11205</v>
      </c>
      <c r="C2270" s="6" t="s">
        <v>7825</v>
      </c>
      <c r="D2270" s="7" t="s">
        <v>7030</v>
      </c>
      <c r="E2270" s="6"/>
      <c r="F2270" s="6" t="s">
        <v>139</v>
      </c>
      <c r="G2270" s="8">
        <v>45707</v>
      </c>
      <c r="H2270" s="6">
        <v>15.91</v>
      </c>
      <c r="I2270" s="6" cm="1">
        <f t="array" ref="I2270">IFERROR(VALUE(TRIM(LEFT(E2270,MIN(FIND({" ";"g";"k";"m";"o"},E2270&amp;" gkmo"))-1))),0)</f>
        <v>0</v>
      </c>
      <c r="J2270" s="6" t="str" cm="1">
        <f t="array" ref="J2270">IFERROR(TRIM(MID(E2270,MIN(FIND({" ";"g";"k";"m";"o"},E2270&amp;" gkmo")),10)),"unknown")</f>
        <v/>
      </c>
      <c r="K2270" s="6" t="str">
        <f t="shared" si="140"/>
        <v>unknown</v>
      </c>
      <c r="L2270" s="6" t="str">
        <f t="shared" si="141"/>
        <v>Gerblé</v>
      </c>
      <c r="M2270" s="6" t="str">
        <f t="shared" si="142"/>
        <v>Pà¢Tes De Fruits</v>
      </c>
      <c r="N2270" s="6" t="str">
        <f t="shared" si="143"/>
        <v>France</v>
      </c>
    </row>
    <row r="2271" spans="1:14" x14ac:dyDescent="0.25">
      <c r="A2271" s="6" t="s">
        <v>5441</v>
      </c>
      <c r="B2271" s="6">
        <v>6086</v>
      </c>
      <c r="C2271" s="6" t="s">
        <v>5442</v>
      </c>
      <c r="D2271" s="7" t="s">
        <v>3479</v>
      </c>
      <c r="E2271" s="6" t="s">
        <v>1309</v>
      </c>
      <c r="F2271" s="6" t="s">
        <v>139</v>
      </c>
      <c r="G2271" s="8">
        <v>45640</v>
      </c>
      <c r="H2271" s="6">
        <v>10.029999999999999</v>
      </c>
      <c r="I2271" s="6" cm="1">
        <f t="array" ref="I2271">IFERROR(VALUE(TRIM(LEFT(E2271,MIN(FIND({" ";"g";"k";"m";"o"},E2271&amp;" gkmo"))-1))),0)</f>
        <v>300</v>
      </c>
      <c r="J2271" s="6" t="str" cm="1">
        <f t="array" ref="J2271">IFERROR(TRIM(MID(E2271,MIN(FIND({" ";"g";"k";"m";"o"},E2271&amp;" gkmo")),10)),"unknown")</f>
        <v>g</v>
      </c>
      <c r="K2271" s="6" t="str">
        <f t="shared" si="140"/>
        <v>g</v>
      </c>
      <c r="L2271" s="6" t="str">
        <f t="shared" si="141"/>
        <v>Bonne Maman</v>
      </c>
      <c r="M2271" s="6" t="str">
        <f t="shared" si="142"/>
        <v>Bonne Maman - Mini Marble Cake Chocolat, 300G (10.6Oz)</v>
      </c>
      <c r="N2271" s="6" t="str">
        <f t="shared" si="143"/>
        <v>France</v>
      </c>
    </row>
    <row r="2272" spans="1:14" x14ac:dyDescent="0.25">
      <c r="A2272" s="6" t="s">
        <v>5443</v>
      </c>
      <c r="B2272" s="6">
        <v>11606</v>
      </c>
      <c r="C2272" s="6" t="s">
        <v>7348</v>
      </c>
      <c r="D2272" s="7" t="s">
        <v>4889</v>
      </c>
      <c r="E2272" s="6" t="s">
        <v>14</v>
      </c>
      <c r="F2272" s="6" t="s">
        <v>139</v>
      </c>
      <c r="G2272" s="8">
        <v>45789</v>
      </c>
      <c r="H2272" s="6">
        <v>3.22</v>
      </c>
      <c r="I2272" s="6" cm="1">
        <f t="array" ref="I2272">IFERROR(VALUE(TRIM(LEFT(E2272,MIN(FIND({" ";"g";"k";"m";"o"},E2272&amp;" gkmo"))-1))),0)</f>
        <v>300</v>
      </c>
      <c r="J2272" s="6" t="str" cm="1">
        <f t="array" ref="J2272">IFERROR(TRIM(MID(E2272,MIN(FIND({" ";"g";"k";"m";"o"},E2272&amp;" gkmo")),10)),"unknown")</f>
        <v>g</v>
      </c>
      <c r="K2272" s="6" t="str">
        <f t="shared" si="140"/>
        <v>g</v>
      </c>
      <c r="L2272" s="6" t="str">
        <f t="shared" si="141"/>
        <v>Chabrior</v>
      </c>
      <c r="M2272" s="6" t="str">
        <f t="shared" si="142"/>
        <v>15 Fourrés Ronds Chocolat 300G Crok - P'Tits Prods</v>
      </c>
      <c r="N2272" s="6" t="str">
        <f t="shared" si="143"/>
        <v>France</v>
      </c>
    </row>
    <row r="2273" spans="1:14" x14ac:dyDescent="0.25">
      <c r="A2273" s="6" t="s">
        <v>5444</v>
      </c>
      <c r="B2273" s="6">
        <v>7824</v>
      </c>
      <c r="C2273" s="6" t="s">
        <v>5445</v>
      </c>
      <c r="D2273" s="7" t="s">
        <v>3594</v>
      </c>
      <c r="E2273" s="6" t="s">
        <v>132</v>
      </c>
      <c r="F2273" s="6" t="s">
        <v>139</v>
      </c>
      <c r="G2273" s="8">
        <v>45606</v>
      </c>
      <c r="H2273" s="6">
        <v>13.06</v>
      </c>
      <c r="I2273" s="6" cm="1">
        <f t="array" ref="I2273">IFERROR(VALUE(TRIM(LEFT(E2273,MIN(FIND({" ";"g";"k";"m";"o"},E2273&amp;" gkmo"))-1))),0)</f>
        <v>350</v>
      </c>
      <c r="J2273" s="6" t="str" cm="1">
        <f t="array" ref="J2273">IFERROR(TRIM(MID(E2273,MIN(FIND({" ";"g";"k";"m";"o"},E2273&amp;" gkmo")),10)),"unknown")</f>
        <v>g</v>
      </c>
      <c r="K2273" s="6" t="str">
        <f t="shared" si="140"/>
        <v>g</v>
      </c>
      <c r="L2273" s="6" t="str">
        <f t="shared" si="141"/>
        <v>U</v>
      </c>
      <c r="M2273" s="6" t="str">
        <f t="shared" si="142"/>
        <v>Pains Au Lait X10 - 350G</v>
      </c>
      <c r="N2273" s="6" t="str">
        <f t="shared" si="143"/>
        <v>France</v>
      </c>
    </row>
    <row r="2274" spans="1:14" x14ac:dyDescent="0.25">
      <c r="A2274" s="6" t="s">
        <v>5446</v>
      </c>
      <c r="B2274" s="6">
        <v>8981</v>
      </c>
      <c r="C2274" s="6" t="s">
        <v>5447</v>
      </c>
      <c r="D2274" s="7" t="s">
        <v>7106</v>
      </c>
      <c r="E2274" s="6" t="s">
        <v>528</v>
      </c>
      <c r="F2274" s="6" t="s">
        <v>139</v>
      </c>
      <c r="G2274" s="8">
        <v>45759</v>
      </c>
      <c r="H2274" s="6">
        <v>22.3</v>
      </c>
      <c r="I2274" s="6" cm="1">
        <f t="array" ref="I2274">IFERROR(VALUE(TRIM(LEFT(E2274,MIN(FIND({" ";"g";"k";"m";"o"},E2274&amp;" gkmo"))-1))),0)</f>
        <v>200</v>
      </c>
      <c r="J2274" s="6" t="str" cm="1">
        <f t="array" ref="J2274">IFERROR(TRIM(MID(E2274,MIN(FIND({" ";"g";"k";"m";"o"},E2274&amp;" gkmo")),10)),"unknown")</f>
        <v>g</v>
      </c>
      <c r="K2274" s="6" t="str">
        <f t="shared" si="140"/>
        <v>g</v>
      </c>
      <c r="L2274" s="6" t="str">
        <f t="shared" si="141"/>
        <v>Ker Cadélac</v>
      </c>
      <c r="M2274" s="6" t="str">
        <f t="shared" si="142"/>
        <v>Quatre-Quarts</v>
      </c>
      <c r="N2274" s="6" t="str">
        <f t="shared" si="143"/>
        <v>France</v>
      </c>
    </row>
    <row r="2275" spans="1:14" x14ac:dyDescent="0.25">
      <c r="A2275" s="6" t="s">
        <v>5448</v>
      </c>
      <c r="B2275" s="6">
        <v>7060</v>
      </c>
      <c r="C2275" s="6" t="s">
        <v>7349</v>
      </c>
      <c r="D2275" s="7" t="s">
        <v>7017</v>
      </c>
      <c r="E2275" s="6" t="s">
        <v>5449</v>
      </c>
      <c r="F2275" s="6" t="s">
        <v>139</v>
      </c>
      <c r="G2275" s="8">
        <v>45614</v>
      </c>
      <c r="H2275" s="6">
        <v>6.7</v>
      </c>
      <c r="I2275" s="6" cm="1">
        <f t="array" ref="I2275">IFERROR(VALUE(TRIM(LEFT(E2275,MIN(FIND({" ";"g";"k";"m";"o"},E2275&amp;" gkmo"))-1))),0)</f>
        <v>600</v>
      </c>
      <c r="J2275" s="6" t="str" cm="1">
        <f t="array" ref="J2275">IFERROR(TRIM(MID(E2275,MIN(FIND({" ";"g";"k";"m";"o"},E2275&amp;" gkmo")),10)),"unknown")</f>
        <v>g e (24 *</v>
      </c>
      <c r="K2275" s="6" t="str">
        <f t="shared" si="140"/>
        <v>g</v>
      </c>
      <c r="L2275" s="6" t="str">
        <f t="shared" si="141"/>
        <v>Unknown</v>
      </c>
      <c r="M2275" s="6" t="str">
        <f t="shared" si="142"/>
        <v>Ker Cadélac - Madeleines Maxi Chocolate Chips, 600G (21.2Oz)</v>
      </c>
      <c r="N2275" s="6" t="str">
        <f t="shared" si="143"/>
        <v>France</v>
      </c>
    </row>
    <row r="2276" spans="1:14" x14ac:dyDescent="0.25">
      <c r="A2276" s="6" t="s">
        <v>5450</v>
      </c>
      <c r="B2276" s="6">
        <v>13336</v>
      </c>
      <c r="C2276" s="6" t="s">
        <v>7350</v>
      </c>
      <c r="D2276" s="7" t="s">
        <v>854</v>
      </c>
      <c r="E2276" s="6" t="s">
        <v>1790</v>
      </c>
      <c r="F2276" s="6" t="s">
        <v>8315</v>
      </c>
      <c r="G2276" s="8">
        <v>46051</v>
      </c>
      <c r="H2276" s="6">
        <v>3.82</v>
      </c>
      <c r="I2276" s="6" cm="1">
        <f t="array" ref="I2276">IFERROR(VALUE(TRIM(LEFT(E2276,MIN(FIND({" ";"g";"k";"m";"o"},E2276&amp;" gkmo"))-1))),0)</f>
        <v>75</v>
      </c>
      <c r="J2276" s="6" t="str" cm="1">
        <f t="array" ref="J2276">IFERROR(TRIM(MID(E2276,MIN(FIND({" ";"g";"k";"m";"o"},E2276&amp;" gkmo")),10)),"unknown")</f>
        <v>g</v>
      </c>
      <c r="K2276" s="6" t="str">
        <f t="shared" si="140"/>
        <v>g</v>
      </c>
      <c r="L2276" s="6" t="str">
        <f t="shared" si="141"/>
        <v>Carrefour</v>
      </c>
      <c r="M2276" s="6" t="str">
        <f t="shared" si="142"/>
        <v>Pétales</v>
      </c>
      <c r="N2276" s="6" t="str">
        <f t="shared" si="143"/>
        <v>Belgium,France,Italie,Spain</v>
      </c>
    </row>
    <row r="2277" spans="1:14" x14ac:dyDescent="0.25">
      <c r="A2277" s="6" t="s">
        <v>5451</v>
      </c>
      <c r="B2277" s="6">
        <v>13782</v>
      </c>
      <c r="C2277" s="6" t="s">
        <v>5452</v>
      </c>
      <c r="D2277" s="7" t="s">
        <v>5453</v>
      </c>
      <c r="E2277" s="6" t="s">
        <v>10</v>
      </c>
      <c r="F2277" s="6" t="s">
        <v>139</v>
      </c>
      <c r="G2277" s="8">
        <v>45483</v>
      </c>
      <c r="H2277" s="6">
        <v>14.99</v>
      </c>
      <c r="I2277" s="6" cm="1">
        <f t="array" ref="I2277">IFERROR(VALUE(TRIM(LEFT(E2277,MIN(FIND({" ";"g";"k";"m";"o"},E2277&amp;" gkmo"))-1))),0)</f>
        <v>100</v>
      </c>
      <c r="J2277" s="6" t="str" cm="1">
        <f t="array" ref="J2277">IFERROR(TRIM(MID(E2277,MIN(FIND({" ";"g";"k";"m";"o"},E2277&amp;" gkmo")),10)),"unknown")</f>
        <v>g</v>
      </c>
      <c r="K2277" s="6" t="str">
        <f t="shared" si="140"/>
        <v>g</v>
      </c>
      <c r="L2277" s="6" t="str">
        <f t="shared" si="141"/>
        <v>Moulin Des Moines</v>
      </c>
      <c r="M2277" s="6" t="str">
        <f t="shared" si="142"/>
        <v>Authentique Noir Bio 100%</v>
      </c>
      <c r="N2277" s="6" t="str">
        <f t="shared" si="143"/>
        <v>France</v>
      </c>
    </row>
    <row r="2278" spans="1:14" x14ac:dyDescent="0.25">
      <c r="A2278" s="6" t="s">
        <v>5454</v>
      </c>
      <c r="B2278" s="6">
        <v>10116</v>
      </c>
      <c r="C2278" s="6" t="s">
        <v>5455</v>
      </c>
      <c r="D2278" s="7" t="s">
        <v>1872</v>
      </c>
      <c r="E2278" s="6" t="s">
        <v>39</v>
      </c>
      <c r="F2278" s="6" t="s">
        <v>5456</v>
      </c>
      <c r="G2278" s="8">
        <v>45567</v>
      </c>
      <c r="H2278" s="6">
        <v>18.22</v>
      </c>
      <c r="I2278" s="6" cm="1">
        <f t="array" ref="I2278">IFERROR(VALUE(TRIM(LEFT(E2278,MIN(FIND({" ";"g";"k";"m";"o"},E2278&amp;" gkmo"))-1))),0)</f>
        <v>150</v>
      </c>
      <c r="J2278" s="6" t="str" cm="1">
        <f t="array" ref="J2278">IFERROR(TRIM(MID(E2278,MIN(FIND({" ";"g";"k";"m";"o"},E2278&amp;" gkmo")),10)),"unknown")</f>
        <v>g</v>
      </c>
      <c r="K2278" s="6" t="str">
        <f t="shared" si="140"/>
        <v>g</v>
      </c>
      <c r="L2278" s="6" t="str">
        <f t="shared" si="141"/>
        <v>Le Pain Des Fleurs</v>
      </c>
      <c r="M2278" s="6" t="str">
        <f t="shared" si="142"/>
        <v>Feigen Crackers</v>
      </c>
      <c r="N2278" s="6" t="str">
        <f t="shared" si="143"/>
        <v>Belgium,France,Netherlands,Switzerland</v>
      </c>
    </row>
    <row r="2279" spans="1:14" x14ac:dyDescent="0.25">
      <c r="A2279" s="6" t="s">
        <v>5457</v>
      </c>
      <c r="B2279" s="6">
        <v>14944</v>
      </c>
      <c r="C2279" s="6" t="s">
        <v>3970</v>
      </c>
      <c r="D2279" s="7" t="s">
        <v>5458</v>
      </c>
      <c r="E2279" s="6" t="s">
        <v>840</v>
      </c>
      <c r="F2279" s="6" t="s">
        <v>5459</v>
      </c>
      <c r="G2279" s="8">
        <v>45494</v>
      </c>
      <c r="H2279" s="6">
        <v>20.95</v>
      </c>
      <c r="I2279" s="6" cm="1">
        <f t="array" ref="I2279">IFERROR(VALUE(TRIM(LEFT(E2279,MIN(FIND({" ";"g";"k";"m";"o"},E2279&amp;" gkmo"))-1))),0)</f>
        <v>175</v>
      </c>
      <c r="J2279" s="6" t="str" cm="1">
        <f t="array" ref="J2279">IFERROR(TRIM(MID(E2279,MIN(FIND({" ";"g";"k";"m";"o"},E2279&amp;" gkmo")),10)),"unknown")</f>
        <v>g</v>
      </c>
      <c r="K2279" s="6" t="str">
        <f t="shared" si="140"/>
        <v>g</v>
      </c>
      <c r="L2279" s="6" t="str">
        <f t="shared" si="141"/>
        <v>Carrefour,Carrefour Sensation</v>
      </c>
      <c r="M2279" s="6" t="str">
        <f t="shared" si="142"/>
        <v>Classic</v>
      </c>
      <c r="N2279" s="6" t="str">
        <f t="shared" si="143"/>
        <v>France,Italy,Spain,Switzerland,Israel</v>
      </c>
    </row>
    <row r="2280" spans="1:14" x14ac:dyDescent="0.25">
      <c r="A2280" s="6" t="s">
        <v>5460</v>
      </c>
      <c r="B2280" s="6">
        <v>8327</v>
      </c>
      <c r="C2280" s="6" t="s">
        <v>2151</v>
      </c>
      <c r="D2280" s="7" t="s">
        <v>7481</v>
      </c>
      <c r="E2280" s="6"/>
      <c r="F2280" s="6" t="s">
        <v>1181</v>
      </c>
      <c r="G2280" s="8">
        <v>45480</v>
      </c>
      <c r="H2280" s="6">
        <v>23.61</v>
      </c>
      <c r="I2280" s="6" cm="1">
        <f t="array" ref="I2280">IFERROR(VALUE(TRIM(LEFT(E2280,MIN(FIND({" ";"g";"k";"m";"o"},E2280&amp;" gkmo"))-1))),0)</f>
        <v>0</v>
      </c>
      <c r="J2280" s="6" t="str" cm="1">
        <f t="array" ref="J2280">IFERROR(TRIM(MID(E2280,MIN(FIND({" ";"g";"k";"m";"o"},E2280&amp;" gkmo")),10)),"unknown")</f>
        <v/>
      </c>
      <c r="K2280" s="6" t="str">
        <f t="shared" si="140"/>
        <v>unknown</v>
      </c>
      <c r="L2280" s="6" t="str">
        <f t="shared" si="141"/>
        <v>Marque Repère,P'Tit Déli</v>
      </c>
      <c r="M2280" s="6" t="str">
        <f t="shared" si="142"/>
        <v>Le Petit Beurre</v>
      </c>
      <c r="N2280" s="6" t="str">
        <f t="shared" si="143"/>
        <v>France,Switzerland</v>
      </c>
    </row>
    <row r="2281" spans="1:14" x14ac:dyDescent="0.25">
      <c r="A2281" s="6" t="s">
        <v>5461</v>
      </c>
      <c r="B2281" s="6">
        <v>14133</v>
      </c>
      <c r="C2281" s="6" t="s">
        <v>7351</v>
      </c>
      <c r="D2281" s="7" t="s">
        <v>7506</v>
      </c>
      <c r="E2281" s="6" t="s">
        <v>156</v>
      </c>
      <c r="F2281" s="6" t="s">
        <v>139</v>
      </c>
      <c r="G2281" s="8">
        <v>45775</v>
      </c>
      <c r="H2281" s="6">
        <v>6.19</v>
      </c>
      <c r="I2281" s="6" cm="1">
        <f t="array" ref="I2281">IFERROR(VALUE(TRIM(LEFT(E2281,MIN(FIND({" ";"g";"k";"m";"o"},E2281&amp;" gkmo"))-1))),0)</f>
        <v>500</v>
      </c>
      <c r="J2281" s="6" t="str" cm="1">
        <f t="array" ref="J2281">IFERROR(TRIM(MID(E2281,MIN(FIND({" ";"g";"k";"m";"o"},E2281&amp;" gkmo")),10)),"unknown")</f>
        <v>g</v>
      </c>
      <c r="K2281" s="6" t="str">
        <f t="shared" si="140"/>
        <v>g</v>
      </c>
      <c r="L2281" s="6" t="str">
        <f t="shared" si="141"/>
        <v>Marque Repère, Epi D'Or</v>
      </c>
      <c r="M2281" s="6" t="str">
        <f t="shared" si="142"/>
        <v>Brioche Tranchée Nature</v>
      </c>
      <c r="N2281" s="6" t="str">
        <f t="shared" si="143"/>
        <v>France</v>
      </c>
    </row>
    <row r="2282" spans="1:14" x14ac:dyDescent="0.25">
      <c r="A2282" s="6" t="s">
        <v>5462</v>
      </c>
      <c r="B2282" s="6">
        <v>14581</v>
      </c>
      <c r="C2282" s="6" t="s">
        <v>7095</v>
      </c>
      <c r="D2282" s="7" t="s">
        <v>7530</v>
      </c>
      <c r="E2282" s="6" t="s">
        <v>2862</v>
      </c>
      <c r="F2282" s="6" t="s">
        <v>139</v>
      </c>
      <c r="G2282" s="8">
        <v>45435</v>
      </c>
      <c r="H2282" s="6">
        <v>21.63</v>
      </c>
      <c r="I2282" s="6" cm="1">
        <f t="array" ref="I2282">IFERROR(VALUE(TRIM(LEFT(E2282,MIN(FIND({" ";"g";"k";"m";"o"},E2282&amp;" gkmo"))-1))),0)</f>
        <v>700</v>
      </c>
      <c r="J2282" s="6" t="str" cm="1">
        <f t="array" ref="J2282">IFERROR(TRIM(MID(E2282,MIN(FIND({" ";"g";"k";"m";"o"},E2282&amp;" gkmo")),10)),"unknown")</f>
        <v>g</v>
      </c>
      <c r="K2282" s="6" t="str">
        <f t="shared" si="140"/>
        <v>g</v>
      </c>
      <c r="L2282" s="6" t="str">
        <f t="shared" si="141"/>
        <v>Marque Repère, Épi D'Or</v>
      </c>
      <c r="M2282" s="6" t="str">
        <f t="shared" si="142"/>
        <v>Brioche Tranchée</v>
      </c>
      <c r="N2282" s="6" t="str">
        <f t="shared" si="143"/>
        <v>France</v>
      </c>
    </row>
    <row r="2283" spans="1:14" x14ac:dyDescent="0.25">
      <c r="A2283" s="6" t="s">
        <v>5463</v>
      </c>
      <c r="B2283" s="6">
        <v>12730</v>
      </c>
      <c r="C2283" s="6" t="s">
        <v>5464</v>
      </c>
      <c r="D2283" s="7" t="s">
        <v>5465</v>
      </c>
      <c r="E2283" s="6" t="s">
        <v>1592</v>
      </c>
      <c r="F2283" s="6" t="s">
        <v>139</v>
      </c>
      <c r="G2283" s="8">
        <v>45432</v>
      </c>
      <c r="H2283" s="6">
        <v>2.78</v>
      </c>
      <c r="I2283" s="6" cm="1">
        <f t="array" ref="I2283">IFERROR(VALUE(TRIM(LEFT(E2283,MIN(FIND({" ";"g";"k";"m";"o"},E2283&amp;" gkmo"))-1))),0)</f>
        <v>265</v>
      </c>
      <c r="J2283" s="6" t="str" cm="1">
        <f t="array" ref="J2283">IFERROR(TRIM(MID(E2283,MIN(FIND({" ";"g";"k";"m";"o"},E2283&amp;" gkmo")),10)),"unknown")</f>
        <v>g</v>
      </c>
      <c r="K2283" s="6" t="str">
        <f t="shared" si="140"/>
        <v>g</v>
      </c>
      <c r="L2283" s="6" t="str">
        <f t="shared" si="141"/>
        <v>Gom'S, La Pie Qui Chante</v>
      </c>
      <c r="M2283" s="6" t="str">
        <f t="shared" si="142"/>
        <v>Gom'S</v>
      </c>
      <c r="N2283" s="6" t="str">
        <f t="shared" si="143"/>
        <v>France</v>
      </c>
    </row>
    <row r="2284" spans="1:14" x14ac:dyDescent="0.25">
      <c r="A2284" s="6" t="s">
        <v>5466</v>
      </c>
      <c r="B2284" s="6">
        <v>13796</v>
      </c>
      <c r="C2284" s="6" t="s">
        <v>5467</v>
      </c>
      <c r="D2284" s="7" t="s">
        <v>5468</v>
      </c>
      <c r="E2284" s="6" t="s">
        <v>10</v>
      </c>
      <c r="F2284" s="6" t="s">
        <v>139</v>
      </c>
      <c r="G2284" s="8">
        <v>45364</v>
      </c>
      <c r="H2284" s="6">
        <v>11.91</v>
      </c>
      <c r="I2284" s="6" cm="1">
        <f t="array" ref="I2284">IFERROR(VALUE(TRIM(LEFT(E2284,MIN(FIND({" ";"g";"k";"m";"o"},E2284&amp;" gkmo"))-1))),0)</f>
        <v>100</v>
      </c>
      <c r="J2284" s="6" t="str" cm="1">
        <f t="array" ref="J2284">IFERROR(TRIM(MID(E2284,MIN(FIND({" ";"g";"k";"m";"o"},E2284&amp;" gkmo")),10)),"unknown")</f>
        <v>g</v>
      </c>
      <c r="K2284" s="6" t="str">
        <f t="shared" si="140"/>
        <v>g</v>
      </c>
      <c r="L2284" s="6" t="str">
        <f t="shared" si="141"/>
        <v>Madagascar</v>
      </c>
      <c r="M2284" s="6" t="str">
        <f t="shared" si="142"/>
        <v>Chocolat Lait Forte Teneur Cacao</v>
      </c>
      <c r="N2284" s="6" t="str">
        <f t="shared" si="143"/>
        <v>France</v>
      </c>
    </row>
    <row r="2285" spans="1:14" x14ac:dyDescent="0.25">
      <c r="A2285" s="6" t="s">
        <v>5469</v>
      </c>
      <c r="B2285" s="6">
        <v>5538</v>
      </c>
      <c r="C2285" s="6" t="s">
        <v>7352</v>
      </c>
      <c r="D2285" s="7" t="s">
        <v>5470</v>
      </c>
      <c r="E2285" s="6" t="s">
        <v>10</v>
      </c>
      <c r="F2285" s="6" t="s">
        <v>139</v>
      </c>
      <c r="G2285" s="8">
        <v>45535</v>
      </c>
      <c r="H2285" s="6">
        <v>13.16</v>
      </c>
      <c r="I2285" s="6" cm="1">
        <f t="array" ref="I2285">IFERROR(VALUE(TRIM(LEFT(E2285,MIN(FIND({" ";"g";"k";"m";"o"},E2285&amp;" gkmo"))-1))),0)</f>
        <v>100</v>
      </c>
      <c r="J2285" s="6" t="str" cm="1">
        <f t="array" ref="J2285">IFERROR(TRIM(MID(E2285,MIN(FIND({" ";"g";"k";"m";"o"},E2285&amp;" gkmo")),10)),"unknown")</f>
        <v>g</v>
      </c>
      <c r="K2285" s="6" t="str">
        <f t="shared" si="140"/>
        <v>g</v>
      </c>
      <c r="L2285" s="6" t="str">
        <f t="shared" si="141"/>
        <v>Michel Et Augustin</v>
      </c>
      <c r="M2285" s="6" t="str">
        <f t="shared" si="142"/>
        <v>Petits Beurre Comté Et Poivre Noir De Madagascar</v>
      </c>
      <c r="N2285" s="6" t="str">
        <f t="shared" si="143"/>
        <v>France</v>
      </c>
    </row>
    <row r="2286" spans="1:14" x14ac:dyDescent="0.25">
      <c r="A2286" s="6" t="s">
        <v>5471</v>
      </c>
      <c r="B2286" s="6">
        <v>7142</v>
      </c>
      <c r="C2286" s="6" t="s">
        <v>5472</v>
      </c>
      <c r="D2286" s="7" t="s">
        <v>5473</v>
      </c>
      <c r="E2286" s="6" t="s">
        <v>580</v>
      </c>
      <c r="F2286" s="6" t="s">
        <v>7826</v>
      </c>
      <c r="G2286" s="8">
        <v>45378</v>
      </c>
      <c r="H2286" s="6">
        <v>24.49</v>
      </c>
      <c r="I2286" s="6" cm="1">
        <f t="array" ref="I2286">IFERROR(VALUE(TRIM(LEFT(E2286,MIN(FIND({" ";"g";"k";"m";"o"},E2286&amp;" gkmo"))-1))),0)</f>
        <v>250</v>
      </c>
      <c r="J2286" s="6" t="str" cm="1">
        <f t="array" ref="J2286">IFERROR(TRIM(MID(E2286,MIN(FIND({" ";"g";"k";"m";"o"},E2286&amp;" gkmo")),10)),"unknown")</f>
        <v>g</v>
      </c>
      <c r="K2286" s="6" t="str">
        <f t="shared" si="140"/>
        <v>g</v>
      </c>
      <c r="L2286" s="6" t="str">
        <f t="shared" si="141"/>
        <v>Merci,Storck</v>
      </c>
      <c r="M2286" s="6" t="str">
        <f t="shared" si="142"/>
        <v>Finest Selection Mandel Knusper Vielfalt</v>
      </c>
      <c r="N2286" s="6" t="str">
        <f t="shared" si="143"/>
        <v>À–Sterreich,Belgien,Bulgarien,Deutschland,Marokko,Rumà¤Nien,Schweden,Schweiz</v>
      </c>
    </row>
    <row r="2287" spans="1:14" x14ac:dyDescent="0.25">
      <c r="A2287" s="6" t="s">
        <v>5474</v>
      </c>
      <c r="B2287" s="6">
        <v>9441</v>
      </c>
      <c r="C2287" s="6" t="s">
        <v>5475</v>
      </c>
      <c r="D2287" s="7" t="s">
        <v>7017</v>
      </c>
      <c r="E2287" s="6" t="s">
        <v>84</v>
      </c>
      <c r="F2287" s="6" t="s">
        <v>1077</v>
      </c>
      <c r="G2287" s="8">
        <v>45569</v>
      </c>
      <c r="H2287" s="6">
        <v>13.42</v>
      </c>
      <c r="I2287" s="6" cm="1">
        <f t="array" ref="I2287">IFERROR(VALUE(TRIM(LEFT(E2287,MIN(FIND({" ";"g";"k";"m";"o"},E2287&amp;" gkmo"))-1))),0)</f>
        <v>85</v>
      </c>
      <c r="J2287" s="6" t="str" cm="1">
        <f t="array" ref="J2287">IFERROR(TRIM(MID(E2287,MIN(FIND({" ";"g";"k";"m";"o"},E2287&amp;" gkmo")),10)),"unknown")</f>
        <v>g</v>
      </c>
      <c r="K2287" s="6" t="str">
        <f t="shared" si="140"/>
        <v>g</v>
      </c>
      <c r="L2287" s="6" t="str">
        <f t="shared" si="141"/>
        <v>Unknown</v>
      </c>
      <c r="M2287" s="6" t="str">
        <f t="shared" si="142"/>
        <v>Green Plantain Chips Salted</v>
      </c>
      <c r="N2287" s="6" t="str">
        <f t="shared" si="143"/>
        <v>United Kingdom,Czech Republic</v>
      </c>
    </row>
    <row r="2288" spans="1:14" x14ac:dyDescent="0.25">
      <c r="A2288" s="6" t="s">
        <v>5476</v>
      </c>
      <c r="B2288" s="6">
        <v>9887</v>
      </c>
      <c r="C2288" s="6" t="s">
        <v>5477</v>
      </c>
      <c r="D2288" s="7" t="s">
        <v>3547</v>
      </c>
      <c r="E2288" s="6" t="s">
        <v>569</v>
      </c>
      <c r="F2288" s="6" t="s">
        <v>213</v>
      </c>
      <c r="G2288" s="8">
        <v>45787</v>
      </c>
      <c r="H2288" s="6">
        <v>14.12</v>
      </c>
      <c r="I2288" s="6" cm="1">
        <f t="array" ref="I2288">IFERROR(VALUE(TRIM(LEFT(E2288,MIN(FIND({" ";"g";"k";"m";"o"},E2288&amp;" gkmo"))-1))),0)</f>
        <v>128</v>
      </c>
      <c r="J2288" s="6" t="str" cm="1">
        <f t="array" ref="J2288">IFERROR(TRIM(MID(E2288,MIN(FIND({" ";"g";"k";"m";"o"},E2288&amp;" gkmo")),10)),"unknown")</f>
        <v>g</v>
      </c>
      <c r="K2288" s="6" t="str">
        <f t="shared" si="140"/>
        <v>g</v>
      </c>
      <c r="L2288" s="6" t="str">
        <f t="shared" si="141"/>
        <v>Kellogg'S</v>
      </c>
      <c r="M2288" s="6" t="str">
        <f t="shared" si="142"/>
        <v>Barres Extra Kellogg'S Choco Amandes - 4X32G</v>
      </c>
      <c r="N2288" s="6" t="str">
        <f t="shared" si="143"/>
        <v>Belgium,France</v>
      </c>
    </row>
    <row r="2289" spans="1:14" x14ac:dyDescent="0.25">
      <c r="A2289" s="6" t="s">
        <v>5478</v>
      </c>
      <c r="B2289" s="6">
        <v>10599</v>
      </c>
      <c r="C2289" s="6" t="s">
        <v>5479</v>
      </c>
      <c r="D2289" s="7" t="s">
        <v>5480</v>
      </c>
      <c r="E2289" s="6" t="s">
        <v>1317</v>
      </c>
      <c r="F2289" s="6" t="s">
        <v>8262</v>
      </c>
      <c r="G2289" s="8">
        <v>45535</v>
      </c>
      <c r="H2289" s="6">
        <v>13.16</v>
      </c>
      <c r="I2289" s="6" cm="1">
        <f t="array" ref="I2289">IFERROR(VALUE(TRIM(LEFT(E2289,MIN(FIND({" ";"g";"k";"m";"o"},E2289&amp;" gkmo"))-1))),0)</f>
        <v>80</v>
      </c>
      <c r="J2289" s="6" t="str" cm="1">
        <f t="array" ref="J2289">IFERROR(TRIM(MID(E2289,MIN(FIND({" ";"g";"k";"m";"o"},E2289&amp;" gkmo")),10)),"unknown")</f>
        <v>g</v>
      </c>
      <c r="K2289" s="6" t="str">
        <f t="shared" si="140"/>
        <v>g</v>
      </c>
      <c r="L2289" s="6" t="str">
        <f t="shared" si="141"/>
        <v>Elephant</v>
      </c>
      <c r="M2289" s="6" t="str">
        <f t="shared" si="142"/>
        <v>Elephant Pretzels With Salt</v>
      </c>
      <c r="N2289" s="6" t="str">
        <f t="shared" si="143"/>
        <v>Croatie,France,Germany,Morocco</v>
      </c>
    </row>
    <row r="2290" spans="1:14" x14ac:dyDescent="0.25">
      <c r="A2290" s="6" t="s">
        <v>5481</v>
      </c>
      <c r="B2290" s="6">
        <v>9838</v>
      </c>
      <c r="C2290" s="6" t="s">
        <v>2494</v>
      </c>
      <c r="D2290" s="7" t="s">
        <v>268</v>
      </c>
      <c r="E2290" s="6"/>
      <c r="F2290" s="6" t="s">
        <v>48</v>
      </c>
      <c r="G2290" s="8">
        <v>45878</v>
      </c>
      <c r="H2290" s="6">
        <v>11.05</v>
      </c>
      <c r="I2290" s="6" cm="1">
        <f t="array" ref="I2290">IFERROR(VALUE(TRIM(LEFT(E2290,MIN(FIND({" ";"g";"k";"m";"o"},E2290&amp;" gkmo"))-1))),0)</f>
        <v>0</v>
      </c>
      <c r="J2290" s="6" t="str" cm="1">
        <f t="array" ref="J2290">IFERROR(TRIM(MID(E2290,MIN(FIND({" ";"g";"k";"m";"o"},E2290&amp;" gkmo")),10)),"unknown")</f>
        <v/>
      </c>
      <c r="K2290" s="6" t="str">
        <f t="shared" si="140"/>
        <v>unknown</v>
      </c>
      <c r="L2290" s="6" t="str">
        <f t="shared" si="141"/>
        <v>Macao</v>
      </c>
      <c r="M2290" s="6" t="str">
        <f t="shared" si="142"/>
        <v>Chocolat Noir</v>
      </c>
      <c r="N2290" s="6" t="str">
        <f t="shared" si="143"/>
        <v>Morocco</v>
      </c>
    </row>
    <row r="2291" spans="1:14" x14ac:dyDescent="0.25">
      <c r="A2291" s="6" t="s">
        <v>5482</v>
      </c>
      <c r="B2291" s="6">
        <v>6811</v>
      </c>
      <c r="C2291" s="6" t="s">
        <v>8348</v>
      </c>
      <c r="D2291" s="7" t="s">
        <v>1703</v>
      </c>
      <c r="E2291" s="6" t="s">
        <v>2225</v>
      </c>
      <c r="F2291" s="6" t="s">
        <v>139</v>
      </c>
      <c r="G2291" s="8">
        <v>45753</v>
      </c>
      <c r="H2291" s="6">
        <v>1.62</v>
      </c>
      <c r="I2291" s="6" cm="1">
        <f t="array" ref="I2291">IFERROR(VALUE(TRIM(LEFT(E2291,MIN(FIND({" ";"g";"k";"m";"o"},E2291&amp;" gkmo"))-1))),0)</f>
        <v>70</v>
      </c>
      <c r="J2291" s="6" t="str" cm="1">
        <f t="array" ref="J2291">IFERROR(TRIM(MID(E2291,MIN(FIND({" ";"g";"k";"m";"o"},E2291&amp;" gkmo")),10)),"unknown")</f>
        <v>g</v>
      </c>
      <c r="K2291" s="6" t="str">
        <f t="shared" si="140"/>
        <v>g</v>
      </c>
      <c r="L2291" s="6" t="str">
        <f t="shared" si="141"/>
        <v>Ricola</v>
      </c>
      <c r="M2291" s="6" t="str">
        <f t="shared" si="142"/>
        <v>Bonbons Switzerlands Aux Plantes Menthol Sans Sucres</v>
      </c>
      <c r="N2291" s="6" t="str">
        <f t="shared" si="143"/>
        <v>France</v>
      </c>
    </row>
    <row r="2292" spans="1:14" x14ac:dyDescent="0.25">
      <c r="A2292" s="6" t="s">
        <v>5483</v>
      </c>
      <c r="B2292" s="6">
        <v>13105</v>
      </c>
      <c r="C2292" s="6" t="s">
        <v>7507</v>
      </c>
      <c r="D2292" s="7" t="s">
        <v>468</v>
      </c>
      <c r="E2292" s="6"/>
      <c r="F2292" s="6" t="s">
        <v>8324</v>
      </c>
      <c r="G2292" s="8">
        <v>45417</v>
      </c>
      <c r="H2292" s="6">
        <v>6.2</v>
      </c>
      <c r="I2292" s="6" cm="1">
        <f t="array" ref="I2292">IFERROR(VALUE(TRIM(LEFT(E2292,MIN(FIND({" ";"g";"k";"m";"o"},E2292&amp;" gkmo"))-1))),0)</f>
        <v>0</v>
      </c>
      <c r="J2292" s="6" t="str" cm="1">
        <f t="array" ref="J2292">IFERROR(TRIM(MID(E2292,MIN(FIND({" ";"g";"k";"m";"o"},E2292&amp;" gkmo")),10)),"unknown")</f>
        <v/>
      </c>
      <c r="K2292" s="6" t="str">
        <f t="shared" si="140"/>
        <v>unknown</v>
      </c>
      <c r="L2292" s="6" t="str">
        <f t="shared" si="141"/>
        <v>Milka, Mondelez</v>
      </c>
      <c r="M2292" s="6" t="str">
        <f t="shared" si="142"/>
        <v>Milka - Mmmax - Noisettes Entières</v>
      </c>
      <c r="N2292" s="6" t="str">
        <f t="shared" si="143"/>
        <v>Belgium,France,Espaà±A,Tailandia</v>
      </c>
    </row>
    <row r="2293" spans="1:14" x14ac:dyDescent="0.25">
      <c r="A2293" s="6" t="s">
        <v>5484</v>
      </c>
      <c r="B2293" s="6">
        <v>11929</v>
      </c>
      <c r="C2293" s="6" t="s">
        <v>5485</v>
      </c>
      <c r="D2293" s="7" t="s">
        <v>287</v>
      </c>
      <c r="E2293" s="6" t="s">
        <v>132</v>
      </c>
      <c r="F2293" s="6" t="s">
        <v>8273</v>
      </c>
      <c r="G2293" s="8">
        <v>45506</v>
      </c>
      <c r="H2293" s="6">
        <v>8.0500000000000007</v>
      </c>
      <c r="I2293" s="6" cm="1">
        <f t="array" ref="I2293">IFERROR(VALUE(TRIM(LEFT(E2293,MIN(FIND({" ";"g";"k";"m";"o"},E2293&amp;" gkmo"))-1))),0)</f>
        <v>350</v>
      </c>
      <c r="J2293" s="6" t="str" cm="1">
        <f t="array" ref="J2293">IFERROR(TRIM(MID(E2293,MIN(FIND({" ";"g";"k";"m";"o"},E2293&amp;" gkmo")),10)),"unknown")</f>
        <v>g</v>
      </c>
      <c r="K2293" s="6" t="str">
        <f t="shared" si="140"/>
        <v>g</v>
      </c>
      <c r="L2293" s="6" t="str">
        <f t="shared" si="141"/>
        <v>Ferrero</v>
      </c>
      <c r="M2293" s="6" t="str">
        <f t="shared" si="142"/>
        <v>Ferrero Rocher Fines Gaufrettes Enrobees De Chocolat Au Lait Et Noisettes Avec Noisette Entiere Pyramide De 28 Pieces</v>
      </c>
      <c r="N2293" s="6" t="str">
        <f t="shared" si="143"/>
        <v>France,Germany,Marruecos</v>
      </c>
    </row>
    <row r="2294" spans="1:14" x14ac:dyDescent="0.25">
      <c r="A2294" s="6" t="s">
        <v>5486</v>
      </c>
      <c r="B2294" s="6">
        <v>11789</v>
      </c>
      <c r="C2294" s="6" t="s">
        <v>5487</v>
      </c>
      <c r="D2294" s="7" t="s">
        <v>5324</v>
      </c>
      <c r="E2294" s="6" t="s">
        <v>5488</v>
      </c>
      <c r="F2294" s="6" t="s">
        <v>139</v>
      </c>
      <c r="G2294" s="8">
        <v>45837</v>
      </c>
      <c r="H2294" s="6">
        <v>5.62</v>
      </c>
      <c r="I2294" s="6" cm="1">
        <f t="array" ref="I2294">IFERROR(VALUE(TRIM(LEFT(E2294,MIN(FIND({" ";"g";"k";"m";"o"},E2294&amp;" gkmo"))-1))),0)</f>
        <v>49</v>
      </c>
      <c r="J2294" s="6" t="str" cm="1">
        <f t="array" ref="J2294">IFERROR(TRIM(MID(E2294,MIN(FIND({" ";"g";"k";"m";"o"},E2294&amp;" gkmo")),10)),"unknown")</f>
        <v>g</v>
      </c>
      <c r="K2294" s="6" t="str">
        <f t="shared" si="140"/>
        <v>g</v>
      </c>
      <c r="L2294" s="6" t="str">
        <f t="shared" si="141"/>
        <v>Ferrero, Tic Tac</v>
      </c>
      <c r="M2294" s="6" t="str">
        <f t="shared" si="142"/>
        <v>Bonbons Tic Tac 100 Pastilles Menthe Extra Fraiche - 49G</v>
      </c>
      <c r="N2294" s="6" t="str">
        <f t="shared" si="143"/>
        <v>France</v>
      </c>
    </row>
    <row r="2295" spans="1:14" x14ac:dyDescent="0.25">
      <c r="A2295" s="6" t="s">
        <v>5489</v>
      </c>
      <c r="B2295" s="6">
        <v>8497</v>
      </c>
      <c r="C2295" s="6" t="s">
        <v>5407</v>
      </c>
      <c r="D2295" s="7" t="s">
        <v>5490</v>
      </c>
      <c r="E2295" s="6" t="s">
        <v>5491</v>
      </c>
      <c r="F2295" s="6" t="s">
        <v>8325</v>
      </c>
      <c r="G2295" s="8">
        <v>45775</v>
      </c>
      <c r="H2295" s="6">
        <v>2.94</v>
      </c>
      <c r="I2295" s="6" cm="1">
        <f t="array" ref="I2295">IFERROR(VALUE(TRIM(LEFT(E2295,MIN(FIND({" ";"g";"k";"m";"o"},E2295&amp;" gkmo"))-1))),0)</f>
        <v>10</v>
      </c>
      <c r="J2295" s="6" t="str" cm="1">
        <f t="array" ref="J2295">IFERROR(TRIM(MID(E2295,MIN(FIND({" ";"g";"k";"m";"o"},E2295&amp;" gkmo")),10)),"unknown")</f>
        <v>x 44 g</v>
      </c>
      <c r="K2295" s="6" t="str">
        <f t="shared" si="140"/>
        <v>g</v>
      </c>
      <c r="L2295" s="6" t="str">
        <f t="shared" si="141"/>
        <v>Mondelez International,Oreo,Mondelez</v>
      </c>
      <c r="M2295" s="6" t="str">
        <f t="shared" si="142"/>
        <v>Original</v>
      </c>
      <c r="N2295" s="6" t="str">
        <f t="shared" si="143"/>
        <v>Austria,Belgium,France,Germany,Paà­Ses Bajos,Portugal,Espaà±A</v>
      </c>
    </row>
    <row r="2296" spans="1:14" x14ac:dyDescent="0.25">
      <c r="A2296" s="6" t="s">
        <v>5492</v>
      </c>
      <c r="B2296" s="6">
        <v>6613</v>
      </c>
      <c r="C2296" s="6" t="s">
        <v>5493</v>
      </c>
      <c r="D2296" s="7" t="s">
        <v>5494</v>
      </c>
      <c r="E2296" s="6" t="s">
        <v>476</v>
      </c>
      <c r="F2296" s="6" t="s">
        <v>7919</v>
      </c>
      <c r="G2296" s="8">
        <v>45492</v>
      </c>
      <c r="H2296" s="6">
        <v>5.6</v>
      </c>
      <c r="I2296" s="6" cm="1">
        <f t="array" ref="I2296">IFERROR(VALUE(TRIM(LEFT(E2296,MIN(FIND({" ";"g";"k";"m";"o"},E2296&amp;" gkmo"))-1))),0)</f>
        <v>45</v>
      </c>
      <c r="J2296" s="6" t="str" cm="1">
        <f t="array" ref="J2296">IFERROR(TRIM(MID(E2296,MIN(FIND({" ";"g";"k";"m";"o"},E2296&amp;" gkmo")),10)),"unknown")</f>
        <v>g</v>
      </c>
      <c r="K2296" s="6" t="str">
        <f t="shared" si="140"/>
        <v>g</v>
      </c>
      <c r="L2296" s="6" t="str">
        <f t="shared" si="141"/>
        <v>Dulcesol</v>
      </c>
      <c r="M2296" s="6" t="str">
        <f t="shared" si="142"/>
        <v>Pandorino Cacao</v>
      </c>
      <c r="N2296" s="6" t="str">
        <f t="shared" si="143"/>
        <v>France, Morocco</v>
      </c>
    </row>
    <row r="2297" spans="1:14" x14ac:dyDescent="0.25">
      <c r="A2297" s="6" t="s">
        <v>5495</v>
      </c>
      <c r="B2297" s="6">
        <v>13659</v>
      </c>
      <c r="C2297" s="6" t="s">
        <v>5496</v>
      </c>
      <c r="D2297" s="7" t="s">
        <v>7578</v>
      </c>
      <c r="E2297" s="6" t="s">
        <v>1393</v>
      </c>
      <c r="F2297" s="6" t="s">
        <v>7595</v>
      </c>
      <c r="G2297" s="8">
        <v>45363</v>
      </c>
      <c r="H2297" s="6">
        <v>15.38</v>
      </c>
      <c r="I2297" s="6" cm="1">
        <f t="array" ref="I2297">IFERROR(VALUE(TRIM(LEFT(E2297,MIN(FIND({" ";"g";"k";"m";"o"},E2297&amp;" gkmo"))-1))),0)</f>
        <v>220</v>
      </c>
      <c r="J2297" s="6" t="str" cm="1">
        <f t="array" ref="J2297">IFERROR(TRIM(MID(E2297,MIN(FIND({" ";"g";"k";"m";"o"},E2297&amp;" gkmo")),10)),"unknown")</f>
        <v>g</v>
      </c>
      <c r="K2297" s="6" t="str">
        <f t="shared" si="140"/>
        <v>g</v>
      </c>
      <c r="L2297" s="6" t="str">
        <f t="shared" si="141"/>
        <v>Gullà³N</v>
      </c>
      <c r="M2297" s="6" t="str">
        <f t="shared" si="142"/>
        <v>Sandwich Sabor Yogurt Con Avena Y Frutos Rojos</v>
      </c>
      <c r="N2297" s="6" t="str">
        <f t="shared" si="143"/>
        <v>Espaà±A</v>
      </c>
    </row>
    <row r="2298" spans="1:14" x14ac:dyDescent="0.25">
      <c r="A2298" s="6" t="s">
        <v>5497</v>
      </c>
      <c r="B2298" s="6">
        <v>5271</v>
      </c>
      <c r="C2298" s="6" t="s">
        <v>5498</v>
      </c>
      <c r="D2298" s="7" t="s">
        <v>5499</v>
      </c>
      <c r="E2298" s="6" t="s">
        <v>580</v>
      </c>
      <c r="F2298" s="6" t="s">
        <v>7595</v>
      </c>
      <c r="G2298" s="8">
        <v>45654</v>
      </c>
      <c r="H2298" s="6">
        <v>13.16</v>
      </c>
      <c r="I2298" s="6" cm="1">
        <f t="array" ref="I2298">IFERROR(VALUE(TRIM(LEFT(E2298,MIN(FIND({" ";"g";"k";"m";"o"},E2298&amp;" gkmo"))-1))),0)</f>
        <v>250</v>
      </c>
      <c r="J2298" s="6" t="str" cm="1">
        <f t="array" ref="J2298">IFERROR(TRIM(MID(E2298,MIN(FIND({" ";"g";"k";"m";"o"},E2298&amp;" gkmo")),10)),"unknown")</f>
        <v>g</v>
      </c>
      <c r="K2298" s="6" t="str">
        <f t="shared" si="140"/>
        <v>g</v>
      </c>
      <c r="L2298" s="6" t="str">
        <f t="shared" si="141"/>
        <v>Casa Pons,Hacendado</v>
      </c>
      <c r="M2298" s="6" t="str">
        <f t="shared" si="142"/>
        <v>Cacahuetes Chocolate Negro</v>
      </c>
      <c r="N2298" s="6" t="str">
        <f t="shared" si="143"/>
        <v>Espaà±A</v>
      </c>
    </row>
    <row r="2299" spans="1:14" x14ac:dyDescent="0.25">
      <c r="A2299" s="6" t="s">
        <v>5500</v>
      </c>
      <c r="B2299" s="6">
        <v>8265</v>
      </c>
      <c r="C2299" s="6" t="s">
        <v>5501</v>
      </c>
      <c r="D2299" s="7" t="s">
        <v>7017</v>
      </c>
      <c r="E2299" s="6"/>
      <c r="F2299" s="6" t="s">
        <v>7919</v>
      </c>
      <c r="G2299" s="8">
        <v>45496</v>
      </c>
      <c r="H2299" s="6">
        <v>20.73</v>
      </c>
      <c r="I2299" s="6" cm="1">
        <f t="array" ref="I2299">IFERROR(VALUE(TRIM(LEFT(E2299,MIN(FIND({" ";"g";"k";"m";"o"},E2299&amp;" gkmo"))-1))),0)</f>
        <v>0</v>
      </c>
      <c r="J2299" s="6" t="str" cm="1">
        <f t="array" ref="J2299">IFERROR(TRIM(MID(E2299,MIN(FIND({" ";"g";"k";"m";"o"},E2299&amp;" gkmo")),10)),"unknown")</f>
        <v/>
      </c>
      <c r="K2299" s="6" t="str">
        <f t="shared" si="140"/>
        <v>unknown</v>
      </c>
      <c r="L2299" s="6" t="str">
        <f t="shared" si="141"/>
        <v>Unknown</v>
      </c>
      <c r="M2299" s="6" t="str">
        <f t="shared" si="142"/>
        <v>Kitkat</v>
      </c>
      <c r="N2299" s="6" t="str">
        <f t="shared" si="143"/>
        <v>France, Morocco</v>
      </c>
    </row>
    <row r="2300" spans="1:14" x14ac:dyDescent="0.25">
      <c r="A2300" s="6" t="s">
        <v>5502</v>
      </c>
      <c r="B2300" s="6">
        <v>5847</v>
      </c>
      <c r="C2300" s="6" t="s">
        <v>5503</v>
      </c>
      <c r="D2300" s="7" t="s">
        <v>5504</v>
      </c>
      <c r="E2300" s="6" t="s">
        <v>2083</v>
      </c>
      <c r="F2300" s="6" t="s">
        <v>2333</v>
      </c>
      <c r="G2300" s="8">
        <v>45526</v>
      </c>
      <c r="H2300" s="6">
        <v>14.98</v>
      </c>
      <c r="I2300" s="6" cm="1">
        <f t="array" ref="I2300">IFERROR(VALUE(TRIM(LEFT(E2300,MIN(FIND({" ";"g";"k";"m";"o"},E2300&amp;" gkmo"))-1))),0)</f>
        <v>240</v>
      </c>
      <c r="J2300" s="6" t="str" cm="1">
        <f t="array" ref="J2300">IFERROR(TRIM(MID(E2300,MIN(FIND({" ";"g";"k";"m";"o"},E2300&amp;" gkmo")),10)),"unknown")</f>
        <v>g</v>
      </c>
      <c r="K2300" s="6" t="str">
        <f t="shared" si="140"/>
        <v>g</v>
      </c>
      <c r="L2300" s="6" t="str">
        <f t="shared" si="141"/>
        <v>Nabisco-Triscuit, Triscuit</v>
      </c>
      <c r="M2300" s="6" t="str">
        <f t="shared" si="142"/>
        <v>Hint Of Salt</v>
      </c>
      <c r="N2300" s="6" t="str">
        <f t="shared" si="143"/>
        <v>France,United States, World</v>
      </c>
    </row>
    <row r="2301" spans="1:14" x14ac:dyDescent="0.25">
      <c r="A2301" s="6" t="s">
        <v>5505</v>
      </c>
      <c r="B2301" s="6">
        <v>13079</v>
      </c>
      <c r="C2301" s="6" t="s">
        <v>2911</v>
      </c>
      <c r="D2301" s="7" t="s">
        <v>7017</v>
      </c>
      <c r="E2301" s="6"/>
      <c r="F2301" s="6" t="s">
        <v>48</v>
      </c>
      <c r="G2301" s="8">
        <v>45931</v>
      </c>
      <c r="H2301" s="6">
        <v>8.33</v>
      </c>
      <c r="I2301" s="6" cm="1">
        <f t="array" ref="I2301">IFERROR(VALUE(TRIM(LEFT(E2301,MIN(FIND({" ";"g";"k";"m";"o"},E2301&amp;" gkmo"))-1))),0)</f>
        <v>0</v>
      </c>
      <c r="J2301" s="6" t="str" cm="1">
        <f t="array" ref="J2301">IFERROR(TRIM(MID(E2301,MIN(FIND({" ";"g";"k";"m";"o"},E2301&amp;" gkmo")),10)),"unknown")</f>
        <v/>
      </c>
      <c r="K2301" s="6" t="str">
        <f t="shared" si="140"/>
        <v>unknown</v>
      </c>
      <c r="L2301" s="6" t="str">
        <f t="shared" si="141"/>
        <v>Unknown</v>
      </c>
      <c r="M2301" s="6" t="str">
        <f t="shared" si="142"/>
        <v>Leader Chips</v>
      </c>
      <c r="N2301" s="6" t="str">
        <f t="shared" si="143"/>
        <v>Morocco</v>
      </c>
    </row>
    <row r="2302" spans="1:14" x14ac:dyDescent="0.25">
      <c r="A2302" s="6" t="s">
        <v>5506</v>
      </c>
      <c r="B2302" s="6">
        <v>7577</v>
      </c>
      <c r="C2302" s="6" t="s">
        <v>5507</v>
      </c>
      <c r="D2302" s="7" t="s">
        <v>5480</v>
      </c>
      <c r="E2302" s="6" t="s">
        <v>4084</v>
      </c>
      <c r="F2302" s="6" t="s">
        <v>8140</v>
      </c>
      <c r="G2302" s="8">
        <v>45962</v>
      </c>
      <c r="H2302" s="6">
        <v>13.16</v>
      </c>
      <c r="I2302" s="6" cm="1">
        <f t="array" ref="I2302">IFERROR(VALUE(TRIM(LEFT(E2302,MIN(FIND({" ";"g";"k";"m";"o"},E2302&amp;" gkmo"))-1))),0)</f>
        <v>0</v>
      </c>
      <c r="J2302" s="6" t="str" cm="1">
        <f t="array" ref="J2302">IFERROR(TRIM(MID(E2302,MIN(FIND({" ";"g";"k";"m";"o"},E2302&amp;" gkmo")),10)),"unknown")</f>
        <v/>
      </c>
      <c r="K2302" s="6" t="str">
        <f t="shared" si="140"/>
        <v>unknown</v>
      </c>
      <c r="L2302" s="6" t="str">
        <f t="shared" si="141"/>
        <v>Elephant</v>
      </c>
      <c r="M2302" s="6" t="str">
        <f t="shared" si="142"/>
        <v>Baked Squeezed Pretzels</v>
      </c>
      <c r="N2302" s="6" t="str">
        <f t="shared" si="143"/>
        <v>Germany, Morocco, France</v>
      </c>
    </row>
    <row r="2303" spans="1:14" x14ac:dyDescent="0.25">
      <c r="A2303" s="6" t="s">
        <v>5508</v>
      </c>
      <c r="B2303" s="6">
        <v>14892</v>
      </c>
      <c r="C2303" s="6" t="s">
        <v>5509</v>
      </c>
      <c r="D2303" s="7" t="s">
        <v>633</v>
      </c>
      <c r="E2303" s="6" t="s">
        <v>1498</v>
      </c>
      <c r="F2303" s="6" t="s">
        <v>7926</v>
      </c>
      <c r="G2303" s="8">
        <v>46027</v>
      </c>
      <c r="H2303" s="6">
        <v>18.260000000000002</v>
      </c>
      <c r="I2303" s="6" cm="1">
        <f t="array" ref="I2303">IFERROR(VALUE(TRIM(LEFT(E2303,MIN(FIND({" ";"g";"k";"m";"o"},E2303&amp;" gkmo"))-1))),0)</f>
        <v>137</v>
      </c>
      <c r="J2303" s="6" t="str" cm="1">
        <f t="array" ref="J2303">IFERROR(TRIM(MID(E2303,MIN(FIND({" ";"g";"k";"m";"o"},E2303&amp;" gkmo")),10)),"unknown")</f>
        <v>g</v>
      </c>
      <c r="K2303" s="6" t="str">
        <f t="shared" si="140"/>
        <v>g</v>
      </c>
      <c r="L2303" s="6" t="str">
        <f t="shared" si="141"/>
        <v>Nairn'S</v>
      </c>
      <c r="M2303" s="6" t="str">
        <f t="shared" si="142"/>
        <v>Whole Grain Super Seeded Cracker</v>
      </c>
      <c r="N2303" s="6" t="str">
        <f t="shared" si="143"/>
        <v>France, United-Kingdom</v>
      </c>
    </row>
    <row r="2304" spans="1:14" x14ac:dyDescent="0.25">
      <c r="A2304" s="6" t="s">
        <v>5510</v>
      </c>
      <c r="B2304" s="6">
        <v>11208</v>
      </c>
      <c r="C2304" s="6" t="s">
        <v>5511</v>
      </c>
      <c r="D2304" s="7" t="s">
        <v>3448</v>
      </c>
      <c r="E2304" s="6" t="s">
        <v>1721</v>
      </c>
      <c r="F2304" s="6" t="s">
        <v>511</v>
      </c>
      <c r="G2304" s="8">
        <v>45833</v>
      </c>
      <c r="H2304" s="6">
        <v>3.65</v>
      </c>
      <c r="I2304" s="6" cm="1">
        <f t="array" ref="I2304">IFERROR(VALUE(TRIM(LEFT(E2304,MIN(FIND({" ";"g";"k";"m";"o"},E2304&amp;" gkmo"))-1))),0)</f>
        <v>30</v>
      </c>
      <c r="J2304" s="6" t="str" cm="1">
        <f t="array" ref="J2304">IFERROR(TRIM(MID(E2304,MIN(FIND({" ";"g";"k";"m";"o"},E2304&amp;" gkmo")),10)),"unknown")</f>
        <v>g</v>
      </c>
      <c r="K2304" s="6" t="str">
        <f t="shared" si="140"/>
        <v>g</v>
      </c>
      <c r="L2304" s="6" t="str">
        <f t="shared" si="141"/>
        <v>Mentos</v>
      </c>
      <c r="M2304" s="6" t="str">
        <f t="shared" si="142"/>
        <v>Chicles</v>
      </c>
      <c r="N2304" s="6" t="str">
        <f t="shared" si="143"/>
        <v>France,Morocco</v>
      </c>
    </row>
    <row r="2305" spans="1:14" x14ac:dyDescent="0.25">
      <c r="A2305" s="6" t="s">
        <v>5512</v>
      </c>
      <c r="B2305" s="6">
        <v>10229</v>
      </c>
      <c r="C2305" s="6" t="s">
        <v>7827</v>
      </c>
      <c r="D2305" s="7" t="s">
        <v>7598</v>
      </c>
      <c r="E2305" s="6" t="s">
        <v>99</v>
      </c>
      <c r="F2305" s="6" t="s">
        <v>8141</v>
      </c>
      <c r="G2305" s="8">
        <v>45477</v>
      </c>
      <c r="H2305" s="6">
        <v>20.54</v>
      </c>
      <c r="I2305" s="6" cm="1">
        <f t="array" ref="I2305">IFERROR(VALUE(TRIM(LEFT(E2305,MIN(FIND({" ";"g";"k";"m";"o"},E2305&amp;" gkmo"))-1))),0)</f>
        <v>160</v>
      </c>
      <c r="J2305" s="6" t="str" cm="1">
        <f t="array" ref="J2305">IFERROR(TRIM(MID(E2305,MIN(FIND({" ";"g";"k";"m";"o"},E2305&amp;" gkmo")),10)),"unknown")</f>
        <v>g</v>
      </c>
      <c r="K2305" s="6" t="str">
        <f t="shared" si="140"/>
        <v>g</v>
      </c>
      <c r="L2305" s="6" t="str">
        <f t="shared" si="141"/>
        <v>Florbàº</v>
      </c>
      <c r="M2305" s="6" t="str">
        <f t="shared" si="142"/>
        <v>Wafers Chocolate 0% Azàºcares</v>
      </c>
      <c r="N2305" s="6" t="str">
        <f t="shared" si="143"/>
        <v>Chile, Spain, Morocco</v>
      </c>
    </row>
    <row r="2306" spans="1:14" x14ac:dyDescent="0.25">
      <c r="A2306" s="6" t="s">
        <v>5513</v>
      </c>
      <c r="B2306" s="6">
        <v>13837</v>
      </c>
      <c r="C2306" s="6" t="s">
        <v>5514</v>
      </c>
      <c r="D2306" s="7" t="s">
        <v>7578</v>
      </c>
      <c r="E2306" s="6"/>
      <c r="F2306" s="6" t="s">
        <v>8142</v>
      </c>
      <c r="G2306" s="8">
        <v>45882</v>
      </c>
      <c r="H2306" s="6">
        <v>13.51</v>
      </c>
      <c r="I2306" s="6" cm="1">
        <f t="array" ref="I2306">IFERROR(VALUE(TRIM(LEFT(E2306,MIN(FIND({" ";"g";"k";"m";"o"},E2306&amp;" gkmo"))-1))),0)</f>
        <v>0</v>
      </c>
      <c r="J2306" s="6" t="str" cm="1">
        <f t="array" ref="J2306">IFERROR(TRIM(MID(E2306,MIN(FIND({" ";"g";"k";"m";"o"},E2306&amp;" gkmo")),10)),"unknown")</f>
        <v/>
      </c>
      <c r="K2306" s="6" t="str">
        <f t="shared" ref="K2306:K2369" si="144">IF(E2306="","unknown",IF(OR(J2306="g",LEFT(J2306,1)="g"),"g",IF(OR(LEFT(J2306,2)="kg",LEFT(J2306,2)="ki"),"kg",IF(OR(LEFT(J2306,2)="ml",LEFT(J2306,1)="m"),"ml",IF(LEFT(J2306,1)="l","l",IF(ISNUMBER(SEARCH("g",E2306)),"g",IF(ISNUMBER(SEARCH("kg",E2306)),"kg",IF(ISNUMBER(SEARCH("ml",E2306)),"ml","unknown"))))))))</f>
        <v>unknown</v>
      </c>
      <c r="L2306" s="6" t="str">
        <f t="shared" ref="L2306:L2369" si="145">IF(D2306="","Unknown",PROPER(TRIM(D2306)))</f>
        <v>Gullà³N</v>
      </c>
      <c r="M2306" s="6" t="str">
        <f t="shared" ref="M2306:M2369" si="146">IF(C2306="Unknown","Unknown",PROPER(TRIM(C2306)))</f>
        <v>Tostada Petit</v>
      </c>
      <c r="N2306" s="6" t="str">
        <f t="shared" si="143"/>
        <v>Switzerland, Morocco</v>
      </c>
    </row>
    <row r="2307" spans="1:14" x14ac:dyDescent="0.25">
      <c r="A2307" s="6" t="s">
        <v>5515</v>
      </c>
      <c r="B2307" s="6">
        <v>14190</v>
      </c>
      <c r="C2307" s="6" t="s">
        <v>5516</v>
      </c>
      <c r="D2307" s="7" t="s">
        <v>5517</v>
      </c>
      <c r="E2307" s="6" t="s">
        <v>10</v>
      </c>
      <c r="F2307" s="6" t="s">
        <v>2155</v>
      </c>
      <c r="G2307" s="8">
        <v>45918</v>
      </c>
      <c r="H2307" s="6">
        <v>23.04</v>
      </c>
      <c r="I2307" s="6" cm="1">
        <f t="array" ref="I2307">IFERROR(VALUE(TRIM(LEFT(E2307,MIN(FIND({" ";"g";"k";"m";"o"},E2307&amp;" gkmo"))-1))),0)</f>
        <v>100</v>
      </c>
      <c r="J2307" s="6" t="str" cm="1">
        <f t="array" ref="J2307">IFERROR(TRIM(MID(E2307,MIN(FIND({" ";"g";"k";"m";"o"},E2307&amp;" gkmo")),10)),"unknown")</f>
        <v>g</v>
      </c>
      <c r="K2307" s="6" t="str">
        <f t="shared" si="144"/>
        <v>g</v>
      </c>
      <c r="L2307" s="6" t="str">
        <f t="shared" si="145"/>
        <v>Asia Green Garden</v>
      </c>
      <c r="M2307" s="6" t="str">
        <f t="shared" si="146"/>
        <v>Prawn Crackers</v>
      </c>
      <c r="N2307" s="6" t="str">
        <f t="shared" ref="N2307:N2370" si="147">IF(F2307="","Unknown",PROPER(TRIM(F2307)))</f>
        <v>Germany,United Kingdom</v>
      </c>
    </row>
    <row r="2308" spans="1:14" x14ac:dyDescent="0.25">
      <c r="A2308" s="6" t="s">
        <v>5518</v>
      </c>
      <c r="B2308" s="6">
        <v>14284</v>
      </c>
      <c r="C2308" s="6" t="s">
        <v>7508</v>
      </c>
      <c r="D2308" s="7" t="s">
        <v>1402</v>
      </c>
      <c r="E2308" s="6" t="s">
        <v>5519</v>
      </c>
      <c r="F2308" s="6" t="s">
        <v>5759</v>
      </c>
      <c r="G2308" s="8">
        <v>45424</v>
      </c>
      <c r="H2308" s="6">
        <v>7.18</v>
      </c>
      <c r="I2308" s="6" cm="1">
        <f t="array" ref="I2308">IFERROR(VALUE(TRIM(LEFT(E2308,MIN(FIND({" ";"g";"k";"m";"o"},E2308&amp;" gkmo"))-1))),0)</f>
        <v>3</v>
      </c>
      <c r="J2308" s="6" t="str" cm="1">
        <f t="array" ref="J2308">IFERROR(TRIM(MID(E2308,MIN(FIND({" ";"g";"k";"m";"o"},E2308&amp;" gkmo")),10)),"unknown")</f>
        <v>x 45 g</v>
      </c>
      <c r="K2308" s="6" t="str">
        <f t="shared" si="144"/>
        <v>g</v>
      </c>
      <c r="L2308" s="6" t="str">
        <f t="shared" si="145"/>
        <v>Eat Natural</v>
      </c>
      <c r="M2308" s="6" t="str">
        <f t="shared" si="146"/>
        <v>Prosport - Barre Cacahuètes Ðÿ¥Œet Caramel Salé</v>
      </c>
      <c r="N2308" s="6" t="str">
        <f t="shared" si="147"/>
        <v>Fr</v>
      </c>
    </row>
    <row r="2309" spans="1:14" x14ac:dyDescent="0.25">
      <c r="A2309" s="6" t="s">
        <v>5520</v>
      </c>
      <c r="B2309" s="6">
        <v>12459</v>
      </c>
      <c r="C2309" s="6" t="s">
        <v>5521</v>
      </c>
      <c r="D2309" s="7" t="s">
        <v>72</v>
      </c>
      <c r="E2309" s="6" t="s">
        <v>5522</v>
      </c>
      <c r="F2309" s="6" t="s">
        <v>139</v>
      </c>
      <c r="G2309" s="8">
        <v>45456</v>
      </c>
      <c r="H2309" s="6">
        <v>23.71</v>
      </c>
      <c r="I2309" s="6" cm="1">
        <f t="array" ref="I2309">IFERROR(VALUE(TRIM(LEFT(E2309,MIN(FIND({" ";"g";"k";"m";"o"},E2309&amp;" gkmo"))-1))),0)</f>
        <v>140</v>
      </c>
      <c r="J2309" s="6" t="str" cm="1">
        <f t="array" ref="J2309">IFERROR(TRIM(MID(E2309,MIN(FIND({" ";"g";"k";"m";"o"},E2309&amp;" gkmo")),10)),"unknown")</f>
        <v>g (8 barre</v>
      </c>
      <c r="K2309" s="6" t="str">
        <f t="shared" si="144"/>
        <v>g</v>
      </c>
      <c r="L2309" s="6" t="str">
        <f t="shared" si="145"/>
        <v>Bjorg</v>
      </c>
      <c r="M2309" s="6" t="str">
        <f t="shared" si="146"/>
        <v>Les P'Tits Curieux Barres Cookies Choco Noisettes</v>
      </c>
      <c r="N2309" s="6" t="str">
        <f t="shared" si="147"/>
        <v>France</v>
      </c>
    </row>
    <row r="2310" spans="1:14" x14ac:dyDescent="0.25">
      <c r="A2310" s="6" t="s">
        <v>5523</v>
      </c>
      <c r="B2310" s="6">
        <v>10484</v>
      </c>
      <c r="C2310" s="6" t="s">
        <v>7353</v>
      </c>
      <c r="D2310" s="7" t="s">
        <v>7265</v>
      </c>
      <c r="E2310" s="6" t="s">
        <v>5524</v>
      </c>
      <c r="F2310" s="6" t="s">
        <v>139</v>
      </c>
      <c r="G2310" s="8">
        <v>46055</v>
      </c>
      <c r="H2310" s="6">
        <v>23.22</v>
      </c>
      <c r="I2310" s="6" cm="1">
        <f t="array" ref="I2310">IFERROR(VALUE(TRIM(LEFT(E2310,MIN(FIND({" ";"g";"k";"m";"o"},E2310&amp;" gkmo"))-1))),0)</f>
        <v>93</v>
      </c>
      <c r="J2310" s="6" t="str" cm="1">
        <f t="array" ref="J2310">IFERROR(TRIM(MID(E2310,MIN(FIND({" ";"g";"k";"m";"o"},E2310&amp;" gkmo")),10)),"unknown")</f>
        <v>g</v>
      </c>
      <c r="K2310" s="6" t="str">
        <f t="shared" si="144"/>
        <v>g</v>
      </c>
      <c r="L2310" s="6" t="str">
        <f t="shared" si="145"/>
        <v>Gerlinéa</v>
      </c>
      <c r="M2310" s="6" t="str">
        <f t="shared" si="146"/>
        <v>Encas Équilibré</v>
      </c>
      <c r="N2310" s="6" t="str">
        <f t="shared" si="147"/>
        <v>France</v>
      </c>
    </row>
    <row r="2311" spans="1:14" x14ac:dyDescent="0.25">
      <c r="A2311" s="6" t="s">
        <v>5525</v>
      </c>
      <c r="B2311" s="6">
        <v>12515</v>
      </c>
      <c r="C2311" s="6" t="s">
        <v>5526</v>
      </c>
      <c r="D2311" s="7" t="s">
        <v>488</v>
      </c>
      <c r="E2311" s="6" t="s">
        <v>14</v>
      </c>
      <c r="F2311" s="6" t="s">
        <v>139</v>
      </c>
      <c r="G2311" s="8">
        <v>45996</v>
      </c>
      <c r="H2311" s="6">
        <v>13.01</v>
      </c>
      <c r="I2311" s="6" cm="1">
        <f t="array" ref="I2311">IFERROR(VALUE(TRIM(LEFT(E2311,MIN(FIND({" ";"g";"k";"m";"o"},E2311&amp;" gkmo"))-1))),0)</f>
        <v>300</v>
      </c>
      <c r="J2311" s="6" t="str" cm="1">
        <f t="array" ref="J2311">IFERROR(TRIM(MID(E2311,MIN(FIND({" ";"g";"k";"m";"o"},E2311&amp;" gkmo")),10)),"unknown")</f>
        <v>g</v>
      </c>
      <c r="K2311" s="6" t="str">
        <f t="shared" si="144"/>
        <v>g</v>
      </c>
      <c r="L2311" s="6" t="str">
        <f t="shared" si="145"/>
        <v>Bonne Maman</v>
      </c>
      <c r="M2311" s="6" t="str">
        <f t="shared" si="146"/>
        <v>La Madeleine Cå“Ur Framboise</v>
      </c>
      <c r="N2311" s="6" t="str">
        <f t="shared" si="147"/>
        <v>France</v>
      </c>
    </row>
    <row r="2312" spans="1:14" x14ac:dyDescent="0.25">
      <c r="A2312" s="6" t="s">
        <v>5527</v>
      </c>
      <c r="B2312" s="6">
        <v>7177</v>
      </c>
      <c r="C2312" s="6" t="s">
        <v>3937</v>
      </c>
      <c r="D2312" s="7" t="s">
        <v>5528</v>
      </c>
      <c r="E2312" s="6" t="s">
        <v>528</v>
      </c>
      <c r="F2312" s="6" t="s">
        <v>177</v>
      </c>
      <c r="G2312" s="8">
        <v>45949</v>
      </c>
      <c r="H2312" s="6">
        <v>5.09</v>
      </c>
      <c r="I2312" s="6" cm="1">
        <f t="array" ref="I2312">IFERROR(VALUE(TRIM(LEFT(E2312,MIN(FIND({" ";"g";"k";"m";"o"},E2312&amp;" gkmo"))-1))),0)</f>
        <v>200</v>
      </c>
      <c r="J2312" s="6" t="str" cm="1">
        <f t="array" ref="J2312">IFERROR(TRIM(MID(E2312,MIN(FIND({" ";"g";"k";"m";"o"},E2312&amp;" gkmo")),10)),"unknown")</f>
        <v>g</v>
      </c>
      <c r="K2312" s="6" t="str">
        <f t="shared" si="144"/>
        <v>g</v>
      </c>
      <c r="L2312" s="6" t="str">
        <f t="shared" si="145"/>
        <v>Everyday Essentials</v>
      </c>
      <c r="M2312" s="6" t="str">
        <f t="shared" si="146"/>
        <v>Lightly Salted Tortilla Chips</v>
      </c>
      <c r="N2312" s="6" t="str">
        <f t="shared" si="147"/>
        <v>United Kingdom</v>
      </c>
    </row>
    <row r="2313" spans="1:14" x14ac:dyDescent="0.25">
      <c r="A2313" s="6" t="s">
        <v>5529</v>
      </c>
      <c r="B2313" s="6">
        <v>13441</v>
      </c>
      <c r="C2313" s="6" t="s">
        <v>5530</v>
      </c>
      <c r="D2313" s="7" t="s">
        <v>310</v>
      </c>
      <c r="E2313" s="6" t="s">
        <v>284</v>
      </c>
      <c r="F2313" s="6" t="s">
        <v>139</v>
      </c>
      <c r="G2313" s="8">
        <v>45712</v>
      </c>
      <c r="H2313" s="6">
        <v>8.2100000000000009</v>
      </c>
      <c r="I2313" s="6" cm="1">
        <f t="array" ref="I2313">IFERROR(VALUE(TRIM(LEFT(E2313,MIN(FIND({" ";"g";"k";"m";"o"},E2313&amp;" gkmo"))-1))),0)</f>
        <v>180</v>
      </c>
      <c r="J2313" s="6" t="str" cm="1">
        <f t="array" ref="J2313">IFERROR(TRIM(MID(E2313,MIN(FIND({" ";"g";"k";"m";"o"},E2313&amp;" gkmo")),10)),"unknown")</f>
        <v>g</v>
      </c>
      <c r="K2313" s="6" t="str">
        <f t="shared" si="144"/>
        <v>g</v>
      </c>
      <c r="L2313" s="6" t="str">
        <f t="shared" si="145"/>
        <v>St Michel</v>
      </c>
      <c r="M2313" s="6" t="str">
        <f t="shared" si="146"/>
        <v>Galette Moelleuse Chocolat Au Lait</v>
      </c>
      <c r="N2313" s="6" t="str">
        <f t="shared" si="147"/>
        <v>France</v>
      </c>
    </row>
    <row r="2314" spans="1:14" x14ac:dyDescent="0.25">
      <c r="A2314" s="6" t="s">
        <v>5531</v>
      </c>
      <c r="B2314" s="6">
        <v>8021</v>
      </c>
      <c r="C2314" s="6" t="s">
        <v>5532</v>
      </c>
      <c r="D2314" s="7" t="s">
        <v>1370</v>
      </c>
      <c r="E2314" s="6"/>
      <c r="F2314" s="6" t="s">
        <v>7954</v>
      </c>
      <c r="G2314" s="8">
        <v>45415</v>
      </c>
      <c r="H2314" s="6">
        <v>11.73</v>
      </c>
      <c r="I2314" s="6" cm="1">
        <f t="array" ref="I2314">IFERROR(VALUE(TRIM(LEFT(E2314,MIN(FIND({" ";"g";"k";"m";"o"},E2314&amp;" gkmo"))-1))),0)</f>
        <v>0</v>
      </c>
      <c r="J2314" s="6" t="str" cm="1">
        <f t="array" ref="J2314">IFERROR(TRIM(MID(E2314,MIN(FIND({" ";"g";"k";"m";"o"},E2314&amp;" gkmo")),10)),"unknown")</f>
        <v/>
      </c>
      <c r="K2314" s="6" t="str">
        <f t="shared" si="144"/>
        <v>unknown</v>
      </c>
      <c r="L2314" s="6" t="str">
        <f t="shared" si="145"/>
        <v>Belvita</v>
      </c>
      <c r="M2314" s="6" t="str">
        <f t="shared" si="146"/>
        <v>Barre Moelleuse Cranberries &amp; Noisettes</v>
      </c>
      <c r="N2314" s="6" t="str">
        <f t="shared" si="147"/>
        <v>France, Belgium</v>
      </c>
    </row>
    <row r="2315" spans="1:14" x14ac:dyDescent="0.25">
      <c r="A2315" s="6" t="s">
        <v>5533</v>
      </c>
      <c r="B2315" s="6">
        <v>5479</v>
      </c>
      <c r="C2315" s="6" t="s">
        <v>5534</v>
      </c>
      <c r="D2315" s="7" t="s">
        <v>1172</v>
      </c>
      <c r="E2315" s="6" t="s">
        <v>228</v>
      </c>
      <c r="F2315" s="6" t="s">
        <v>8143</v>
      </c>
      <c r="G2315" s="8">
        <v>45422</v>
      </c>
      <c r="H2315" s="6">
        <v>2.71</v>
      </c>
      <c r="I2315" s="6" cm="1">
        <f t="array" ref="I2315">IFERROR(VALUE(TRIM(LEFT(E2315,MIN(FIND({" ";"g";"k";"m";"o"},E2315&amp;" gkmo"))-1))),0)</f>
        <v>350</v>
      </c>
      <c r="J2315" s="6" t="str" cm="1">
        <f t="array" ref="J2315">IFERROR(TRIM(MID(E2315,MIN(FIND({" ";"g";"k";"m";"o"},E2315&amp;" gkmo")),10)),"unknown")</f>
        <v>g</v>
      </c>
      <c r="K2315" s="6" t="str">
        <f t="shared" si="144"/>
        <v>g</v>
      </c>
      <c r="L2315" s="6" t="str">
        <f t="shared" si="145"/>
        <v>Barilla, Mulino Bianco</v>
      </c>
      <c r="M2315" s="6" t="str">
        <f t="shared" si="146"/>
        <v>Abbracci</v>
      </c>
      <c r="N2315" s="6" t="str">
        <f t="shared" si="147"/>
        <v>France, Germany, Italy, Italy</v>
      </c>
    </row>
    <row r="2316" spans="1:14" x14ac:dyDescent="0.25">
      <c r="A2316" s="6" t="s">
        <v>5535</v>
      </c>
      <c r="B2316" s="6">
        <v>6442</v>
      </c>
      <c r="C2316" s="6" t="s">
        <v>7354</v>
      </c>
      <c r="D2316" s="7" t="s">
        <v>7828</v>
      </c>
      <c r="E2316" s="6" t="s">
        <v>18</v>
      </c>
      <c r="F2316" s="6" t="s">
        <v>139</v>
      </c>
      <c r="G2316" s="8">
        <v>45703</v>
      </c>
      <c r="H2316" s="6">
        <v>23.51</v>
      </c>
      <c r="I2316" s="6" cm="1">
        <f t="array" ref="I2316">IFERROR(VALUE(TRIM(LEFT(E2316,MIN(FIND({" ";"g";"k";"m";"o"},E2316&amp;" gkmo"))-1))),0)</f>
        <v>100</v>
      </c>
      <c r="J2316" s="6" t="str" cm="1">
        <f t="array" ref="J2316">IFERROR(TRIM(MID(E2316,MIN(FIND({" ";"g";"k";"m";"o"},E2316&amp;" gkmo")),10)),"unknown")</f>
        <v>g</v>
      </c>
      <c r="K2316" s="6" t="str">
        <f t="shared" si="144"/>
        <v>g</v>
      </c>
      <c r="L2316" s="6" t="str">
        <f t="shared" si="145"/>
        <v>Cà´Te D'Or</v>
      </c>
      <c r="M2316" s="6" t="str">
        <f t="shared" si="146"/>
        <v>Noir 70% Noisettes Et Amandes Caramélisées</v>
      </c>
      <c r="N2316" s="6" t="str">
        <f t="shared" si="147"/>
        <v>France</v>
      </c>
    </row>
    <row r="2317" spans="1:14" x14ac:dyDescent="0.25">
      <c r="A2317" s="6" t="s">
        <v>5536</v>
      </c>
      <c r="B2317" s="6">
        <v>6745</v>
      </c>
      <c r="C2317" s="6" t="s">
        <v>5537</v>
      </c>
      <c r="D2317" s="7" t="s">
        <v>652</v>
      </c>
      <c r="E2317" s="6" t="s">
        <v>5538</v>
      </c>
      <c r="F2317" s="6" t="s">
        <v>5759</v>
      </c>
      <c r="G2317" s="8">
        <v>45867</v>
      </c>
      <c r="H2317" s="6">
        <v>24.07</v>
      </c>
      <c r="I2317" s="6" cm="1">
        <f t="array" ref="I2317">IFERROR(VALUE(TRIM(LEFT(E2317,MIN(FIND({" ";"g";"k";"m";"o"},E2317&amp;" gkmo"))-1))),0)</f>
        <v>210</v>
      </c>
      <c r="J2317" s="6" t="str" cm="1">
        <f t="array" ref="J2317">IFERROR(TRIM(MID(E2317,MIN(FIND({" ";"g";"k";"m";"o"},E2317&amp;" gkmo")),10)),"unknown")</f>
        <v>g (7x30g)</v>
      </c>
      <c r="K2317" s="6" t="str">
        <f t="shared" si="144"/>
        <v>g</v>
      </c>
      <c r="L2317" s="6" t="str">
        <f t="shared" si="145"/>
        <v>Brossard</v>
      </c>
      <c r="M2317" s="6" t="str">
        <f t="shared" si="146"/>
        <v>Savane Max Barr'</v>
      </c>
      <c r="N2317" s="6" t="str">
        <f t="shared" si="147"/>
        <v>Fr</v>
      </c>
    </row>
    <row r="2318" spans="1:14" x14ac:dyDescent="0.25">
      <c r="A2318" s="6" t="s">
        <v>5539</v>
      </c>
      <c r="B2318" s="6">
        <v>11191</v>
      </c>
      <c r="C2318" s="6" t="s">
        <v>5540</v>
      </c>
      <c r="D2318" s="7" t="s">
        <v>5541</v>
      </c>
      <c r="E2318" s="6" t="s">
        <v>614</v>
      </c>
      <c r="F2318" s="6" t="s">
        <v>177</v>
      </c>
      <c r="G2318" s="8">
        <v>45349</v>
      </c>
      <c r="H2318" s="6">
        <v>19.25</v>
      </c>
      <c r="I2318" s="6" cm="1">
        <f t="array" ref="I2318">IFERROR(VALUE(TRIM(LEFT(E2318,MIN(FIND({" ";"g";"k";"m";"o"},E2318&amp;" gkmo"))-1))),0)</f>
        <v>45</v>
      </c>
      <c r="J2318" s="6" t="str" cm="1">
        <f t="array" ref="J2318">IFERROR(TRIM(MID(E2318,MIN(FIND({" ";"g";"k";"m";"o"},E2318&amp;" gkmo")),10)),"unknown")</f>
        <v>g</v>
      </c>
      <c r="K2318" s="6" t="str">
        <f t="shared" si="144"/>
        <v>g</v>
      </c>
      <c r="L2318" s="6" t="str">
        <f t="shared" si="145"/>
        <v>Mccoy'S</v>
      </c>
      <c r="M2318" s="6" t="str">
        <f t="shared" si="146"/>
        <v>Mccoy'S Ridge Cut - Salt &amp; Malt Vinegar Flavour Potato Crisps</v>
      </c>
      <c r="N2318" s="6" t="str">
        <f t="shared" si="147"/>
        <v>United Kingdom</v>
      </c>
    </row>
    <row r="2319" spans="1:14" x14ac:dyDescent="0.25">
      <c r="A2319" s="6" t="s">
        <v>5542</v>
      </c>
      <c r="B2319" s="6">
        <v>7499</v>
      </c>
      <c r="C2319" s="6" t="s">
        <v>5543</v>
      </c>
      <c r="D2319" s="7" t="s">
        <v>3999</v>
      </c>
      <c r="E2319" s="6"/>
      <c r="F2319" s="6" t="s">
        <v>241</v>
      </c>
      <c r="G2319" s="8">
        <v>45942</v>
      </c>
      <c r="H2319" s="6">
        <v>6.33</v>
      </c>
      <c r="I2319" s="6" cm="1">
        <f t="array" ref="I2319">IFERROR(VALUE(TRIM(LEFT(E2319,MIN(FIND({" ";"g";"k";"m";"o"},E2319&amp;" gkmo"))-1))),0)</f>
        <v>0</v>
      </c>
      <c r="J2319" s="6" t="str" cm="1">
        <f t="array" ref="J2319">IFERROR(TRIM(MID(E2319,MIN(FIND({" ";"g";"k";"m";"o"},E2319&amp;" gkmo")),10)),"unknown")</f>
        <v/>
      </c>
      <c r="K2319" s="6" t="str">
        <f t="shared" si="144"/>
        <v>unknown</v>
      </c>
      <c r="L2319" s="6" t="str">
        <f t="shared" si="145"/>
        <v>Ritter Sport</v>
      </c>
      <c r="M2319" s="6" t="str">
        <f t="shared" si="146"/>
        <v>Alpenmilch</v>
      </c>
      <c r="N2319" s="6" t="str">
        <f t="shared" si="147"/>
        <v>Germany</v>
      </c>
    </row>
    <row r="2320" spans="1:14" x14ac:dyDescent="0.25">
      <c r="A2320" s="6" t="s">
        <v>5544</v>
      </c>
      <c r="B2320" s="6">
        <v>8156</v>
      </c>
      <c r="C2320" s="6" t="s">
        <v>7829</v>
      </c>
      <c r="D2320" s="7" t="s">
        <v>72</v>
      </c>
      <c r="E2320" s="6" t="s">
        <v>786</v>
      </c>
      <c r="F2320" s="6" t="s">
        <v>139</v>
      </c>
      <c r="G2320" s="8">
        <v>45669</v>
      </c>
      <c r="H2320" s="6">
        <v>3.83</v>
      </c>
      <c r="I2320" s="6" cm="1">
        <f t="array" ref="I2320">IFERROR(VALUE(TRIM(LEFT(E2320,MIN(FIND({" ";"g";"k";"m";"o"},E2320&amp;" gkmo"))-1))),0)</f>
        <v>130</v>
      </c>
      <c r="J2320" s="6" t="str" cm="1">
        <f t="array" ref="J2320">IFERROR(TRIM(MID(E2320,MIN(FIND({" ";"g";"k";"m";"o"},E2320&amp;" gkmo")),10)),"unknown")</f>
        <v>g</v>
      </c>
      <c r="K2320" s="6" t="str">
        <f t="shared" si="144"/>
        <v>g</v>
      </c>
      <c r="L2320" s="6" t="str">
        <f t="shared" si="145"/>
        <v>Bjorg</v>
      </c>
      <c r="M2320" s="6" t="str">
        <f t="shared" si="146"/>
        <v>Biscuit Pavot Goà»T Passion</v>
      </c>
      <c r="N2320" s="6" t="str">
        <f t="shared" si="147"/>
        <v>France</v>
      </c>
    </row>
    <row r="2321" spans="1:14" x14ac:dyDescent="0.25">
      <c r="A2321" s="6" t="s">
        <v>5545</v>
      </c>
      <c r="B2321" s="6">
        <v>11067</v>
      </c>
      <c r="C2321" s="6" t="s">
        <v>5546</v>
      </c>
      <c r="D2321" s="7" t="s">
        <v>5547</v>
      </c>
      <c r="E2321" s="6" t="s">
        <v>1312</v>
      </c>
      <c r="F2321" s="6" t="s">
        <v>4701</v>
      </c>
      <c r="G2321" s="8">
        <v>45955</v>
      </c>
      <c r="H2321" s="6">
        <v>18.02</v>
      </c>
      <c r="I2321" s="6" cm="1">
        <f t="array" ref="I2321">IFERROR(VALUE(TRIM(LEFT(E2321,MIN(FIND({" ";"g";"k";"m";"o"},E2321&amp;" gkmo"))-1))),0)</f>
        <v>50</v>
      </c>
      <c r="J2321" s="6" t="str" cm="1">
        <f t="array" ref="J2321">IFERROR(TRIM(MID(E2321,MIN(FIND({" ";"g";"k";"m";"o"},E2321&amp;" gkmo")),10)),"unknown")</f>
        <v>g</v>
      </c>
      <c r="K2321" s="6" t="str">
        <f t="shared" si="144"/>
        <v>g</v>
      </c>
      <c r="L2321" s="6" t="str">
        <f t="shared" si="145"/>
        <v>Parle</v>
      </c>
      <c r="M2321" s="6" t="str">
        <f t="shared" si="146"/>
        <v>Parle-G Gold 75G</v>
      </c>
      <c r="N2321" s="6" t="str">
        <f t="shared" si="147"/>
        <v>India</v>
      </c>
    </row>
    <row r="2322" spans="1:14" x14ac:dyDescent="0.25">
      <c r="A2322" s="6" t="s">
        <v>5548</v>
      </c>
      <c r="B2322" s="6">
        <v>6967</v>
      </c>
      <c r="C2322" s="6" t="s">
        <v>5549</v>
      </c>
      <c r="D2322" s="7" t="s">
        <v>452</v>
      </c>
      <c r="E2322" s="6"/>
      <c r="F2322" s="6" t="s">
        <v>8144</v>
      </c>
      <c r="G2322" s="8">
        <v>46032</v>
      </c>
      <c r="H2322" s="6">
        <v>8.31</v>
      </c>
      <c r="I2322" s="6" cm="1">
        <f t="array" ref="I2322">IFERROR(VALUE(TRIM(LEFT(E2322,MIN(FIND({" ";"g";"k";"m";"o"},E2322&amp;" gkmo"))-1))),0)</f>
        <v>0</v>
      </c>
      <c r="J2322" s="6" t="str" cm="1">
        <f t="array" ref="J2322">IFERROR(TRIM(MID(E2322,MIN(FIND({" ";"g";"k";"m";"o"},E2322&amp;" gkmo")),10)),"unknown")</f>
        <v/>
      </c>
      <c r="K2322" s="6" t="str">
        <f t="shared" si="144"/>
        <v>unknown</v>
      </c>
      <c r="L2322" s="6" t="str">
        <f t="shared" si="145"/>
        <v>Hacendado</v>
      </c>
      <c r="M2322" s="6" t="str">
        <f t="shared" si="146"/>
        <v>Barritas De Chocolate Blanco</v>
      </c>
      <c r="N2322" s="6" t="str">
        <f t="shared" si="147"/>
        <v>Spain, Portugal</v>
      </c>
    </row>
    <row r="2323" spans="1:14" x14ac:dyDescent="0.25">
      <c r="A2323" s="6" t="s">
        <v>5550</v>
      </c>
      <c r="B2323" s="6">
        <v>7996</v>
      </c>
      <c r="C2323" s="6" t="s">
        <v>5551</v>
      </c>
      <c r="D2323" s="7" t="s">
        <v>452</v>
      </c>
      <c r="E2323" s="6" t="s">
        <v>64</v>
      </c>
      <c r="F2323" s="6" t="s">
        <v>7599</v>
      </c>
      <c r="G2323" s="8">
        <v>45911</v>
      </c>
      <c r="H2323" s="6">
        <v>7.32</v>
      </c>
      <c r="I2323" s="6" cm="1">
        <f t="array" ref="I2323">IFERROR(VALUE(TRIM(LEFT(E2323,MIN(FIND({" ";"g";"k";"m";"o"},E2323&amp;" gkmo"))-1))),0)</f>
        <v>150</v>
      </c>
      <c r="J2323" s="6" t="str" cm="1">
        <f t="array" ref="J2323">IFERROR(TRIM(MID(E2323,MIN(FIND({" ";"g";"k";"m";"o"},E2323&amp;" gkmo")),10)),"unknown")</f>
        <v>g</v>
      </c>
      <c r="K2323" s="6" t="str">
        <f t="shared" si="144"/>
        <v>g</v>
      </c>
      <c r="L2323" s="6" t="str">
        <f t="shared" si="145"/>
        <v>Hacendado</v>
      </c>
      <c r="M2323" s="6" t="str">
        <f t="shared" si="146"/>
        <v>Chocolate Negro 55%</v>
      </c>
      <c r="N2323" s="6" t="str">
        <f t="shared" si="147"/>
        <v>Marruecos,Espaà±A</v>
      </c>
    </row>
    <row r="2324" spans="1:14" x14ac:dyDescent="0.25">
      <c r="A2324" s="6" t="s">
        <v>5552</v>
      </c>
      <c r="B2324" s="6">
        <v>14794</v>
      </c>
      <c r="C2324" s="6" t="s">
        <v>1311</v>
      </c>
      <c r="D2324" s="7" t="s">
        <v>1529</v>
      </c>
      <c r="E2324" s="6" t="s">
        <v>5553</v>
      </c>
      <c r="F2324" s="6" t="s">
        <v>177</v>
      </c>
      <c r="G2324" s="8">
        <v>45924</v>
      </c>
      <c r="H2324" s="6">
        <v>17.989999999999998</v>
      </c>
      <c r="I2324" s="6" cm="1">
        <f t="array" ref="I2324">IFERROR(VALUE(TRIM(LEFT(E2324,MIN(FIND({" ";"g";"k";"m";"o"},E2324&amp;" gkmo"))-1))),0)</f>
        <v>41.7</v>
      </c>
      <c r="J2324" s="6" t="str" cm="1">
        <f t="array" ref="J2324">IFERROR(TRIM(MID(E2324,MIN(FIND({" ";"g";"k";"m";"o"},E2324&amp;" gkmo")),10)),"unknown")</f>
        <v>g</v>
      </c>
      <c r="K2324" s="6" t="str">
        <f t="shared" si="144"/>
        <v>g</v>
      </c>
      <c r="L2324" s="6" t="str">
        <f t="shared" si="145"/>
        <v>Mars</v>
      </c>
      <c r="M2324" s="6" t="str">
        <f t="shared" si="146"/>
        <v>Snickers</v>
      </c>
      <c r="N2324" s="6" t="str">
        <f t="shared" si="147"/>
        <v>United Kingdom</v>
      </c>
    </row>
    <row r="2325" spans="1:14" x14ac:dyDescent="0.25">
      <c r="A2325" s="6" t="s">
        <v>5554</v>
      </c>
      <c r="B2325" s="6">
        <v>7002</v>
      </c>
      <c r="C2325" s="6" t="s">
        <v>5555</v>
      </c>
      <c r="D2325" s="7" t="s">
        <v>854</v>
      </c>
      <c r="E2325" s="6" t="s">
        <v>840</v>
      </c>
      <c r="F2325" s="6" t="s">
        <v>8283</v>
      </c>
      <c r="G2325" s="8">
        <v>45502</v>
      </c>
      <c r="H2325" s="6">
        <v>16</v>
      </c>
      <c r="I2325" s="6" cm="1">
        <f t="array" ref="I2325">IFERROR(VALUE(TRIM(LEFT(E2325,MIN(FIND({" ";"g";"k";"m";"o"},E2325&amp;" gkmo"))-1))),0)</f>
        <v>175</v>
      </c>
      <c r="J2325" s="6" t="str" cm="1">
        <f t="array" ref="J2325">IFERROR(TRIM(MID(E2325,MIN(FIND({" ";"g";"k";"m";"o"},E2325&amp;" gkmo")),10)),"unknown")</f>
        <v>g</v>
      </c>
      <c r="K2325" s="6" t="str">
        <f t="shared" si="144"/>
        <v>g</v>
      </c>
      <c r="L2325" s="6" t="str">
        <f t="shared" si="145"/>
        <v>Carrefour</v>
      </c>
      <c r="M2325" s="6" t="str">
        <f t="shared" si="146"/>
        <v>Gaufres Au Miel</v>
      </c>
      <c r="N2325" s="6" t="str">
        <f t="shared" si="147"/>
        <v>France, Italie, Spain</v>
      </c>
    </row>
    <row r="2326" spans="1:14" x14ac:dyDescent="0.25">
      <c r="A2326" s="6" t="s">
        <v>5556</v>
      </c>
      <c r="B2326" s="6">
        <v>6480</v>
      </c>
      <c r="C2326" s="6" t="s">
        <v>5557</v>
      </c>
      <c r="D2326" s="7" t="s">
        <v>7106</v>
      </c>
      <c r="E2326" s="6" t="s">
        <v>5558</v>
      </c>
      <c r="F2326" s="6" t="s">
        <v>139</v>
      </c>
      <c r="G2326" s="8">
        <v>45423</v>
      </c>
      <c r="H2326" s="6">
        <v>13.16</v>
      </c>
      <c r="I2326" s="6" cm="1">
        <f t="array" ref="I2326">IFERROR(VALUE(TRIM(LEFT(E2326,MIN(FIND({" ";"g";"k";"m";"o"},E2326&amp;" gkmo"))-1))),0)</f>
        <v>412</v>
      </c>
      <c r="J2326" s="6" t="str" cm="1">
        <f t="array" ref="J2326">IFERROR(TRIM(MID(E2326,MIN(FIND({" ";"g";"k";"m";"o"},E2326&amp;" gkmo")),10)),"unknown")</f>
        <v>g</v>
      </c>
      <c r="K2326" s="6" t="str">
        <f t="shared" si="144"/>
        <v>g</v>
      </c>
      <c r="L2326" s="6" t="str">
        <f t="shared" si="145"/>
        <v>Ker Cadélac</v>
      </c>
      <c r="M2326" s="6" t="str">
        <f t="shared" si="146"/>
        <v>Les P'Tites Madeleines Nature</v>
      </c>
      <c r="N2326" s="6" t="str">
        <f t="shared" si="147"/>
        <v>France</v>
      </c>
    </row>
    <row r="2327" spans="1:14" x14ac:dyDescent="0.25">
      <c r="A2327" s="6" t="s">
        <v>5559</v>
      </c>
      <c r="B2327" s="6">
        <v>8408</v>
      </c>
      <c r="C2327" s="6" t="s">
        <v>5560</v>
      </c>
      <c r="D2327" s="7" t="s">
        <v>903</v>
      </c>
      <c r="E2327" s="6">
        <v>20</v>
      </c>
      <c r="F2327" s="6" t="s">
        <v>177</v>
      </c>
      <c r="G2327" s="8">
        <v>45558</v>
      </c>
      <c r="H2327" s="6">
        <v>21.28</v>
      </c>
      <c r="I2327" s="6" cm="1">
        <f t="array" ref="I2327">IFERROR(VALUE(TRIM(LEFT(E2327,MIN(FIND({" ";"g";"k";"m";"o"},E2327&amp;" gkmo"))-1))),0)</f>
        <v>20</v>
      </c>
      <c r="J2327" s="6" t="str" cm="1">
        <f t="array" ref="J2327">IFERROR(TRIM(MID(E2327,MIN(FIND({" ";"g";"k";"m";"o"},E2327&amp;" gkmo")),10)),"unknown")</f>
        <v/>
      </c>
      <c r="K2327" s="6" t="str">
        <f t="shared" si="144"/>
        <v>unknown</v>
      </c>
      <c r="L2327" s="6" t="str">
        <f t="shared" si="145"/>
        <v>Coop</v>
      </c>
      <c r="M2327" s="6" t="str">
        <f t="shared" si="146"/>
        <v>Co-Op Shortbread Fingers 380G</v>
      </c>
      <c r="N2327" s="6" t="str">
        <f t="shared" si="147"/>
        <v>United Kingdom</v>
      </c>
    </row>
    <row r="2328" spans="1:14" x14ac:dyDescent="0.25">
      <c r="A2328" s="6" t="s">
        <v>5561</v>
      </c>
      <c r="B2328" s="6">
        <v>10963</v>
      </c>
      <c r="C2328" s="6" t="s">
        <v>5562</v>
      </c>
      <c r="D2328" s="7" t="s">
        <v>150</v>
      </c>
      <c r="E2328" s="6" t="s">
        <v>138</v>
      </c>
      <c r="F2328" s="6" t="s">
        <v>177</v>
      </c>
      <c r="G2328" s="8">
        <v>45481</v>
      </c>
      <c r="H2328" s="6">
        <v>6.9</v>
      </c>
      <c r="I2328" s="6" cm="1">
        <f t="array" ref="I2328">IFERROR(VALUE(TRIM(LEFT(E2328,MIN(FIND({" ";"g";"k";"m";"o"},E2328&amp;" gkmo"))-1))),0)</f>
        <v>400</v>
      </c>
      <c r="J2328" s="6" t="str" cm="1">
        <f t="array" ref="J2328">IFERROR(TRIM(MID(E2328,MIN(FIND({" ";"g";"k";"m";"o"},E2328&amp;" gkmo")),10)),"unknown")</f>
        <v>g</v>
      </c>
      <c r="K2328" s="6" t="str">
        <f t="shared" si="144"/>
        <v>g</v>
      </c>
      <c r="L2328" s="6" t="str">
        <f t="shared" si="145"/>
        <v>Alesto</v>
      </c>
      <c r="M2328" s="6" t="str">
        <f t="shared" si="146"/>
        <v>Roasted And Salted Peanuts</v>
      </c>
      <c r="N2328" s="6" t="str">
        <f t="shared" si="147"/>
        <v>United Kingdom</v>
      </c>
    </row>
    <row r="2329" spans="1:14" x14ac:dyDescent="0.25">
      <c r="A2329" s="6" t="s">
        <v>5563</v>
      </c>
      <c r="B2329" s="6">
        <v>6431</v>
      </c>
      <c r="C2329" s="6" t="s">
        <v>5564</v>
      </c>
      <c r="D2329" s="7" t="s">
        <v>1105</v>
      </c>
      <c r="E2329" s="6" t="s">
        <v>5565</v>
      </c>
      <c r="F2329" s="6" t="s">
        <v>139</v>
      </c>
      <c r="G2329" s="8">
        <v>45907</v>
      </c>
      <c r="H2329" s="6">
        <v>12.91</v>
      </c>
      <c r="I2329" s="6" cm="1">
        <f t="array" ref="I2329">IFERROR(VALUE(TRIM(LEFT(E2329,MIN(FIND({" ";"g";"k";"m";"o"},E2329&amp;" gkmo"))-1))),0)</f>
        <v>240</v>
      </c>
      <c r="J2329" s="6" t="str" cm="1">
        <f t="array" ref="J2329">IFERROR(TRIM(MID(E2329,MIN(FIND({" ";"g";"k";"m";"o"},E2329&amp;" gkmo")),10)),"unknown")</f>
        <v>g (3x80 g</v>
      </c>
      <c r="K2329" s="6" t="str">
        <f t="shared" si="144"/>
        <v>g</v>
      </c>
      <c r="L2329" s="6" t="str">
        <f t="shared" si="145"/>
        <v>Vico</v>
      </c>
      <c r="M2329" s="6" t="str">
        <f t="shared" si="146"/>
        <v>Pop Corn Sucre De Canne</v>
      </c>
      <c r="N2329" s="6" t="str">
        <f t="shared" si="147"/>
        <v>France</v>
      </c>
    </row>
    <row r="2330" spans="1:14" x14ac:dyDescent="0.25">
      <c r="A2330" s="6" t="s">
        <v>5566</v>
      </c>
      <c r="B2330" s="6">
        <v>8826</v>
      </c>
      <c r="C2330" s="6" t="s">
        <v>2075</v>
      </c>
      <c r="D2330" s="7" t="s">
        <v>248</v>
      </c>
      <c r="E2330" s="6"/>
      <c r="F2330" s="6" t="s">
        <v>7916</v>
      </c>
      <c r="G2330" s="8">
        <v>45804</v>
      </c>
      <c r="H2330" s="6">
        <v>10.16</v>
      </c>
      <c r="I2330" s="6" cm="1">
        <f t="array" ref="I2330">IFERROR(VALUE(TRIM(LEFT(E2330,MIN(FIND({" ";"g";"k";"m";"o"},E2330&amp;" gkmo"))-1))),0)</f>
        <v>0</v>
      </c>
      <c r="J2330" s="6" t="str" cm="1">
        <f t="array" ref="J2330">IFERROR(TRIM(MID(E2330,MIN(FIND({" ";"g";"k";"m";"o"},E2330&amp;" gkmo")),10)),"unknown")</f>
        <v/>
      </c>
      <c r="K2330" s="6" t="str">
        <f t="shared" si="144"/>
        <v>unknown</v>
      </c>
      <c r="L2330" s="6" t="str">
        <f t="shared" si="145"/>
        <v>Tesco</v>
      </c>
      <c r="M2330" s="6" t="str">
        <f t="shared" si="146"/>
        <v>Multigrain Crackers</v>
      </c>
      <c r="N2330" s="6" t="str">
        <f t="shared" si="147"/>
        <v>United-Kingdom</v>
      </c>
    </row>
    <row r="2331" spans="1:14" x14ac:dyDescent="0.25">
      <c r="A2331" s="6" t="s">
        <v>5567</v>
      </c>
      <c r="B2331" s="6">
        <v>5886</v>
      </c>
      <c r="C2331" s="6" t="s">
        <v>5568</v>
      </c>
      <c r="D2331" s="7" t="s">
        <v>1076</v>
      </c>
      <c r="E2331" s="6" t="s">
        <v>18</v>
      </c>
      <c r="F2331" s="6" t="s">
        <v>177</v>
      </c>
      <c r="G2331" s="8">
        <v>45641</v>
      </c>
      <c r="H2331" s="6">
        <v>2.0099999999999998</v>
      </c>
      <c r="I2331" s="6" cm="1">
        <f t="array" ref="I2331">IFERROR(VALUE(TRIM(LEFT(E2331,MIN(FIND({" ";"g";"k";"m";"o"},E2331&amp;" gkmo"))-1))),0)</f>
        <v>100</v>
      </c>
      <c r="J2331" s="6" t="str" cm="1">
        <f t="array" ref="J2331">IFERROR(TRIM(MID(E2331,MIN(FIND({" ";"g";"k";"m";"o"},E2331&amp;" gkmo")),10)),"unknown")</f>
        <v>g</v>
      </c>
      <c r="K2331" s="6" t="str">
        <f t="shared" si="144"/>
        <v>g</v>
      </c>
      <c r="L2331" s="6" t="str">
        <f t="shared" si="145"/>
        <v>Tesco Finest</v>
      </c>
      <c r="M2331" s="6" t="str">
        <f t="shared" si="146"/>
        <v>Orange Dark Chocolate</v>
      </c>
      <c r="N2331" s="6" t="str">
        <f t="shared" si="147"/>
        <v>United Kingdom</v>
      </c>
    </row>
    <row r="2332" spans="1:14" x14ac:dyDescent="0.25">
      <c r="A2332" s="6" t="s">
        <v>5569</v>
      </c>
      <c r="B2332" s="6">
        <v>6806</v>
      </c>
      <c r="C2332" s="6" t="s">
        <v>5570</v>
      </c>
      <c r="D2332" s="7" t="s">
        <v>1076</v>
      </c>
      <c r="E2332" s="6" t="s">
        <v>18</v>
      </c>
      <c r="F2332" s="6" t="s">
        <v>177</v>
      </c>
      <c r="G2332" s="8">
        <v>45352</v>
      </c>
      <c r="H2332" s="6">
        <v>17.2</v>
      </c>
      <c r="I2332" s="6" cm="1">
        <f t="array" ref="I2332">IFERROR(VALUE(TRIM(LEFT(E2332,MIN(FIND({" ";"g";"k";"m";"o"},E2332&amp;" gkmo"))-1))),0)</f>
        <v>100</v>
      </c>
      <c r="J2332" s="6" t="str" cm="1">
        <f t="array" ref="J2332">IFERROR(TRIM(MID(E2332,MIN(FIND({" ";"g";"k";"m";"o"},E2332&amp;" gkmo")),10)),"unknown")</f>
        <v>g</v>
      </c>
      <c r="K2332" s="6" t="str">
        <f t="shared" si="144"/>
        <v>g</v>
      </c>
      <c r="L2332" s="6" t="str">
        <f t="shared" si="145"/>
        <v>Tesco Finest</v>
      </c>
      <c r="M2332" s="6" t="str">
        <f t="shared" si="146"/>
        <v>Mint Dark Chocolate</v>
      </c>
      <c r="N2332" s="6" t="str">
        <f t="shared" si="147"/>
        <v>United Kingdom</v>
      </c>
    </row>
    <row r="2333" spans="1:14" x14ac:dyDescent="0.25">
      <c r="A2333" s="6" t="s">
        <v>5571</v>
      </c>
      <c r="B2333" s="6">
        <v>12728</v>
      </c>
      <c r="C2333" s="6" t="s">
        <v>5572</v>
      </c>
      <c r="D2333" s="7" t="s">
        <v>7017</v>
      </c>
      <c r="E2333" s="6" t="s">
        <v>5573</v>
      </c>
      <c r="F2333" s="6" t="s">
        <v>177</v>
      </c>
      <c r="G2333" s="8">
        <v>45627</v>
      </c>
      <c r="H2333" s="6">
        <v>20.440000000000001</v>
      </c>
      <c r="I2333" s="6" cm="1">
        <f t="array" ref="I2333">IFERROR(VALUE(TRIM(LEFT(E2333,MIN(FIND({" ";"g";"k";"m";"o"},E2333&amp;" gkmo"))-1))),0)</f>
        <v>3</v>
      </c>
      <c r="J2333" s="6" t="str" cm="1">
        <f t="array" ref="J2333">IFERROR(TRIM(MID(E2333,MIN(FIND({" ";"g";"k";"m";"o"},E2333&amp;" gkmo")),10)),"unknown")</f>
        <v>x 44g</v>
      </c>
      <c r="K2333" s="6" t="str">
        <f t="shared" si="144"/>
        <v>g</v>
      </c>
      <c r="L2333" s="6" t="str">
        <f t="shared" si="145"/>
        <v>Unknown</v>
      </c>
      <c r="M2333" s="6" t="str">
        <f t="shared" si="146"/>
        <v>Fruit &amp; Fibre Bars Apple &amp; Cinnamon</v>
      </c>
      <c r="N2333" s="6" t="str">
        <f t="shared" si="147"/>
        <v>United Kingdom</v>
      </c>
    </row>
    <row r="2334" spans="1:14" x14ac:dyDescent="0.25">
      <c r="A2334" s="6" t="s">
        <v>5574</v>
      </c>
      <c r="B2334" s="6">
        <v>9112</v>
      </c>
      <c r="C2334" s="6" t="s">
        <v>5575</v>
      </c>
      <c r="D2334" s="7" t="s">
        <v>7017</v>
      </c>
      <c r="E2334" s="6" t="s">
        <v>786</v>
      </c>
      <c r="F2334" s="6" t="s">
        <v>5576</v>
      </c>
      <c r="G2334" s="8">
        <v>45635</v>
      </c>
      <c r="H2334" s="6">
        <v>19.170000000000002</v>
      </c>
      <c r="I2334" s="6" cm="1">
        <f t="array" ref="I2334">IFERROR(VALUE(TRIM(LEFT(E2334,MIN(FIND({" ";"g";"k";"m";"o"},E2334&amp;" gkmo"))-1))),0)</f>
        <v>130</v>
      </c>
      <c r="J2334" s="6" t="str" cm="1">
        <f t="array" ref="J2334">IFERROR(TRIM(MID(E2334,MIN(FIND({" ";"g";"k";"m";"o"},E2334&amp;" gkmo")),10)),"unknown")</f>
        <v>g</v>
      </c>
      <c r="K2334" s="6" t="str">
        <f t="shared" si="144"/>
        <v>g</v>
      </c>
      <c r="L2334" s="6" t="str">
        <f t="shared" si="145"/>
        <v>Unknown</v>
      </c>
      <c r="M2334" s="6" t="str">
        <f t="shared" si="146"/>
        <v>Dark Chocolate Corn Thins 4 X (130G)</v>
      </c>
      <c r="N2334" s="6" t="str">
        <f t="shared" si="147"/>
        <v>France, Spain, United Kingdom</v>
      </c>
    </row>
    <row r="2335" spans="1:14" x14ac:dyDescent="0.25">
      <c r="A2335" s="6" t="s">
        <v>5577</v>
      </c>
      <c r="B2335" s="6">
        <v>13822</v>
      </c>
      <c r="C2335" s="6" t="s">
        <v>5578</v>
      </c>
      <c r="D2335" s="7" t="s">
        <v>7017</v>
      </c>
      <c r="E2335" s="6" t="s">
        <v>28</v>
      </c>
      <c r="F2335" s="6" t="s">
        <v>400</v>
      </c>
      <c r="G2335" s="8">
        <v>45975</v>
      </c>
      <c r="H2335" s="6">
        <v>13.16</v>
      </c>
      <c r="I2335" s="6" cm="1">
        <f t="array" ref="I2335">IFERROR(VALUE(TRIM(LEFT(E2335,MIN(FIND({" ";"g";"k";"m";"o"},E2335&amp;" gkmo"))-1))),0)</f>
        <v>125</v>
      </c>
      <c r="J2335" s="6" t="str" cm="1">
        <f t="array" ref="J2335">IFERROR(TRIM(MID(E2335,MIN(FIND({" ";"g";"k";"m";"o"},E2335&amp;" gkmo")),10)),"unknown")</f>
        <v>g</v>
      </c>
      <c r="K2335" s="6" t="str">
        <f t="shared" si="144"/>
        <v>g</v>
      </c>
      <c r="L2335" s="6" t="str">
        <f t="shared" si="145"/>
        <v>Unknown</v>
      </c>
      <c r="M2335" s="6" t="str">
        <f t="shared" si="146"/>
        <v>Chocolate Chip Shortbread</v>
      </c>
      <c r="N2335" s="6" t="str">
        <f t="shared" si="147"/>
        <v>France,United Kingdom</v>
      </c>
    </row>
    <row r="2336" spans="1:14" x14ac:dyDescent="0.25">
      <c r="A2336" s="6" t="s">
        <v>5579</v>
      </c>
      <c r="B2336" s="6">
        <v>6517</v>
      </c>
      <c r="C2336" s="6" t="s">
        <v>5580</v>
      </c>
      <c r="D2336" s="7" t="s">
        <v>578</v>
      </c>
      <c r="E2336" s="6" t="s">
        <v>1487</v>
      </c>
      <c r="F2336" s="6" t="s">
        <v>220</v>
      </c>
      <c r="G2336" s="8">
        <v>45633</v>
      </c>
      <c r="H2336" s="6">
        <v>2.11</v>
      </c>
      <c r="I2336" s="6" cm="1">
        <f t="array" ref="I2336">IFERROR(VALUE(TRIM(LEFT(E2336,MIN(FIND({" ";"g";"k";"m";"o"},E2336&amp;" gkmo"))-1))),0)</f>
        <v>320</v>
      </c>
      <c r="J2336" s="6" t="str" cm="1">
        <f t="array" ref="J2336">IFERROR(TRIM(MID(E2336,MIN(FIND({" ";"g";"k";"m";"o"},E2336&amp;" gkmo")),10)),"unknown")</f>
        <v>g</v>
      </c>
      <c r="K2336" s="6" t="str">
        <f t="shared" si="144"/>
        <v>g</v>
      </c>
      <c r="L2336" s="6" t="str">
        <f t="shared" si="145"/>
        <v>Marks &amp; Spencer</v>
      </c>
      <c r="M2336" s="6" t="str">
        <f t="shared" si="146"/>
        <v>All Butter Flapjacks</v>
      </c>
      <c r="N2336" s="6" t="str">
        <f t="shared" si="147"/>
        <v>France, United Kingdom</v>
      </c>
    </row>
    <row r="2337" spans="1:14" x14ac:dyDescent="0.25">
      <c r="A2337" s="6" t="s">
        <v>5581</v>
      </c>
      <c r="B2337" s="6">
        <v>6016</v>
      </c>
      <c r="C2337" s="6" t="s">
        <v>5582</v>
      </c>
      <c r="D2337" s="7" t="s">
        <v>1736</v>
      </c>
      <c r="E2337" s="6" t="s">
        <v>5583</v>
      </c>
      <c r="F2337" s="6" t="s">
        <v>2682</v>
      </c>
      <c r="G2337" s="8">
        <v>45358</v>
      </c>
      <c r="H2337" s="6">
        <v>13.16</v>
      </c>
      <c r="I2337" s="6" cm="1">
        <f t="array" ref="I2337">IFERROR(VALUE(TRIM(LEFT(E2337,MIN(FIND({" ";"g";"k";"m";"o"},E2337&amp;" gkmo"))-1))),0)</f>
        <v>11.8</v>
      </c>
      <c r="J2337" s="6" t="str" cm="1">
        <f t="array" ref="J2337">IFERROR(TRIM(MID(E2337,MIN(FIND({" ";"g";"k";"m";"o"},E2337&amp;" gkmo")),10)),"unknown")</f>
        <v>oz</v>
      </c>
      <c r="K2337" s="6" t="str">
        <f t="shared" si="144"/>
        <v>unknown</v>
      </c>
      <c r="L2337" s="6" t="str">
        <f t="shared" si="145"/>
        <v>Ritz</v>
      </c>
      <c r="M2337" s="6" t="str">
        <f t="shared" si="146"/>
        <v>Fresh Stacks The Original</v>
      </c>
      <c r="N2337" s="6" t="str">
        <f t="shared" si="147"/>
        <v>United States</v>
      </c>
    </row>
    <row r="2338" spans="1:14" x14ac:dyDescent="0.25">
      <c r="A2338" s="6" t="s">
        <v>5584</v>
      </c>
      <c r="B2338" s="6">
        <v>12099</v>
      </c>
      <c r="C2338" s="6" t="s">
        <v>5585</v>
      </c>
      <c r="D2338" s="7" t="s">
        <v>5001</v>
      </c>
      <c r="E2338" s="6" t="s">
        <v>5586</v>
      </c>
      <c r="F2338" s="6" t="s">
        <v>5587</v>
      </c>
      <c r="G2338" s="8">
        <v>45586</v>
      </c>
      <c r="H2338" s="6">
        <v>23.71</v>
      </c>
      <c r="I2338" s="6" cm="1">
        <f t="array" ref="I2338">IFERROR(VALUE(TRIM(LEFT(E2338,MIN(FIND({" ";"g";"k";"m";"o"},E2338&amp;" gkmo"))-1))),0)</f>
        <v>2.4</v>
      </c>
      <c r="J2338" s="6" t="str" cm="1">
        <f t="array" ref="J2338">IFERROR(TRIM(MID(E2338,MIN(FIND({" ";"g";"k";"m";"o"},E2338&amp;" gkmo")),10)),"unknown")</f>
        <v>oz (68 g)</v>
      </c>
      <c r="K2338" s="6" t="str">
        <f t="shared" si="144"/>
        <v>g</v>
      </c>
      <c r="L2338" s="6" t="str">
        <f t="shared" si="145"/>
        <v>Clif Bar</v>
      </c>
      <c r="M2338" s="6" t="str">
        <f t="shared" si="146"/>
        <v>Chocolate Chip</v>
      </c>
      <c r="N2338" s="6" t="str">
        <f t="shared" si="147"/>
        <v>Australia,United States</v>
      </c>
    </row>
    <row r="2339" spans="1:14" x14ac:dyDescent="0.25">
      <c r="A2339" s="6" t="s">
        <v>5588</v>
      </c>
      <c r="B2339" s="6">
        <v>8255</v>
      </c>
      <c r="C2339" s="6" t="s">
        <v>5589</v>
      </c>
      <c r="D2339" s="7" t="s">
        <v>2514</v>
      </c>
      <c r="E2339" s="6" t="s">
        <v>132</v>
      </c>
      <c r="F2339" s="6" t="s">
        <v>3183</v>
      </c>
      <c r="G2339" s="8">
        <v>45744</v>
      </c>
      <c r="H2339" s="6">
        <v>13.16</v>
      </c>
      <c r="I2339" s="6" cm="1">
        <f t="array" ref="I2339">IFERROR(VALUE(TRIM(LEFT(E2339,MIN(FIND({" ";"g";"k";"m";"o"},E2339&amp;" gkmo"))-1))),0)</f>
        <v>350</v>
      </c>
      <c r="J2339" s="6" t="str" cm="1">
        <f t="array" ref="J2339">IFERROR(TRIM(MID(E2339,MIN(FIND({" ";"g";"k";"m";"o"},E2339&amp;" gkmo")),10)),"unknown")</f>
        <v>g</v>
      </c>
      <c r="K2339" s="6" t="str">
        <f t="shared" si="144"/>
        <v>g</v>
      </c>
      <c r="L2339" s="6" t="str">
        <f t="shared" si="145"/>
        <v>Favorina</v>
      </c>
      <c r="M2339" s="6" t="str">
        <f t="shared" si="146"/>
        <v>Mini Marzipan Butterstollen Konfekt Classic</v>
      </c>
      <c r="N2339" s="6" t="str">
        <f t="shared" si="147"/>
        <v>France,Germany,United Kingdom</v>
      </c>
    </row>
    <row r="2340" spans="1:14" x14ac:dyDescent="0.25">
      <c r="A2340" s="6" t="s">
        <v>5590</v>
      </c>
      <c r="B2340" s="6">
        <v>7069</v>
      </c>
      <c r="C2340" s="6" t="s">
        <v>5591</v>
      </c>
      <c r="D2340" s="7" t="s">
        <v>7053</v>
      </c>
      <c r="E2340" s="6"/>
      <c r="F2340" s="6" t="s">
        <v>139</v>
      </c>
      <c r="G2340" s="8">
        <v>45945</v>
      </c>
      <c r="H2340" s="6">
        <v>2.27</v>
      </c>
      <c r="I2340" s="6" cm="1">
        <f t="array" ref="I2340">IFERROR(VALUE(TRIM(LEFT(E2340,MIN(FIND({" ";"g";"k";"m";"o"},E2340&amp;" gkmo"))-1))),0)</f>
        <v>0</v>
      </c>
      <c r="J2340" s="6" t="str" cm="1">
        <f t="array" ref="J2340">IFERROR(TRIM(MID(E2340,MIN(FIND({" ";"g";"k";"m";"o"},E2340&amp;" gkmo")),10)),"unknown")</f>
        <v/>
      </c>
      <c r="K2340" s="6" t="str">
        <f t="shared" si="144"/>
        <v>unknown</v>
      </c>
      <c r="L2340" s="6" t="str">
        <f t="shared" si="145"/>
        <v>Fin Carré</v>
      </c>
      <c r="M2340" s="6" t="str">
        <f t="shared" si="146"/>
        <v>Tablette De Chocolat Noir</v>
      </c>
      <c r="N2340" s="6" t="str">
        <f t="shared" si="147"/>
        <v>France</v>
      </c>
    </row>
    <row r="2341" spans="1:14" x14ac:dyDescent="0.25">
      <c r="A2341" s="6" t="s">
        <v>5592</v>
      </c>
      <c r="B2341" s="6">
        <v>12433</v>
      </c>
      <c r="C2341" s="6" t="s">
        <v>7830</v>
      </c>
      <c r="D2341" s="7" t="s">
        <v>1176</v>
      </c>
      <c r="E2341" s="6" t="s">
        <v>5593</v>
      </c>
      <c r="F2341" s="6" t="s">
        <v>8145</v>
      </c>
      <c r="G2341" s="8">
        <v>45619</v>
      </c>
      <c r="H2341" s="6">
        <v>20.71</v>
      </c>
      <c r="I2341" s="6" cm="1">
        <f t="array" ref="I2341">IFERROR(VALUE(TRIM(LEFT(E2341,MIN(FIND({" ";"g";"k";"m";"o"},E2341&amp;" gkmo"))-1))),0)</f>
        <v>0</v>
      </c>
      <c r="J2341" s="6" t="str" cm="1">
        <f t="array" ref="J2341">IFERROR(TRIM(MID(E2341,MIN(FIND({" ";"g";"k";"m";"o"},E2341&amp;" gkmo")),10)),"unknown")</f>
        <v>g</v>
      </c>
      <c r="K2341" s="6" t="str">
        <f t="shared" si="144"/>
        <v>g</v>
      </c>
      <c r="L2341" s="6" t="str">
        <f t="shared" si="145"/>
        <v>Snack Day</v>
      </c>
      <c r="M2341" s="6" t="str">
        <f t="shared" si="146"/>
        <v>Popcorn Sà¼Ss</v>
      </c>
      <c r="N2341" s="6" t="str">
        <f t="shared" si="147"/>
        <v>France,Germany,En,Germany</v>
      </c>
    </row>
    <row r="2342" spans="1:14" x14ac:dyDescent="0.25">
      <c r="A2342" s="6" t="s">
        <v>5594</v>
      </c>
      <c r="B2342" s="6">
        <v>10718</v>
      </c>
      <c r="C2342" s="6" t="s">
        <v>7355</v>
      </c>
      <c r="D2342" s="7" t="s">
        <v>5595</v>
      </c>
      <c r="E2342" s="6" t="s">
        <v>14</v>
      </c>
      <c r="F2342" s="6" t="s">
        <v>5596</v>
      </c>
      <c r="G2342" s="8">
        <v>45409</v>
      </c>
      <c r="H2342" s="6">
        <v>9.52</v>
      </c>
      <c r="I2342" s="6" cm="1">
        <f t="array" ref="I2342">IFERROR(VALUE(TRIM(LEFT(E2342,MIN(FIND({" ";"g";"k";"m";"o"},E2342&amp;" gkmo"))-1))),0)</f>
        <v>300</v>
      </c>
      <c r="J2342" s="6" t="str" cm="1">
        <f t="array" ref="J2342">IFERROR(TRIM(MID(E2342,MIN(FIND({" ";"g";"k";"m";"o"},E2342&amp;" gkmo")),10)),"unknown")</f>
        <v>g</v>
      </c>
      <c r="K2342" s="6" t="str">
        <f t="shared" si="144"/>
        <v>g</v>
      </c>
      <c r="L2342" s="6" t="str">
        <f t="shared" si="145"/>
        <v>Favorina,Aachener Zucker Und Backwaren Paul Schaeffer,Lidl</v>
      </c>
      <c r="M2342" s="6" t="str">
        <f t="shared" si="146"/>
        <v>Coeurs Pain D'Épices Chocolat Noir</v>
      </c>
      <c r="N2342" s="6" t="str">
        <f t="shared" si="147"/>
        <v>Czech Republic,France,Germany,Italy,Luxembourg,Poland,Serbia</v>
      </c>
    </row>
    <row r="2343" spans="1:14" x14ac:dyDescent="0.25">
      <c r="A2343" s="6" t="s">
        <v>5597</v>
      </c>
      <c r="B2343" s="6">
        <v>10686</v>
      </c>
      <c r="C2343" s="6" t="s">
        <v>5598</v>
      </c>
      <c r="D2343" s="7" t="s">
        <v>7831</v>
      </c>
      <c r="E2343" s="6" t="s">
        <v>5599</v>
      </c>
      <c r="F2343" s="6" t="s">
        <v>5600</v>
      </c>
      <c r="G2343" s="8">
        <v>45785</v>
      </c>
      <c r="H2343" s="6">
        <v>22.02</v>
      </c>
      <c r="I2343" s="6" cm="1">
        <f t="array" ref="I2343">IFERROR(VALUE(TRIM(LEFT(E2343,MIN(FIND({" ";"g";"k";"m";"o"},E2343&amp;" gkmo"))-1))),0)</f>
        <v>0</v>
      </c>
      <c r="J2343" s="6" t="str" cm="1">
        <f t="array" ref="J2343">IFERROR(TRIM(MID(E2343,MIN(FIND({" ";"g";"k";"m";"o"},E2343&amp;" gkmo")),10)),"unknown")</f>
        <v>g</v>
      </c>
      <c r="K2343" s="6" t="str">
        <f t="shared" si="144"/>
        <v>g</v>
      </c>
      <c r="L2343" s="6" t="str">
        <f t="shared" si="145"/>
        <v>Krà¼Ger,Ludwig Schokolade,Mister Choc</v>
      </c>
      <c r="M2343" s="6" t="str">
        <f t="shared" si="146"/>
        <v>Caramel Et Biscuit</v>
      </c>
      <c r="N2343" s="6" t="str">
        <f t="shared" si="147"/>
        <v>Denmark,Finland,France,Germany,Greece,Italy,Poland,Sweden</v>
      </c>
    </row>
    <row r="2344" spans="1:14" x14ac:dyDescent="0.25">
      <c r="A2344" s="6" t="s">
        <v>5601</v>
      </c>
      <c r="B2344" s="6">
        <v>7656</v>
      </c>
      <c r="C2344" s="6" t="s">
        <v>5602</v>
      </c>
      <c r="D2344" s="7" t="s">
        <v>5603</v>
      </c>
      <c r="E2344" s="6" t="s">
        <v>151</v>
      </c>
      <c r="F2344" s="6" t="s">
        <v>5604</v>
      </c>
      <c r="G2344" s="8">
        <v>45790</v>
      </c>
      <c r="H2344" s="6">
        <v>13.16</v>
      </c>
      <c r="I2344" s="6" cm="1">
        <f t="array" ref="I2344">IFERROR(VALUE(TRIM(LEFT(E2344,MIN(FIND({" ";"g";"k";"m";"o"},E2344&amp;" gkmo"))-1))),0)</f>
        <v>200</v>
      </c>
      <c r="J2344" s="6" t="str" cm="1">
        <f t="array" ref="J2344">IFERROR(TRIM(MID(E2344,MIN(FIND({" ";"g";"k";"m";"o"},E2344&amp;" gkmo")),10)),"unknown")</f>
        <v>g</v>
      </c>
      <c r="K2344" s="6" t="str">
        <f t="shared" si="144"/>
        <v>g</v>
      </c>
      <c r="L2344" s="6" t="str">
        <f t="shared" si="145"/>
        <v>Lidl,Sondey,Merba</v>
      </c>
      <c r="M2344" s="6" t="str">
        <f t="shared" si="146"/>
        <v>Cookies Haselnusscreme &amp; Schokolade</v>
      </c>
      <c r="N2344" s="6" t="str">
        <f t="shared" si="147"/>
        <v>Bulgaria,France,Germany,Hungary</v>
      </c>
    </row>
    <row r="2345" spans="1:14" x14ac:dyDescent="0.25">
      <c r="A2345" s="6" t="s">
        <v>5605</v>
      </c>
      <c r="B2345" s="6">
        <v>6575</v>
      </c>
      <c r="C2345" s="6" t="s">
        <v>5606</v>
      </c>
      <c r="D2345" s="7" t="s">
        <v>5607</v>
      </c>
      <c r="E2345" s="6" t="s">
        <v>279</v>
      </c>
      <c r="F2345" s="6" t="s">
        <v>1185</v>
      </c>
      <c r="G2345" s="8">
        <v>45542</v>
      </c>
      <c r="H2345" s="6">
        <v>14.93</v>
      </c>
      <c r="I2345" s="6" cm="1">
        <f t="array" ref="I2345">IFERROR(VALUE(TRIM(LEFT(E2345,MIN(FIND({" ";"g";"k";"m";"o"},E2345&amp;" gkmo"))-1))),0)</f>
        <v>425</v>
      </c>
      <c r="J2345" s="6" t="str" cm="1">
        <f t="array" ref="J2345">IFERROR(TRIM(MID(E2345,MIN(FIND({" ";"g";"k";"m";"o"},E2345&amp;" gkmo")),10)),"unknown")</f>
        <v>g</v>
      </c>
      <c r="K2345" s="6" t="str">
        <f t="shared" si="144"/>
        <v>g</v>
      </c>
      <c r="L2345" s="6" t="str">
        <f t="shared" si="145"/>
        <v>Aurada</v>
      </c>
      <c r="M2345" s="6" t="str">
        <f t="shared" si="146"/>
        <v>Avena Digestive</v>
      </c>
      <c r="N2345" s="6" t="str">
        <f t="shared" si="147"/>
        <v>Spain</v>
      </c>
    </row>
    <row r="2346" spans="1:14" x14ac:dyDescent="0.25">
      <c r="A2346" s="6" t="s">
        <v>5608</v>
      </c>
      <c r="B2346" s="6">
        <v>9358</v>
      </c>
      <c r="C2346" s="6" t="s">
        <v>5609</v>
      </c>
      <c r="D2346" s="7" t="s">
        <v>5610</v>
      </c>
      <c r="E2346" s="6"/>
      <c r="F2346" s="6" t="s">
        <v>5611</v>
      </c>
      <c r="G2346" s="8">
        <v>45886</v>
      </c>
      <c r="H2346" s="6">
        <v>13.16</v>
      </c>
      <c r="I2346" s="6" cm="1">
        <f t="array" ref="I2346">IFERROR(VALUE(TRIM(LEFT(E2346,MIN(FIND({" ";"g";"k";"m";"o"},E2346&amp;" gkmo"))-1))),0)</f>
        <v>0</v>
      </c>
      <c r="J2346" s="6" t="str" cm="1">
        <f t="array" ref="J2346">IFERROR(TRIM(MID(E2346,MIN(FIND({" ";"g";"k";"m";"o"},E2346&amp;" gkmo")),10)),"unknown")</f>
        <v/>
      </c>
      <c r="K2346" s="6" t="str">
        <f t="shared" si="144"/>
        <v>unknown</v>
      </c>
      <c r="L2346" s="6" t="str">
        <f t="shared" si="145"/>
        <v>Crespo, Euroliva S.A. Ctra., À¸„À¸£À¸µà¸ªà¹‚À¸›</v>
      </c>
      <c r="M2346" s="6" t="str">
        <f t="shared" si="146"/>
        <v>Pitted Ripe Olives</v>
      </c>
      <c r="N2346" s="6" t="str">
        <f t="shared" si="147"/>
        <v>À¸›À¸£À¸°À¹€À¸—À¸¨À¸À¸£À¸±À¹ˆÀ¸‡À¹€À¸¨À¸ª,À¸›À¸£À¸°À¹€À¸—À¸¨À¹€À¸¢À¸­À¸£À¸¡À¸™À¸µ,À¸›À¸£À¸°À¹€À¸—À¸¨À¸£À¸±À¸ªà¹€À¸‹À¸µà¸¢,À¸›À¸£À¸°À¹€À¸—À¸¨À¸ªà¸§À¸´À¸•À¹€À¸‹À¸­À¸£À¹Œà¹À¸¥À¸™À¸”À¹Œ,À¸›À¸£À¸°À¹€À¸—À¸¨À¹„À¸—À¸¢ (Thai),À¸ªà¸«À¸£À¸±À¸À¸­À¹€À¸¡À¸£À¸´À¸À¸²</v>
      </c>
    </row>
    <row r="2347" spans="1:14" x14ac:dyDescent="0.25">
      <c r="A2347" s="6" t="s">
        <v>5612</v>
      </c>
      <c r="B2347" s="6">
        <v>14765</v>
      </c>
      <c r="C2347" s="6" t="s">
        <v>5613</v>
      </c>
      <c r="D2347" s="7" t="s">
        <v>1345</v>
      </c>
      <c r="E2347" s="6" t="s">
        <v>1389</v>
      </c>
      <c r="F2347" s="6" t="s">
        <v>557</v>
      </c>
      <c r="G2347" s="8">
        <v>45959</v>
      </c>
      <c r="H2347" s="6">
        <v>1.59</v>
      </c>
      <c r="I2347" s="6" cm="1">
        <f t="array" ref="I2347">IFERROR(VALUE(TRIM(LEFT(E2347,MIN(FIND({" ";"g";"k";"m";"o"},E2347&amp;" gkmo"))-1))),0)</f>
        <v>40</v>
      </c>
      <c r="J2347" s="6" t="str" cm="1">
        <f t="array" ref="J2347">IFERROR(TRIM(MID(E2347,MIN(FIND({" ";"g";"k";"m";"o"},E2347&amp;" gkmo")),10)),"unknown")</f>
        <v>g</v>
      </c>
      <c r="K2347" s="6" t="str">
        <f t="shared" si="144"/>
        <v>g</v>
      </c>
      <c r="L2347" s="6" t="str">
        <f t="shared" si="145"/>
        <v>Haribo</v>
      </c>
      <c r="M2347" s="6" t="str">
        <f t="shared" si="146"/>
        <v>Dragibus</v>
      </c>
      <c r="N2347" s="6" t="str">
        <f t="shared" si="147"/>
        <v>Belgium,France,Switzerland</v>
      </c>
    </row>
    <row r="2348" spans="1:14" x14ac:dyDescent="0.25">
      <c r="A2348" s="6" t="s">
        <v>5614</v>
      </c>
      <c r="B2348" s="6">
        <v>11703</v>
      </c>
      <c r="C2348" s="6" t="s">
        <v>7832</v>
      </c>
      <c r="D2348" s="7" t="s">
        <v>2808</v>
      </c>
      <c r="E2348" s="6" t="s">
        <v>5615</v>
      </c>
      <c r="F2348" s="6" t="s">
        <v>139</v>
      </c>
      <c r="G2348" s="8">
        <v>45492</v>
      </c>
      <c r="H2348" s="6">
        <v>4.82</v>
      </c>
      <c r="I2348" s="6" cm="1">
        <f t="array" ref="I2348">IFERROR(VALUE(TRIM(LEFT(E2348,MIN(FIND({" ";"g";"k";"m";"o"},E2348&amp;" gkmo"))-1))),0)</f>
        <v>0.2</v>
      </c>
      <c r="J2348" s="6" t="str" cm="1">
        <f t="array" ref="J2348">IFERROR(TRIM(MID(E2348,MIN(FIND({" ";"g";"k";"m";"o"},E2348&amp;" gkmo")),10)),"unknown")</f>
        <v>kg</v>
      </c>
      <c r="K2348" s="6" t="str">
        <f t="shared" si="144"/>
        <v>kg</v>
      </c>
      <c r="L2348" s="6" t="str">
        <f t="shared" si="145"/>
        <v>Lutti</v>
      </c>
      <c r="M2348" s="6" t="str">
        <f t="shared" si="146"/>
        <v>Surfizz Goà»Ts Fruits</v>
      </c>
      <c r="N2348" s="6" t="str">
        <f t="shared" si="147"/>
        <v>France</v>
      </c>
    </row>
    <row r="2349" spans="1:14" x14ac:dyDescent="0.25">
      <c r="A2349" s="6" t="s">
        <v>5616</v>
      </c>
      <c r="B2349" s="6">
        <v>9649</v>
      </c>
      <c r="C2349" s="6" t="s">
        <v>5617</v>
      </c>
      <c r="D2349" s="7" t="s">
        <v>7017</v>
      </c>
      <c r="E2349" s="6" t="s">
        <v>614</v>
      </c>
      <c r="F2349" s="6" t="s">
        <v>139</v>
      </c>
      <c r="G2349" s="8">
        <v>45858</v>
      </c>
      <c r="H2349" s="6">
        <v>7.39</v>
      </c>
      <c r="I2349" s="6" cm="1">
        <f t="array" ref="I2349">IFERROR(VALUE(TRIM(LEFT(E2349,MIN(FIND({" ";"g";"k";"m";"o"},E2349&amp;" gkmo"))-1))),0)</f>
        <v>45</v>
      </c>
      <c r="J2349" s="6" t="str" cm="1">
        <f t="array" ref="J2349">IFERROR(TRIM(MID(E2349,MIN(FIND({" ";"g";"k";"m";"o"},E2349&amp;" gkmo")),10)),"unknown")</f>
        <v>g</v>
      </c>
      <c r="K2349" s="6" t="str">
        <f t="shared" si="144"/>
        <v>g</v>
      </c>
      <c r="L2349" s="6" t="str">
        <f t="shared" si="145"/>
        <v>Unknown</v>
      </c>
      <c r="M2349" s="6" t="str">
        <f t="shared" si="146"/>
        <v>Chips Saveur Barbecue</v>
      </c>
      <c r="N2349" s="6" t="str">
        <f t="shared" si="147"/>
        <v>France</v>
      </c>
    </row>
    <row r="2350" spans="1:14" x14ac:dyDescent="0.25">
      <c r="A2350" s="6" t="s">
        <v>5618</v>
      </c>
      <c r="B2350" s="6">
        <v>12438</v>
      </c>
      <c r="C2350" s="6" t="s">
        <v>5619</v>
      </c>
      <c r="D2350" s="7" t="s">
        <v>7030</v>
      </c>
      <c r="E2350" s="6" t="s">
        <v>151</v>
      </c>
      <c r="F2350" s="6" t="s">
        <v>139</v>
      </c>
      <c r="G2350" s="8">
        <v>45654</v>
      </c>
      <c r="H2350" s="6">
        <v>24.34</v>
      </c>
      <c r="I2350" s="6" cm="1">
        <f t="array" ref="I2350">IFERROR(VALUE(TRIM(LEFT(E2350,MIN(FIND({" ";"g";"k";"m";"o"},E2350&amp;" gkmo"))-1))),0)</f>
        <v>200</v>
      </c>
      <c r="J2350" s="6" t="str" cm="1">
        <f t="array" ref="J2350">IFERROR(TRIM(MID(E2350,MIN(FIND({" ";"g";"k";"m";"o"},E2350&amp;" gkmo")),10)),"unknown")</f>
        <v>g</v>
      </c>
      <c r="K2350" s="6" t="str">
        <f t="shared" si="144"/>
        <v>g</v>
      </c>
      <c r="L2350" s="6" t="str">
        <f t="shared" si="145"/>
        <v>Gerblé</v>
      </c>
      <c r="M2350" s="6" t="str">
        <f t="shared" si="146"/>
        <v>Gerble - Gluten And Lactose Free Madeleines, 200G (7.1Oz)</v>
      </c>
      <c r="N2350" s="6" t="str">
        <f t="shared" si="147"/>
        <v>France</v>
      </c>
    </row>
    <row r="2351" spans="1:14" x14ac:dyDescent="0.25">
      <c r="A2351" s="6" t="s">
        <v>5620</v>
      </c>
      <c r="B2351" s="6">
        <v>5068</v>
      </c>
      <c r="C2351" s="6" t="s">
        <v>7833</v>
      </c>
      <c r="D2351" s="7" t="s">
        <v>310</v>
      </c>
      <c r="E2351" s="6" t="s">
        <v>5621</v>
      </c>
      <c r="F2351" s="6" t="s">
        <v>139</v>
      </c>
      <c r="G2351" s="8">
        <v>45490</v>
      </c>
      <c r="H2351" s="6">
        <v>13.42</v>
      </c>
      <c r="I2351" s="6" cm="1">
        <f t="array" ref="I2351">IFERROR(VALUE(TRIM(LEFT(E2351,MIN(FIND({" ";"g";"k";"m";"o"},E2351&amp;" gkmo"))-1))),0)</f>
        <v>240</v>
      </c>
      <c r="J2351" s="6" t="str" cm="1">
        <f t="array" ref="J2351">IFERROR(TRIM(MID(E2351,MIN(FIND({" ";"g";"k";"m";"o"},E2351&amp;" gkmo")),10)),"unknown")</f>
        <v>g â„®</v>
      </c>
      <c r="K2351" s="6" t="str">
        <f t="shared" si="144"/>
        <v>g</v>
      </c>
      <c r="L2351" s="6" t="str">
        <f t="shared" si="145"/>
        <v>St Michel</v>
      </c>
      <c r="M2351" s="6" t="str">
        <f t="shared" si="146"/>
        <v>Brownie À  La Franà§Aise Chocolat Ðÿ«</v>
      </c>
      <c r="N2351" s="6" t="str">
        <f t="shared" si="147"/>
        <v>France</v>
      </c>
    </row>
    <row r="2352" spans="1:14" x14ac:dyDescent="0.25">
      <c r="A2352" s="6" t="s">
        <v>5622</v>
      </c>
      <c r="B2352" s="6">
        <v>9854</v>
      </c>
      <c r="C2352" s="6" t="s">
        <v>5623</v>
      </c>
      <c r="D2352" s="7" t="s">
        <v>3479</v>
      </c>
      <c r="E2352" s="6"/>
      <c r="F2352" s="6" t="s">
        <v>1356</v>
      </c>
      <c r="G2352" s="8">
        <v>45922</v>
      </c>
      <c r="H2352" s="6">
        <v>23.57</v>
      </c>
      <c r="I2352" s="6" cm="1">
        <f t="array" ref="I2352">IFERROR(VALUE(TRIM(LEFT(E2352,MIN(FIND({" ";"g";"k";"m";"o"},E2352&amp;" gkmo"))-1))),0)</f>
        <v>0</v>
      </c>
      <c r="J2352" s="6" t="str" cm="1">
        <f t="array" ref="J2352">IFERROR(TRIM(MID(E2352,MIN(FIND({" ";"g";"k";"m";"o"},E2352&amp;" gkmo")),10)),"unknown")</f>
        <v/>
      </c>
      <c r="K2352" s="6" t="str">
        <f t="shared" si="144"/>
        <v>unknown</v>
      </c>
      <c r="L2352" s="6" t="str">
        <f t="shared" si="145"/>
        <v>Bonne Maman</v>
      </c>
      <c r="M2352" s="6" t="str">
        <f t="shared" si="146"/>
        <v>Bonne Maman - Coconut Croquants, 150G (5.3Oz)</v>
      </c>
      <c r="N2352" s="6" t="str">
        <f t="shared" si="147"/>
        <v>France,Germany</v>
      </c>
    </row>
    <row r="2353" spans="1:14" x14ac:dyDescent="0.25">
      <c r="A2353" s="6" t="s">
        <v>5624</v>
      </c>
      <c r="B2353" s="6">
        <v>7265</v>
      </c>
      <c r="C2353" s="6" t="s">
        <v>5625</v>
      </c>
      <c r="D2353" s="7" t="s">
        <v>72</v>
      </c>
      <c r="E2353" s="6" t="s">
        <v>151</v>
      </c>
      <c r="F2353" s="6" t="s">
        <v>139</v>
      </c>
      <c r="G2353" s="8">
        <v>45783</v>
      </c>
      <c r="H2353" s="6">
        <v>21.34</v>
      </c>
      <c r="I2353" s="6" cm="1">
        <f t="array" ref="I2353">IFERROR(VALUE(TRIM(LEFT(E2353,MIN(FIND({" ";"g";"k";"m";"o"},E2353&amp;" gkmo"))-1))),0)</f>
        <v>200</v>
      </c>
      <c r="J2353" s="6" t="str" cm="1">
        <f t="array" ref="J2353">IFERROR(TRIM(MID(E2353,MIN(FIND({" ";"g";"k";"m";"o"},E2353&amp;" gkmo")),10)),"unknown")</f>
        <v>g</v>
      </c>
      <c r="K2353" s="6" t="str">
        <f t="shared" si="144"/>
        <v>g</v>
      </c>
      <c r="L2353" s="6" t="str">
        <f t="shared" si="145"/>
        <v>Bjorg</v>
      </c>
      <c r="M2353" s="6" t="str">
        <f t="shared" si="146"/>
        <v>Lunettes Myrtille</v>
      </c>
      <c r="N2353" s="6" t="str">
        <f t="shared" si="147"/>
        <v>France</v>
      </c>
    </row>
    <row r="2354" spans="1:14" x14ac:dyDescent="0.25">
      <c r="A2354" s="6" t="s">
        <v>5626</v>
      </c>
      <c r="B2354" s="6">
        <v>12916</v>
      </c>
      <c r="C2354" s="6" t="s">
        <v>7356</v>
      </c>
      <c r="D2354" s="7" t="s">
        <v>72</v>
      </c>
      <c r="E2354" s="6"/>
      <c r="F2354" s="6" t="s">
        <v>139</v>
      </c>
      <c r="G2354" s="8">
        <v>45675</v>
      </c>
      <c r="H2354" s="6">
        <v>8.6300000000000008</v>
      </c>
      <c r="I2354" s="6" cm="1">
        <f t="array" ref="I2354">IFERROR(VALUE(TRIM(LEFT(E2354,MIN(FIND({" ";"g";"k";"m";"o"},E2354&amp;" gkmo"))-1))),0)</f>
        <v>0</v>
      </c>
      <c r="J2354" s="6" t="str" cm="1">
        <f t="array" ref="J2354">IFERROR(TRIM(MID(E2354,MIN(FIND({" ";"g";"k";"m";"o"},E2354&amp;" gkmo")),10)),"unknown")</f>
        <v/>
      </c>
      <c r="K2354" s="6" t="str">
        <f t="shared" si="144"/>
        <v>unknown</v>
      </c>
      <c r="L2354" s="6" t="str">
        <f t="shared" si="145"/>
        <v>Bjorg</v>
      </c>
      <c r="M2354" s="6" t="str">
        <f t="shared" si="146"/>
        <v>Fourrés Duo Cacao</v>
      </c>
      <c r="N2354" s="6" t="str">
        <f t="shared" si="147"/>
        <v>France</v>
      </c>
    </row>
    <row r="2355" spans="1:14" x14ac:dyDescent="0.25">
      <c r="A2355" s="6" t="s">
        <v>5627</v>
      </c>
      <c r="B2355" s="6">
        <v>8398</v>
      </c>
      <c r="C2355" s="6" t="s">
        <v>7357</v>
      </c>
      <c r="D2355" s="7" t="s">
        <v>4889</v>
      </c>
      <c r="E2355" s="6" t="s">
        <v>151</v>
      </c>
      <c r="F2355" s="6" t="s">
        <v>139</v>
      </c>
      <c r="G2355" s="8">
        <v>45764</v>
      </c>
      <c r="H2355" s="6">
        <v>17.04</v>
      </c>
      <c r="I2355" s="6" cm="1">
        <f t="array" ref="I2355">IFERROR(VALUE(TRIM(LEFT(E2355,MIN(FIND({" ";"g";"k";"m";"o"},E2355&amp;" gkmo"))-1))),0)</f>
        <v>200</v>
      </c>
      <c r="J2355" s="6" t="str" cm="1">
        <f t="array" ref="J2355">IFERROR(TRIM(MID(E2355,MIN(FIND({" ";"g";"k";"m";"o"},E2355&amp;" gkmo")),10)),"unknown")</f>
        <v>g</v>
      </c>
      <c r="K2355" s="6" t="str">
        <f t="shared" si="144"/>
        <v>g</v>
      </c>
      <c r="L2355" s="6" t="str">
        <f t="shared" si="145"/>
        <v>Chabrior</v>
      </c>
      <c r="M2355" s="6" t="str">
        <f t="shared" si="146"/>
        <v>Sablé Amande Saveur Citron 200G Bio</v>
      </c>
      <c r="N2355" s="6" t="str">
        <f t="shared" si="147"/>
        <v>France</v>
      </c>
    </row>
    <row r="2356" spans="1:14" x14ac:dyDescent="0.25">
      <c r="A2356" s="6" t="s">
        <v>5628</v>
      </c>
      <c r="B2356" s="6">
        <v>5317</v>
      </c>
      <c r="C2356" s="6" t="s">
        <v>7358</v>
      </c>
      <c r="D2356" s="7" t="s">
        <v>7359</v>
      </c>
      <c r="E2356" s="6" t="s">
        <v>10</v>
      </c>
      <c r="F2356" s="6" t="s">
        <v>139</v>
      </c>
      <c r="G2356" s="8">
        <v>45870</v>
      </c>
      <c r="H2356" s="6">
        <v>23.2</v>
      </c>
      <c r="I2356" s="6" cm="1">
        <f t="array" ref="I2356">IFERROR(VALUE(TRIM(LEFT(E2356,MIN(FIND({" ";"g";"k";"m";"o"},E2356&amp;" gkmo"))-1))),0)</f>
        <v>100</v>
      </c>
      <c r="J2356" s="6" t="str" cm="1">
        <f t="array" ref="J2356">IFERROR(TRIM(MID(E2356,MIN(FIND({" ";"g";"k";"m";"o"},E2356&amp;" gkmo")),10)),"unknown")</f>
        <v>g</v>
      </c>
      <c r="K2356" s="6" t="str">
        <f t="shared" si="144"/>
        <v>g</v>
      </c>
      <c r="L2356" s="6" t="str">
        <f t="shared" si="145"/>
        <v>Ivoria, Les Créations Ivoria, Les Creations</v>
      </c>
      <c r="M2356" s="6" t="str">
        <f t="shared" si="146"/>
        <v>Tablette Dégustation Chocolat Noir 90% - 100G</v>
      </c>
      <c r="N2356" s="6" t="str">
        <f t="shared" si="147"/>
        <v>France</v>
      </c>
    </row>
    <row r="2357" spans="1:14" x14ac:dyDescent="0.25">
      <c r="A2357" s="6" t="s">
        <v>5629</v>
      </c>
      <c r="B2357" s="6">
        <v>6763</v>
      </c>
      <c r="C2357" s="6" t="s">
        <v>5630</v>
      </c>
      <c r="D2357" s="7" t="s">
        <v>7017</v>
      </c>
      <c r="E2357" s="6" t="s">
        <v>151</v>
      </c>
      <c r="F2357" s="6" t="s">
        <v>8449</v>
      </c>
      <c r="G2357" s="8">
        <v>45361</v>
      </c>
      <c r="H2357" s="6">
        <v>14.18</v>
      </c>
      <c r="I2357" s="6" cm="1">
        <f t="array" ref="I2357">IFERROR(VALUE(TRIM(LEFT(E2357,MIN(FIND({" ";"g";"k";"m";"o"},E2357&amp;" gkmo"))-1))),0)</f>
        <v>200</v>
      </c>
      <c r="J2357" s="6" t="str" cm="1">
        <f t="array" ref="J2357">IFERROR(TRIM(MID(E2357,MIN(FIND({" ";"g";"k";"m";"o"},E2357&amp;" gkmo")),10)),"unknown")</f>
        <v>g</v>
      </c>
      <c r="K2357" s="6" t="str">
        <f t="shared" si="144"/>
        <v>g</v>
      </c>
      <c r="L2357" s="6" t="str">
        <f t="shared" si="145"/>
        <v>Unknown</v>
      </c>
      <c r="M2357" s="6" t="str">
        <f t="shared" si="146"/>
        <v>Formule Zen</v>
      </c>
      <c r="N2357" s="6" t="str">
        <f t="shared" si="147"/>
        <v>France,La Reunion</v>
      </c>
    </row>
    <row r="2358" spans="1:14" x14ac:dyDescent="0.25">
      <c r="A2358" s="6" t="s">
        <v>5631</v>
      </c>
      <c r="B2358" s="6">
        <v>8338</v>
      </c>
      <c r="C2358" s="6" t="s">
        <v>5632</v>
      </c>
      <c r="D2358" s="7" t="s">
        <v>2346</v>
      </c>
      <c r="E2358" s="6" t="s">
        <v>151</v>
      </c>
      <c r="F2358" s="6" t="s">
        <v>139</v>
      </c>
      <c r="G2358" s="8">
        <v>45894</v>
      </c>
      <c r="H2358" s="6">
        <v>11.27</v>
      </c>
      <c r="I2358" s="6" cm="1">
        <f t="array" ref="I2358">IFERROR(VALUE(TRIM(LEFT(E2358,MIN(FIND({" ";"g";"k";"m";"o"},E2358&amp;" gkmo"))-1))),0)</f>
        <v>200</v>
      </c>
      <c r="J2358" s="6" t="str" cm="1">
        <f t="array" ref="J2358">IFERROR(TRIM(MID(E2358,MIN(FIND({" ";"g";"k";"m";"o"},E2358&amp;" gkmo")),10)),"unknown")</f>
        <v>g</v>
      </c>
      <c r="K2358" s="6" t="str">
        <f t="shared" si="144"/>
        <v>g</v>
      </c>
      <c r="L2358" s="6" t="str">
        <f t="shared" si="145"/>
        <v>Daco Bello</v>
      </c>
      <c r="M2358" s="6" t="str">
        <f t="shared" si="146"/>
        <v>Daco Bello Formule Detente</v>
      </c>
      <c r="N2358" s="6" t="str">
        <f t="shared" si="147"/>
        <v>France</v>
      </c>
    </row>
    <row r="2359" spans="1:14" x14ac:dyDescent="0.25">
      <c r="A2359" s="6" t="s">
        <v>5633</v>
      </c>
      <c r="B2359" s="6">
        <v>13116</v>
      </c>
      <c r="C2359" s="6" t="s">
        <v>7360</v>
      </c>
      <c r="D2359" s="7" t="s">
        <v>7017</v>
      </c>
      <c r="E2359" s="6" t="s">
        <v>5634</v>
      </c>
      <c r="F2359" s="6" t="s">
        <v>8349</v>
      </c>
      <c r="G2359" s="8">
        <v>45619</v>
      </c>
      <c r="H2359" s="6">
        <v>13.89</v>
      </c>
      <c r="I2359" s="6" cm="1">
        <f t="array" ref="I2359">IFERROR(VALUE(TRIM(LEFT(E2359,MIN(FIND({" ";"g";"k";"m";"o"},E2359&amp;" gkmo"))-1))),0)</f>
        <v>125</v>
      </c>
      <c r="J2359" s="6" t="str" cm="1">
        <f t="array" ref="J2359">IFERROR(TRIM(MID(E2359,MIN(FIND({" ";"g";"k";"m";"o"},E2359&amp;" gkmo")),10)),"unknown")</f>
        <v>g, 4.41 o</v>
      </c>
      <c r="K2359" s="6" t="str">
        <f t="shared" si="144"/>
        <v>g</v>
      </c>
      <c r="L2359" s="6" t="str">
        <f t="shared" si="145"/>
        <v>Unknown</v>
      </c>
      <c r="M2359" s="6" t="str">
        <f t="shared" si="146"/>
        <v>Les Sablés</v>
      </c>
      <c r="N2359" s="6" t="str">
        <f t="shared" si="147"/>
        <v>Canada,France,Italie,Switzerland</v>
      </c>
    </row>
    <row r="2360" spans="1:14" x14ac:dyDescent="0.25">
      <c r="A2360" s="6" t="s">
        <v>5635</v>
      </c>
      <c r="B2360" s="6">
        <v>6330</v>
      </c>
      <c r="C2360" s="6" t="s">
        <v>7834</v>
      </c>
      <c r="D2360" s="7" t="s">
        <v>5636</v>
      </c>
      <c r="E2360" s="6" t="s">
        <v>352</v>
      </c>
      <c r="F2360" s="6" t="s">
        <v>8283</v>
      </c>
      <c r="G2360" s="8">
        <v>45800</v>
      </c>
      <c r="H2360" s="6">
        <v>18.93</v>
      </c>
      <c r="I2360" s="6" cm="1">
        <f t="array" ref="I2360">IFERROR(VALUE(TRIM(LEFT(E2360,MIN(FIND({" ";"g";"k";"m";"o"},E2360&amp;" gkmo"))-1))),0)</f>
        <v>170</v>
      </c>
      <c r="J2360" s="6" t="str" cm="1">
        <f t="array" ref="J2360">IFERROR(TRIM(MID(E2360,MIN(FIND({" ";"g";"k";"m";"o"},E2360&amp;" gkmo")),10)),"unknown")</f>
        <v>g</v>
      </c>
      <c r="K2360" s="6" t="str">
        <f t="shared" si="144"/>
        <v>g</v>
      </c>
      <c r="L2360" s="6" t="str">
        <f t="shared" si="145"/>
        <v>Cmi (Carrefour Marchandises Internationales), Carrefour, Groupe Carrefour</v>
      </c>
      <c r="M2360" s="6" t="str">
        <f t="shared" si="146"/>
        <v>Tuiles Goà»T Paprika</v>
      </c>
      <c r="N2360" s="6" t="str">
        <f t="shared" si="147"/>
        <v>France, Italie, Spain</v>
      </c>
    </row>
    <row r="2361" spans="1:14" x14ac:dyDescent="0.25">
      <c r="A2361" s="6" t="s">
        <v>5637</v>
      </c>
      <c r="B2361" s="6">
        <v>12187</v>
      </c>
      <c r="C2361" s="6" t="s">
        <v>5638</v>
      </c>
      <c r="D2361" s="7" t="s">
        <v>7017</v>
      </c>
      <c r="E2361" s="6" t="s">
        <v>151</v>
      </c>
      <c r="F2361" s="6" t="s">
        <v>8146</v>
      </c>
      <c r="G2361" s="8">
        <v>45855</v>
      </c>
      <c r="H2361" s="6">
        <v>12.13</v>
      </c>
      <c r="I2361" s="6" cm="1">
        <f t="array" ref="I2361">IFERROR(VALUE(TRIM(LEFT(E2361,MIN(FIND({" ";"g";"k";"m";"o"},E2361&amp;" gkmo"))-1))),0)</f>
        <v>200</v>
      </c>
      <c r="J2361" s="6" t="str" cm="1">
        <f t="array" ref="J2361">IFERROR(TRIM(MID(E2361,MIN(FIND({" ";"g";"k";"m";"o"},E2361&amp;" gkmo")),10)),"unknown")</f>
        <v>g</v>
      </c>
      <c r="K2361" s="6" t="str">
        <f t="shared" si="144"/>
        <v>g</v>
      </c>
      <c r="L2361" s="6" t="str">
        <f t="shared" si="145"/>
        <v>Unknown</v>
      </c>
      <c r="M2361" s="6" t="str">
        <f t="shared" si="146"/>
        <v>Petit Beurre Ðÿ§ˆOriginal</v>
      </c>
      <c r="N2361" s="6" t="str">
        <f t="shared" si="147"/>
        <v>Belgium, France, Italy, Poland, Romania, Spain, Morocco</v>
      </c>
    </row>
    <row r="2362" spans="1:14" x14ac:dyDescent="0.25">
      <c r="A2362" s="6" t="s">
        <v>5639</v>
      </c>
      <c r="B2362" s="6">
        <v>14384</v>
      </c>
      <c r="C2362" s="6" t="s">
        <v>2494</v>
      </c>
      <c r="D2362" s="7" t="s">
        <v>854</v>
      </c>
      <c r="E2362" s="6" t="s">
        <v>982</v>
      </c>
      <c r="F2362" s="6" t="s">
        <v>8292</v>
      </c>
      <c r="G2362" s="8">
        <v>45913</v>
      </c>
      <c r="H2362" s="6">
        <v>20.96</v>
      </c>
      <c r="I2362" s="6" cm="1">
        <f t="array" ref="I2362">IFERROR(VALUE(TRIM(LEFT(E2362,MIN(FIND({" ";"g";"k";"m";"o"},E2362&amp;" gkmo"))-1))),0)</f>
        <v>126</v>
      </c>
      <c r="J2362" s="6" t="str" cm="1">
        <f t="array" ref="J2362">IFERROR(TRIM(MID(E2362,MIN(FIND({" ";"g";"k";"m";"o"},E2362&amp;" gkmo")),10)),"unknown")</f>
        <v>g</v>
      </c>
      <c r="K2362" s="6" t="str">
        <f t="shared" si="144"/>
        <v>g</v>
      </c>
      <c r="L2362" s="6" t="str">
        <f t="shared" si="145"/>
        <v>Carrefour</v>
      </c>
      <c r="M2362" s="6" t="str">
        <f t="shared" si="146"/>
        <v>Chocolat Noir</v>
      </c>
      <c r="N2362" s="6" t="str">
        <f t="shared" si="147"/>
        <v>France,Morocco, Italie, Spain</v>
      </c>
    </row>
    <row r="2363" spans="1:14" x14ac:dyDescent="0.25">
      <c r="A2363" s="6" t="s">
        <v>5640</v>
      </c>
      <c r="B2363" s="6">
        <v>11611</v>
      </c>
      <c r="C2363" s="6" t="s">
        <v>7835</v>
      </c>
      <c r="D2363" s="7" t="s">
        <v>7836</v>
      </c>
      <c r="E2363" s="6" t="s">
        <v>156</v>
      </c>
      <c r="F2363" s="6" t="s">
        <v>139</v>
      </c>
      <c r="G2363" s="8">
        <v>45501</v>
      </c>
      <c r="H2363" s="6">
        <v>17.809999999999999</v>
      </c>
      <c r="I2363" s="6" cm="1">
        <f t="array" ref="I2363">IFERROR(VALUE(TRIM(LEFT(E2363,MIN(FIND({" ";"g";"k";"m";"o"},E2363&amp;" gkmo"))-1))),0)</f>
        <v>500</v>
      </c>
      <c r="J2363" s="6" t="str" cm="1">
        <f t="array" ref="J2363">IFERROR(TRIM(MID(E2363,MIN(FIND({" ";"g";"k";"m";"o"},E2363&amp;" gkmo")),10)),"unknown")</f>
        <v>g</v>
      </c>
      <c r="K2363" s="6" t="str">
        <f t="shared" si="144"/>
        <v>g</v>
      </c>
      <c r="L2363" s="6" t="str">
        <f t="shared" si="145"/>
        <v>Marque Repère, Menu Fraà®Cheur</v>
      </c>
      <c r="M2363" s="6" t="str">
        <f t="shared" si="146"/>
        <v>Carottes Rà¢Pées</v>
      </c>
      <c r="N2363" s="6" t="str">
        <f t="shared" si="147"/>
        <v>France</v>
      </c>
    </row>
    <row r="2364" spans="1:14" x14ac:dyDescent="0.25">
      <c r="A2364" s="6" t="s">
        <v>5641</v>
      </c>
      <c r="B2364" s="6">
        <v>6343</v>
      </c>
      <c r="C2364" s="6" t="s">
        <v>7361</v>
      </c>
      <c r="D2364" s="7" t="s">
        <v>7480</v>
      </c>
      <c r="E2364" s="6" t="s">
        <v>1396</v>
      </c>
      <c r="F2364" s="6" t="s">
        <v>139</v>
      </c>
      <c r="G2364" s="8">
        <v>45465</v>
      </c>
      <c r="H2364" s="6">
        <v>21</v>
      </c>
      <c r="I2364" s="6" cm="1">
        <f t="array" ref="I2364">IFERROR(VALUE(TRIM(LEFT(E2364,MIN(FIND({" ";"g";"k";"m";"o"},E2364&amp;" gkmo"))-1))),0)</f>
        <v>600</v>
      </c>
      <c r="J2364" s="6" t="str" cm="1">
        <f t="array" ref="J2364">IFERROR(TRIM(MID(E2364,MIN(FIND({" ";"g";"k";"m";"o"},E2364&amp;" gkmo")),10)),"unknown")</f>
        <v>g</v>
      </c>
      <c r="K2364" s="6" t="str">
        <f t="shared" si="144"/>
        <v>g</v>
      </c>
      <c r="L2364" s="6" t="str">
        <f t="shared" si="145"/>
        <v>Marque Repère, P'Tit Déli</v>
      </c>
      <c r="M2364" s="6" t="str">
        <f t="shared" si="146"/>
        <v>Déli Matin Pépites De Chocolat</v>
      </c>
      <c r="N2364" s="6" t="str">
        <f t="shared" si="147"/>
        <v>France</v>
      </c>
    </row>
    <row r="2365" spans="1:14" x14ac:dyDescent="0.25">
      <c r="A2365" s="6" t="s">
        <v>5642</v>
      </c>
      <c r="B2365" s="6">
        <v>5111</v>
      </c>
      <c r="C2365" s="6" t="s">
        <v>5643</v>
      </c>
      <c r="D2365" s="7" t="s">
        <v>7496</v>
      </c>
      <c r="E2365" s="6" t="s">
        <v>39</v>
      </c>
      <c r="F2365" s="6" t="s">
        <v>139</v>
      </c>
      <c r="G2365" s="8">
        <v>45873</v>
      </c>
      <c r="H2365" s="6">
        <v>17.260000000000002</v>
      </c>
      <c r="I2365" s="6" cm="1">
        <f t="array" ref="I2365">IFERROR(VALUE(TRIM(LEFT(E2365,MIN(FIND({" ";"g";"k";"m";"o"},E2365&amp;" gkmo"))-1))),0)</f>
        <v>150</v>
      </c>
      <c r="J2365" s="6" t="str" cm="1">
        <f t="array" ref="J2365">IFERROR(TRIM(MID(E2365,MIN(FIND({" ";"g";"k";"m";"o"},E2365&amp;" gkmo")),10)),"unknown")</f>
        <v>g</v>
      </c>
      <c r="K2365" s="6" t="str">
        <f t="shared" si="144"/>
        <v>g</v>
      </c>
      <c r="L2365" s="6" t="str">
        <f t="shared" si="145"/>
        <v>Bio Village, Marque Repère</v>
      </c>
      <c r="M2365" s="6" t="str">
        <f t="shared" si="146"/>
        <v>Biscuits Tablette Chocolat Au Lait</v>
      </c>
      <c r="N2365" s="6" t="str">
        <f t="shared" si="147"/>
        <v>France</v>
      </c>
    </row>
    <row r="2366" spans="1:14" x14ac:dyDescent="0.25">
      <c r="A2366" s="6" t="s">
        <v>5644</v>
      </c>
      <c r="B2366" s="6">
        <v>12157</v>
      </c>
      <c r="C2366" s="6" t="s">
        <v>5645</v>
      </c>
      <c r="D2366" s="7" t="s">
        <v>5646</v>
      </c>
      <c r="E2366" s="6" t="s">
        <v>423</v>
      </c>
      <c r="F2366" s="6" t="s">
        <v>139</v>
      </c>
      <c r="G2366" s="8">
        <v>45328</v>
      </c>
      <c r="H2366" s="6">
        <v>15.92</v>
      </c>
      <c r="I2366" s="6" cm="1">
        <f t="array" ref="I2366">IFERROR(VALUE(TRIM(LEFT(E2366,MIN(FIND({" ";"g";"k";"m";"o"},E2366&amp;" gkmo"))-1))),0)</f>
        <v>125</v>
      </c>
      <c r="J2366" s="6" t="str" cm="1">
        <f t="array" ref="J2366">IFERROR(TRIM(MID(E2366,MIN(FIND({" ";"g";"k";"m";"o"},E2366&amp;" gkmo")),10)),"unknown")</f>
        <v>g</v>
      </c>
      <c r="K2366" s="6" t="str">
        <f t="shared" si="144"/>
        <v>g</v>
      </c>
      <c r="L2366" s="6" t="str">
        <f t="shared" si="145"/>
        <v>Jardin Bio, Jardin Biologique</v>
      </c>
      <c r="M2366" s="6" t="str">
        <f t="shared" si="146"/>
        <v>Tortillas Nature</v>
      </c>
      <c r="N2366" s="6" t="str">
        <f t="shared" si="147"/>
        <v>France</v>
      </c>
    </row>
    <row r="2367" spans="1:14" x14ac:dyDescent="0.25">
      <c r="A2367" s="6" t="s">
        <v>5647</v>
      </c>
      <c r="B2367" s="6">
        <v>10092</v>
      </c>
      <c r="C2367" s="6" t="s">
        <v>5648</v>
      </c>
      <c r="D2367" s="7" t="s">
        <v>2304</v>
      </c>
      <c r="E2367" s="6" t="s">
        <v>504</v>
      </c>
      <c r="F2367" s="6" t="s">
        <v>157</v>
      </c>
      <c r="G2367" s="8">
        <v>45751</v>
      </c>
      <c r="H2367" s="6">
        <v>13.16</v>
      </c>
      <c r="I2367" s="6" cm="1">
        <f t="array" ref="I2367">IFERROR(VALUE(TRIM(LEFT(E2367,MIN(FIND({" ";"g";"k";"m";"o"},E2367&amp;" gkmo"))-1))),0)</f>
        <v>400</v>
      </c>
      <c r="J2367" s="6" t="str" cm="1">
        <f t="array" ref="J2367">IFERROR(TRIM(MID(E2367,MIN(FIND({" ";"g";"k";"m";"o"},E2367&amp;" gkmo")),10)),"unknown")</f>
        <v>g</v>
      </c>
      <c r="K2367" s="6" t="str">
        <f t="shared" si="144"/>
        <v>g</v>
      </c>
      <c r="L2367" s="6" t="str">
        <f t="shared" si="145"/>
        <v>Seeberger</v>
      </c>
      <c r="M2367" s="6" t="str">
        <f t="shared" si="146"/>
        <v>Mendiant De Luxe</v>
      </c>
      <c r="N2367" s="6" t="str">
        <f t="shared" si="147"/>
        <v>France,Germany,Switzerland</v>
      </c>
    </row>
    <row r="2368" spans="1:14" x14ac:dyDescent="0.25">
      <c r="A2368" s="6" t="s">
        <v>5649</v>
      </c>
      <c r="B2368" s="6">
        <v>11534</v>
      </c>
      <c r="C2368" s="6" t="s">
        <v>1907</v>
      </c>
      <c r="D2368" s="7" t="s">
        <v>173</v>
      </c>
      <c r="E2368" s="6" t="s">
        <v>39</v>
      </c>
      <c r="F2368" s="6" t="s">
        <v>5650</v>
      </c>
      <c r="G2368" s="8">
        <v>45775</v>
      </c>
      <c r="H2368" s="6">
        <v>13.16</v>
      </c>
      <c r="I2368" s="6" cm="1">
        <f t="array" ref="I2368">IFERROR(VALUE(TRIM(LEFT(E2368,MIN(FIND({" ";"g";"k";"m";"o"},E2368&amp;" gkmo"))-1))),0)</f>
        <v>150</v>
      </c>
      <c r="J2368" s="6" t="str" cm="1">
        <f t="array" ref="J2368">IFERROR(TRIM(MID(E2368,MIN(FIND({" ";"g";"k";"m";"o"},E2368&amp;" gkmo")),10)),"unknown")</f>
        <v>g</v>
      </c>
      <c r="K2368" s="6" t="str">
        <f t="shared" si="144"/>
        <v>g</v>
      </c>
      <c r="L2368" s="6" t="str">
        <f t="shared" si="145"/>
        <v>Kinder</v>
      </c>
      <c r="M2368" s="6" t="str">
        <f t="shared" si="146"/>
        <v>Kinder Chocolate</v>
      </c>
      <c r="N2368" s="6" t="str">
        <f t="shared" si="147"/>
        <v>Äœesko</v>
      </c>
    </row>
    <row r="2369" spans="1:14" x14ac:dyDescent="0.25">
      <c r="A2369" s="6" t="s">
        <v>5651</v>
      </c>
      <c r="B2369" s="6">
        <v>7896</v>
      </c>
      <c r="C2369" s="6" t="s">
        <v>5652</v>
      </c>
      <c r="D2369" s="7" t="s">
        <v>681</v>
      </c>
      <c r="E2369" s="6" t="s">
        <v>304</v>
      </c>
      <c r="F2369" s="6" t="s">
        <v>8147</v>
      </c>
      <c r="G2369" s="8">
        <v>46035</v>
      </c>
      <c r="H2369" s="6">
        <v>9.5399999999999991</v>
      </c>
      <c r="I2369" s="6" cm="1">
        <f t="array" ref="I2369">IFERROR(VALUE(TRIM(LEFT(E2369,MIN(FIND({" ";"g";"k";"m";"o"},E2369&amp;" gkmo"))-1))),0)</f>
        <v>135</v>
      </c>
      <c r="J2369" s="6" t="str" cm="1">
        <f t="array" ref="J2369">IFERROR(TRIM(MID(E2369,MIN(FIND({" ";"g";"k";"m";"o"},E2369&amp;" gkmo")),10)),"unknown")</f>
        <v>g</v>
      </c>
      <c r="K2369" s="6" t="str">
        <f t="shared" si="144"/>
        <v>g</v>
      </c>
      <c r="L2369" s="6" t="str">
        <f t="shared" si="145"/>
        <v>Storck</v>
      </c>
      <c r="M2369" s="6" t="str">
        <f t="shared" si="146"/>
        <v>Werther'S Original</v>
      </c>
      <c r="N2369" s="6" t="str">
        <f t="shared" si="147"/>
        <v>Denmark, Finland, France, Norway, Poland, Spain, Sweden, United-Kingdom</v>
      </c>
    </row>
    <row r="2370" spans="1:14" x14ac:dyDescent="0.25">
      <c r="A2370" s="6" t="s">
        <v>5653</v>
      </c>
      <c r="B2370" s="6">
        <v>11852</v>
      </c>
      <c r="C2370" s="6" t="s">
        <v>7017</v>
      </c>
      <c r="D2370" s="7" t="s">
        <v>248</v>
      </c>
      <c r="E2370" s="6"/>
      <c r="F2370" s="6" t="s">
        <v>1941</v>
      </c>
      <c r="G2370" s="8">
        <v>45998</v>
      </c>
      <c r="H2370" s="6">
        <v>13.16</v>
      </c>
      <c r="I2370" s="6" cm="1">
        <f t="array" ref="I2370">IFERROR(VALUE(TRIM(LEFT(E2370,MIN(FIND({" ";"g";"k";"m";"o"},E2370&amp;" gkmo"))-1))),0)</f>
        <v>0</v>
      </c>
      <c r="J2370" s="6" t="str" cm="1">
        <f t="array" ref="J2370">IFERROR(TRIM(MID(E2370,MIN(FIND({" ";"g";"k";"m";"o"},E2370&amp;" gkmo")),10)),"unknown")</f>
        <v/>
      </c>
      <c r="K2370" s="6" t="str">
        <f t="shared" ref="K2370:K2433" si="148">IF(E2370="","unknown",IF(OR(J2370="g",LEFT(J2370,1)="g"),"g",IF(OR(LEFT(J2370,2)="kg",LEFT(J2370,2)="ki"),"kg",IF(OR(LEFT(J2370,2)="ml",LEFT(J2370,1)="m"),"ml",IF(LEFT(J2370,1)="l","l",IF(ISNUMBER(SEARCH("g",E2370)),"g",IF(ISNUMBER(SEARCH("kg",E2370)),"kg",IF(ISNUMBER(SEARCH("ml",E2370)),"ml","unknown"))))))))</f>
        <v>unknown</v>
      </c>
      <c r="L2370" s="6" t="str">
        <f t="shared" ref="L2370:L2433" si="149">IF(D2370="","Unknown",PROPER(TRIM(D2370)))</f>
        <v>Tesco</v>
      </c>
      <c r="M2370" s="6" t="str">
        <f t="shared" ref="M2370:M2433" si="150">IF(C2370="Unknown","Unknown",PROPER(TRIM(C2370)))</f>
        <v>Unknown</v>
      </c>
      <c r="N2370" s="6" t="str">
        <f t="shared" si="147"/>
        <v>France,Ireland,United Kingdom</v>
      </c>
    </row>
    <row r="2371" spans="1:14" x14ac:dyDescent="0.25">
      <c r="A2371" s="6" t="s">
        <v>5654</v>
      </c>
      <c r="B2371" s="6">
        <v>14898</v>
      </c>
      <c r="C2371" s="6" t="s">
        <v>5655</v>
      </c>
      <c r="D2371" s="7" t="s">
        <v>248</v>
      </c>
      <c r="E2371" s="6" t="s">
        <v>1309</v>
      </c>
      <c r="F2371" s="6" t="s">
        <v>7926</v>
      </c>
      <c r="G2371" s="8">
        <v>45541</v>
      </c>
      <c r="H2371" s="6">
        <v>13.16</v>
      </c>
      <c r="I2371" s="6" cm="1">
        <f t="array" ref="I2371">IFERROR(VALUE(TRIM(LEFT(E2371,MIN(FIND({" ";"g";"k";"m";"o"},E2371&amp;" gkmo"))-1))),0)</f>
        <v>300</v>
      </c>
      <c r="J2371" s="6" t="str" cm="1">
        <f t="array" ref="J2371">IFERROR(TRIM(MID(E2371,MIN(FIND({" ";"g";"k";"m";"o"},E2371&amp;" gkmo")),10)),"unknown")</f>
        <v>g</v>
      </c>
      <c r="K2371" s="6" t="str">
        <f t="shared" si="148"/>
        <v>g</v>
      </c>
      <c r="L2371" s="6" t="str">
        <f t="shared" si="149"/>
        <v>Tesco</v>
      </c>
      <c r="M2371" s="6" t="str">
        <f t="shared" si="150"/>
        <v>Rich Tea Biscuit</v>
      </c>
      <c r="N2371" s="6" t="str">
        <f t="shared" ref="N2371:N2434" si="151">IF(F2371="","Unknown",PROPER(TRIM(F2371)))</f>
        <v>France, United-Kingdom</v>
      </c>
    </row>
    <row r="2372" spans="1:14" x14ac:dyDescent="0.25">
      <c r="A2372" s="6" t="s">
        <v>5656</v>
      </c>
      <c r="B2372" s="6">
        <v>8220</v>
      </c>
      <c r="C2372" s="6" t="s">
        <v>5657</v>
      </c>
      <c r="D2372" s="7" t="s">
        <v>63</v>
      </c>
      <c r="E2372" s="6"/>
      <c r="F2372" s="6" t="s">
        <v>7837</v>
      </c>
      <c r="G2372" s="8">
        <v>45756</v>
      </c>
      <c r="H2372" s="6">
        <v>20.260000000000002</v>
      </c>
      <c r="I2372" s="6" cm="1">
        <f t="array" ref="I2372">IFERROR(VALUE(TRIM(LEFT(E2372,MIN(FIND({" ";"g";"k";"m";"o"},E2372&amp;" gkmo"))-1))),0)</f>
        <v>0</v>
      </c>
      <c r="J2372" s="6" t="str" cm="1">
        <f t="array" ref="J2372">IFERROR(TRIM(MID(E2372,MIN(FIND({" ";"g";"k";"m";"o"},E2372&amp;" gkmo")),10)),"unknown")</f>
        <v/>
      </c>
      <c r="K2372" s="6" t="str">
        <f t="shared" si="148"/>
        <v>unknown</v>
      </c>
      <c r="L2372" s="6" t="str">
        <f t="shared" si="149"/>
        <v>Tyrrell'S</v>
      </c>
      <c r="M2372" s="6" t="str">
        <f t="shared" si="150"/>
        <v>Furrows Sea Salt &amp; Vinegar</v>
      </c>
      <c r="N2372" s="6" t="str">
        <f t="shared" si="151"/>
        <v>Frankreich,Vereinigtes Kà¶Nigreich,Deutschland</v>
      </c>
    </row>
    <row r="2373" spans="1:14" x14ac:dyDescent="0.25">
      <c r="A2373" s="6" t="s">
        <v>5658</v>
      </c>
      <c r="B2373" s="6">
        <v>10363</v>
      </c>
      <c r="C2373" s="6" t="s">
        <v>5659</v>
      </c>
      <c r="D2373" s="7" t="s">
        <v>2142</v>
      </c>
      <c r="E2373" s="6"/>
      <c r="F2373" s="6" t="s">
        <v>220</v>
      </c>
      <c r="G2373" s="8">
        <v>45537</v>
      </c>
      <c r="H2373" s="6">
        <v>20.63</v>
      </c>
      <c r="I2373" s="6" cm="1">
        <f t="array" ref="I2373">IFERROR(VALUE(TRIM(LEFT(E2373,MIN(FIND({" ";"g";"k";"m";"o"},E2373&amp;" gkmo"))-1))),0)</f>
        <v>0</v>
      </c>
      <c r="J2373" s="6" t="str" cm="1">
        <f t="array" ref="J2373">IFERROR(TRIM(MID(E2373,MIN(FIND({" ";"g";"k";"m";"o"},E2373&amp;" gkmo")),10)),"unknown")</f>
        <v/>
      </c>
      <c r="K2373" s="6" t="str">
        <f t="shared" si="148"/>
        <v>unknown</v>
      </c>
      <c r="L2373" s="6" t="str">
        <f t="shared" si="149"/>
        <v>Popchips</v>
      </c>
      <c r="M2373" s="6" t="str">
        <f t="shared" si="150"/>
        <v>Sea Salt</v>
      </c>
      <c r="N2373" s="6" t="str">
        <f t="shared" si="151"/>
        <v>France, United Kingdom</v>
      </c>
    </row>
    <row r="2374" spans="1:14" x14ac:dyDescent="0.25">
      <c r="A2374" s="6" t="s">
        <v>5660</v>
      </c>
      <c r="B2374" s="6">
        <v>8788</v>
      </c>
      <c r="C2374" s="6" t="s">
        <v>5661</v>
      </c>
      <c r="D2374" s="7" t="s">
        <v>5662</v>
      </c>
      <c r="E2374" s="6" t="s">
        <v>1317</v>
      </c>
      <c r="F2374" s="6" t="s">
        <v>5663</v>
      </c>
      <c r="G2374" s="8">
        <v>45392</v>
      </c>
      <c r="H2374" s="6">
        <v>17.52</v>
      </c>
      <c r="I2374" s="6" cm="1">
        <f t="array" ref="I2374">IFERROR(VALUE(TRIM(LEFT(E2374,MIN(FIND({" ";"g";"k";"m";"o"},E2374&amp;" gkmo"))-1))),0)</f>
        <v>80</v>
      </c>
      <c r="J2374" s="6" t="str" cm="1">
        <f t="array" ref="J2374">IFERROR(TRIM(MID(E2374,MIN(FIND({" ";"g";"k";"m";"o"},E2374&amp;" gkmo")),10)),"unknown")</f>
        <v>g</v>
      </c>
      <c r="K2374" s="6" t="str">
        <f t="shared" si="148"/>
        <v>g</v>
      </c>
      <c r="L2374" s="6" t="str">
        <f t="shared" si="149"/>
        <v>7 Days</v>
      </c>
      <c r="M2374" s="6" t="str">
        <f t="shared" si="150"/>
        <v>7Days Bake Rolls Pizza 80G</v>
      </c>
      <c r="N2374" s="6" t="str">
        <f t="shared" si="151"/>
        <v>Ð Ñƒð¼Ñšð½Ð¸Ñ,Ð‘Ñšð»Ð³Ð°Ñ€Ð¸Ñ</v>
      </c>
    </row>
    <row r="2375" spans="1:14" x14ac:dyDescent="0.25">
      <c r="A2375" s="6" t="s">
        <v>5664</v>
      </c>
      <c r="B2375" s="6">
        <v>9722</v>
      </c>
      <c r="C2375" s="6" t="s">
        <v>5665</v>
      </c>
      <c r="D2375" s="7" t="s">
        <v>5666</v>
      </c>
      <c r="E2375" s="6" t="s">
        <v>479</v>
      </c>
      <c r="F2375" s="6" t="s">
        <v>8363</v>
      </c>
      <c r="G2375" s="8">
        <v>46025</v>
      </c>
      <c r="H2375" s="6">
        <v>5.62</v>
      </c>
      <c r="I2375" s="6" cm="1">
        <f t="array" ref="I2375">IFERROR(VALUE(TRIM(LEFT(E2375,MIN(FIND({" ";"g";"k";"m";"o"},E2375&amp;" gkmo"))-1))),0)</f>
        <v>375</v>
      </c>
      <c r="J2375" s="6" t="str" cm="1">
        <f t="array" ref="J2375">IFERROR(TRIM(MID(E2375,MIN(FIND({" ";"g";"k";"m";"o"},E2375&amp;" gkmo")),10)),"unknown")</f>
        <v>g</v>
      </c>
      <c r="K2375" s="6" t="str">
        <f t="shared" si="148"/>
        <v>g</v>
      </c>
      <c r="L2375" s="6" t="str">
        <f t="shared" si="149"/>
        <v>Biscoff,Lotus</v>
      </c>
      <c r="M2375" s="6" t="str">
        <f t="shared" si="150"/>
        <v>Lotus Biscoff Speculoos Original - 375G (3X125G)</v>
      </c>
      <c r="N2375" s="6" t="str">
        <f t="shared" si="151"/>
        <v>France,Espaà±A,Switzerland</v>
      </c>
    </row>
    <row r="2376" spans="1:14" x14ac:dyDescent="0.25">
      <c r="A2376" s="6" t="s">
        <v>5667</v>
      </c>
      <c r="B2376" s="6">
        <v>12129</v>
      </c>
      <c r="C2376" s="6" t="s">
        <v>879</v>
      </c>
      <c r="D2376" s="7" t="s">
        <v>7017</v>
      </c>
      <c r="E2376" s="6">
        <v>48</v>
      </c>
      <c r="F2376" s="6" t="s">
        <v>400</v>
      </c>
      <c r="G2376" s="8">
        <v>45768</v>
      </c>
      <c r="H2376" s="6">
        <v>15.78</v>
      </c>
      <c r="I2376" s="6" cm="1">
        <f t="array" ref="I2376">IFERROR(VALUE(TRIM(LEFT(E2376,MIN(FIND({" ";"g";"k";"m";"o"},E2376&amp;" gkmo"))-1))),0)</f>
        <v>48</v>
      </c>
      <c r="J2376" s="6" t="str" cm="1">
        <f t="array" ref="J2376">IFERROR(TRIM(MID(E2376,MIN(FIND({" ";"g";"k";"m";"o"},E2376&amp;" gkmo")),10)),"unknown")</f>
        <v/>
      </c>
      <c r="K2376" s="6" t="str">
        <f t="shared" si="148"/>
        <v>unknown</v>
      </c>
      <c r="L2376" s="6" t="str">
        <f t="shared" si="149"/>
        <v>Unknown</v>
      </c>
      <c r="M2376" s="6" t="str">
        <f t="shared" si="150"/>
        <v>Kitkat</v>
      </c>
      <c r="N2376" s="6" t="str">
        <f t="shared" si="151"/>
        <v>France,United Kingdom</v>
      </c>
    </row>
    <row r="2377" spans="1:14" x14ac:dyDescent="0.25">
      <c r="A2377" s="6" t="s">
        <v>5668</v>
      </c>
      <c r="B2377" s="6">
        <v>12989</v>
      </c>
      <c r="C2377" s="6" t="s">
        <v>5669</v>
      </c>
      <c r="D2377" s="7" t="s">
        <v>7033</v>
      </c>
      <c r="E2377" s="6" t="s">
        <v>423</v>
      </c>
      <c r="F2377" s="6" t="s">
        <v>7599</v>
      </c>
      <c r="G2377" s="8">
        <v>45737</v>
      </c>
      <c r="H2377" s="6">
        <v>23.56</v>
      </c>
      <c r="I2377" s="6" cm="1">
        <f t="array" ref="I2377">IFERROR(VALUE(TRIM(LEFT(E2377,MIN(FIND({" ";"g";"k";"m";"o"},E2377&amp;" gkmo"))-1))),0)</f>
        <v>125</v>
      </c>
      <c r="J2377" s="6" t="str" cm="1">
        <f t="array" ref="J2377">IFERROR(TRIM(MID(E2377,MIN(FIND({" ";"g";"k";"m";"o"},E2377&amp;" gkmo")),10)),"unknown")</f>
        <v>g</v>
      </c>
      <c r="K2377" s="6" t="str">
        <f t="shared" si="148"/>
        <v>g</v>
      </c>
      <c r="L2377" s="6" t="str">
        <f t="shared" si="149"/>
        <v>Nestlé</v>
      </c>
      <c r="M2377" s="6" t="str">
        <f t="shared" si="150"/>
        <v>Netsle Chocolat Noir 100% Cacao</v>
      </c>
      <c r="N2377" s="6" t="str">
        <f t="shared" si="151"/>
        <v>Marruecos,Espaà±A</v>
      </c>
    </row>
    <row r="2378" spans="1:14" x14ac:dyDescent="0.25">
      <c r="A2378" s="6" t="s">
        <v>5670</v>
      </c>
      <c r="B2378" s="6">
        <v>13572</v>
      </c>
      <c r="C2378" s="6" t="s">
        <v>7362</v>
      </c>
      <c r="D2378" s="7" t="s">
        <v>7363</v>
      </c>
      <c r="E2378" s="6" t="s">
        <v>5671</v>
      </c>
      <c r="F2378" s="6" t="s">
        <v>1181</v>
      </c>
      <c r="G2378" s="8">
        <v>45431</v>
      </c>
      <c r="H2378" s="6">
        <v>11.03</v>
      </c>
      <c r="I2378" s="6" cm="1">
        <f t="array" ref="I2378">IFERROR(VALUE(TRIM(LEFT(E2378,MIN(FIND({" ";"g";"k";"m";"o"},E2378&amp;" gkmo"))-1))),0)</f>
        <v>192</v>
      </c>
      <c r="J2378" s="6" t="str" cm="1">
        <f t="array" ref="J2378">IFERROR(TRIM(MID(E2378,MIN(FIND({" ";"g";"k";"m";"o"},E2378&amp;" gkmo")),10)),"unknown")</f>
        <v>g</v>
      </c>
      <c r="K2378" s="6" t="str">
        <f t="shared" si="148"/>
        <v>g</v>
      </c>
      <c r="L2378" s="6" t="str">
        <f t="shared" si="149"/>
        <v>Lu, Mondelez, Pépito</v>
      </c>
      <c r="M2378" s="6" t="str">
        <f t="shared" si="150"/>
        <v>Pépito Chocolat Au Lait</v>
      </c>
      <c r="N2378" s="6" t="str">
        <f t="shared" si="151"/>
        <v>France,Switzerland</v>
      </c>
    </row>
    <row r="2379" spans="1:14" x14ac:dyDescent="0.25">
      <c r="A2379" s="6" t="s">
        <v>5672</v>
      </c>
      <c r="B2379" s="6">
        <v>8256</v>
      </c>
      <c r="C2379" s="6" t="s">
        <v>7364</v>
      </c>
      <c r="D2379" s="7" t="s">
        <v>7585</v>
      </c>
      <c r="E2379" s="6" t="s">
        <v>284</v>
      </c>
      <c r="F2379" s="6" t="s">
        <v>4092</v>
      </c>
      <c r="G2379" s="8">
        <v>45689</v>
      </c>
      <c r="H2379" s="6">
        <v>24.1</v>
      </c>
      <c r="I2379" s="6" cm="1">
        <f t="array" ref="I2379">IFERROR(VALUE(TRIM(LEFT(E2379,MIN(FIND({" ";"g";"k";"m";"o"},E2379&amp;" gkmo"))-1))),0)</f>
        <v>180</v>
      </c>
      <c r="J2379" s="6" t="str" cm="1">
        <f t="array" ref="J2379">IFERROR(TRIM(MID(E2379,MIN(FIND({" ";"g";"k";"m";"o"},E2379&amp;" gkmo")),10)),"unknown")</f>
        <v>g</v>
      </c>
      <c r="K2379" s="6" t="str">
        <f t="shared" si="148"/>
        <v>g</v>
      </c>
      <c r="L2379" s="6" t="str">
        <f t="shared" si="149"/>
        <v>Cà´Te D'Or</v>
      </c>
      <c r="M2379" s="6" t="str">
        <f t="shared" si="150"/>
        <v>Noir Pistaches Caramélisées</v>
      </c>
      <c r="N2379" s="6" t="str">
        <f t="shared" si="151"/>
        <v>Belgium,France,Netherlands</v>
      </c>
    </row>
    <row r="2380" spans="1:14" x14ac:dyDescent="0.25">
      <c r="A2380" s="6" t="s">
        <v>5673</v>
      </c>
      <c r="B2380" s="6">
        <v>7504</v>
      </c>
      <c r="C2380" s="6" t="s">
        <v>7838</v>
      </c>
      <c r="D2380" s="7" t="s">
        <v>173</v>
      </c>
      <c r="E2380" s="6" t="s">
        <v>2810</v>
      </c>
      <c r="F2380" s="6" t="s">
        <v>5123</v>
      </c>
      <c r="G2380" s="8">
        <v>46018</v>
      </c>
      <c r="H2380" s="6">
        <v>10.14</v>
      </c>
      <c r="I2380" s="6" cm="1">
        <f t="array" ref="I2380">IFERROR(VALUE(TRIM(LEFT(E2380,MIN(FIND({" ";"g";"k";"m";"o"},E2380&amp;" gkmo"))-1))),0)</f>
        <v>290</v>
      </c>
      <c r="J2380" s="6" t="str" cm="1">
        <f t="array" ref="J2380">IFERROR(TRIM(MID(E2380,MIN(FIND({" ";"g";"k";"m";"o"},E2380&amp;" gkmo")),10)),"unknown")</f>
        <v>g</v>
      </c>
      <c r="K2380" s="6" t="str">
        <f t="shared" si="148"/>
        <v>g</v>
      </c>
      <c r="L2380" s="6" t="str">
        <f t="shared" si="149"/>
        <v>Kinder</v>
      </c>
      <c r="M2380" s="6" t="str">
        <f t="shared" si="150"/>
        <v>Colazione Pià¹ Con 5 Cereali</v>
      </c>
      <c r="N2380" s="6" t="str">
        <f t="shared" si="151"/>
        <v>France,Italy,Switzerland</v>
      </c>
    </row>
    <row r="2381" spans="1:14" x14ac:dyDescent="0.25">
      <c r="A2381" s="6" t="s">
        <v>5674</v>
      </c>
      <c r="B2381" s="6">
        <v>5067</v>
      </c>
      <c r="C2381" s="6" t="s">
        <v>5675</v>
      </c>
      <c r="D2381" s="7" t="s">
        <v>1355</v>
      </c>
      <c r="E2381" s="6" t="s">
        <v>1312</v>
      </c>
      <c r="F2381" s="6" t="s">
        <v>5676</v>
      </c>
      <c r="G2381" s="8">
        <v>45373</v>
      </c>
      <c r="H2381" s="6">
        <v>21.81</v>
      </c>
      <c r="I2381" s="6" cm="1">
        <f t="array" ref="I2381">IFERROR(VALUE(TRIM(LEFT(E2381,MIN(FIND({" ";"g";"k";"m";"o"},E2381&amp;" gkmo"))-1))),0)</f>
        <v>50</v>
      </c>
      <c r="J2381" s="6" t="str" cm="1">
        <f t="array" ref="J2381">IFERROR(TRIM(MID(E2381,MIN(FIND({" ";"g";"k";"m";"o"},E2381&amp;" gkmo")),10)),"unknown")</f>
        <v>g</v>
      </c>
      <c r="K2381" s="6" t="str">
        <f t="shared" si="148"/>
        <v>g</v>
      </c>
      <c r="L2381" s="6" t="str">
        <f t="shared" si="149"/>
        <v>Lay'S</v>
      </c>
      <c r="M2381" s="6" t="str">
        <f t="shared" si="150"/>
        <v>Lay'S Potato Chips</v>
      </c>
      <c r="N2381" s="6" t="str">
        <f t="shared" si="151"/>
        <v>India,United States,Canada</v>
      </c>
    </row>
    <row r="2382" spans="1:14" x14ac:dyDescent="0.25">
      <c r="A2382" s="6" t="s">
        <v>5677</v>
      </c>
      <c r="B2382" s="6">
        <v>11735</v>
      </c>
      <c r="C2382" s="6" t="s">
        <v>5678</v>
      </c>
      <c r="D2382" s="7" t="s">
        <v>1255</v>
      </c>
      <c r="E2382" s="6" t="s">
        <v>5679</v>
      </c>
      <c r="F2382" s="6" t="s">
        <v>7940</v>
      </c>
      <c r="G2382" s="8">
        <v>45702</v>
      </c>
      <c r="H2382" s="6">
        <v>3.74</v>
      </c>
      <c r="I2382" s="6" cm="1">
        <f t="array" ref="I2382">IFERROR(VALUE(TRIM(LEFT(E2382,MIN(FIND({" ";"g";"k";"m";"o"},E2382&amp;" gkmo"))-1))),0)</f>
        <v>6</v>
      </c>
      <c r="J2382" s="6" t="str" cm="1">
        <f t="array" ref="J2382">IFERROR(TRIM(MID(E2382,MIN(FIND({" ";"g";"k";"m";"o"},E2382&amp;" gkmo")),10)),"unknown")</f>
        <v>x 24 g</v>
      </c>
      <c r="K2382" s="6" t="str">
        <f t="shared" si="148"/>
        <v>g</v>
      </c>
      <c r="L2382" s="6" t="str">
        <f t="shared" si="149"/>
        <v>Kp Snacks</v>
      </c>
      <c r="M2382" s="6" t="str">
        <f t="shared" si="150"/>
        <v>Hula Hoops Bbq</v>
      </c>
      <c r="N2382" s="6" t="str">
        <f t="shared" si="151"/>
        <v>Ireland, United-Kingdom</v>
      </c>
    </row>
    <row r="2383" spans="1:14" x14ac:dyDescent="0.25">
      <c r="A2383" s="6" t="s">
        <v>5680</v>
      </c>
      <c r="B2383" s="6">
        <v>5790</v>
      </c>
      <c r="C2383" s="6" t="s">
        <v>7365</v>
      </c>
      <c r="D2383" s="7" t="s">
        <v>854</v>
      </c>
      <c r="E2383" s="6"/>
      <c r="F2383" s="6" t="s">
        <v>7919</v>
      </c>
      <c r="G2383" s="8">
        <v>45670</v>
      </c>
      <c r="H2383" s="6">
        <v>20.89</v>
      </c>
      <c r="I2383" s="6" cm="1">
        <f t="array" ref="I2383">IFERROR(VALUE(TRIM(LEFT(E2383,MIN(FIND({" ";"g";"k";"m";"o"},E2383&amp;" gkmo"))-1))),0)</f>
        <v>0</v>
      </c>
      <c r="J2383" s="6" t="str" cm="1">
        <f t="array" ref="J2383">IFERROR(TRIM(MID(E2383,MIN(FIND({" ";"g";"k";"m";"o"},E2383&amp;" gkmo")),10)),"unknown")</f>
        <v/>
      </c>
      <c r="K2383" s="6" t="str">
        <f t="shared" si="148"/>
        <v>unknown</v>
      </c>
      <c r="L2383" s="6" t="str">
        <f t="shared" si="149"/>
        <v>Carrefour</v>
      </c>
      <c r="M2383" s="6" t="str">
        <f t="shared" si="150"/>
        <v>Pain D'Épices Au Miel</v>
      </c>
      <c r="N2383" s="6" t="str">
        <f t="shared" si="151"/>
        <v>France, Morocco</v>
      </c>
    </row>
    <row r="2384" spans="1:14" x14ac:dyDescent="0.25">
      <c r="A2384" s="6" t="s">
        <v>5681</v>
      </c>
      <c r="B2384" s="6">
        <v>7988</v>
      </c>
      <c r="C2384" s="6" t="s">
        <v>5682</v>
      </c>
      <c r="D2384" s="7" t="s">
        <v>4697</v>
      </c>
      <c r="E2384" s="6"/>
      <c r="F2384" s="6" t="s">
        <v>7839</v>
      </c>
      <c r="G2384" s="8">
        <v>45934</v>
      </c>
      <c r="H2384" s="6">
        <v>4.28</v>
      </c>
      <c r="I2384" s="6" cm="1">
        <f t="array" ref="I2384">IFERROR(VALUE(TRIM(LEFT(E2384,MIN(FIND({" ";"g";"k";"m";"o"},E2384&amp;" gkmo"))-1))),0)</f>
        <v>0</v>
      </c>
      <c r="J2384" s="6" t="str" cm="1">
        <f t="array" ref="J2384">IFERROR(TRIM(MID(E2384,MIN(FIND({" ";"g";"k";"m";"o"},E2384&amp;" gkmo")),10)),"unknown")</f>
        <v/>
      </c>
      <c r="K2384" s="6" t="str">
        <f t="shared" si="148"/>
        <v>unknown</v>
      </c>
      <c r="L2384" s="6" t="str">
        <f t="shared" si="149"/>
        <v>Grenade</v>
      </c>
      <c r="M2384" s="6" t="str">
        <f t="shared" si="150"/>
        <v>Grenode Salted Peanut Protein Bar</v>
      </c>
      <c r="N2384" s="6" t="str">
        <f t="shared" si="151"/>
        <v>Belgien, Frankreich, Vereinigtes Kà¶Nigreich, Germany</v>
      </c>
    </row>
    <row r="2385" spans="1:14" x14ac:dyDescent="0.25">
      <c r="A2385" s="6" t="s">
        <v>5683</v>
      </c>
      <c r="B2385" s="6">
        <v>5431</v>
      </c>
      <c r="C2385" s="6" t="s">
        <v>4681</v>
      </c>
      <c r="D2385" s="7" t="s">
        <v>1213</v>
      </c>
      <c r="E2385" s="6"/>
      <c r="F2385" s="6" t="s">
        <v>400</v>
      </c>
      <c r="G2385" s="8">
        <v>45719</v>
      </c>
      <c r="H2385" s="6">
        <v>8.68</v>
      </c>
      <c r="I2385" s="6" cm="1">
        <f t="array" ref="I2385">IFERROR(VALUE(TRIM(LEFT(E2385,MIN(FIND({" ";"g";"k";"m";"o"},E2385&amp;" gkmo"))-1))),0)</f>
        <v>0</v>
      </c>
      <c r="J2385" s="6" t="str" cm="1">
        <f t="array" ref="J2385">IFERROR(TRIM(MID(E2385,MIN(FIND({" ";"g";"k";"m";"o"},E2385&amp;" gkmo")),10)),"unknown")</f>
        <v/>
      </c>
      <c r="K2385" s="6" t="str">
        <f t="shared" si="148"/>
        <v>unknown</v>
      </c>
      <c r="L2385" s="6" t="str">
        <f t="shared" si="149"/>
        <v>Tower Gate</v>
      </c>
      <c r="M2385" s="6" t="str">
        <f t="shared" si="150"/>
        <v>Oaties</v>
      </c>
      <c r="N2385" s="6" t="str">
        <f t="shared" si="151"/>
        <v>France,United Kingdom</v>
      </c>
    </row>
    <row r="2386" spans="1:14" x14ac:dyDescent="0.25">
      <c r="A2386" s="6" t="s">
        <v>5684</v>
      </c>
      <c r="B2386" s="6">
        <v>14006</v>
      </c>
      <c r="C2386" s="6" t="s">
        <v>541</v>
      </c>
      <c r="D2386" s="7" t="s">
        <v>3849</v>
      </c>
      <c r="E2386" s="6" t="s">
        <v>18</v>
      </c>
      <c r="F2386" s="6" t="s">
        <v>177</v>
      </c>
      <c r="G2386" s="8">
        <v>45859</v>
      </c>
      <c r="H2386" s="6">
        <v>1.64</v>
      </c>
      <c r="I2386" s="6" cm="1">
        <f t="array" ref="I2386">IFERROR(VALUE(TRIM(LEFT(E2386,MIN(FIND({" ";"g";"k";"m";"o"},E2386&amp;" gkmo"))-1))),0)</f>
        <v>100</v>
      </c>
      <c r="J2386" s="6" t="str" cm="1">
        <f t="array" ref="J2386">IFERROR(TRIM(MID(E2386,MIN(FIND({" ";"g";"k";"m";"o"},E2386&amp;" gkmo")),10)),"unknown")</f>
        <v>g</v>
      </c>
      <c r="K2386" s="6" t="str">
        <f t="shared" si="148"/>
        <v>g</v>
      </c>
      <c r="L2386" s="6" t="str">
        <f t="shared" si="149"/>
        <v>Butterkist</v>
      </c>
      <c r="M2386" s="6" t="str">
        <f t="shared" si="150"/>
        <v>Sweet &amp; Salty Popcorn</v>
      </c>
      <c r="N2386" s="6" t="str">
        <f t="shared" si="151"/>
        <v>United Kingdom</v>
      </c>
    </row>
    <row r="2387" spans="1:14" x14ac:dyDescent="0.25">
      <c r="A2387" s="6" t="s">
        <v>5685</v>
      </c>
      <c r="B2387" s="6">
        <v>6466</v>
      </c>
      <c r="C2387" s="6" t="s">
        <v>1738</v>
      </c>
      <c r="D2387" s="7" t="s">
        <v>7017</v>
      </c>
      <c r="E2387" s="6" t="s">
        <v>580</v>
      </c>
      <c r="F2387" s="6" t="s">
        <v>400</v>
      </c>
      <c r="G2387" s="8">
        <v>45512</v>
      </c>
      <c r="H2387" s="6">
        <v>10.29</v>
      </c>
      <c r="I2387" s="6" cm="1">
        <f t="array" ref="I2387">IFERROR(VALUE(TRIM(LEFT(E2387,MIN(FIND({" ";"g";"k";"m";"o"},E2387&amp;" gkmo"))-1))),0)</f>
        <v>250</v>
      </c>
      <c r="J2387" s="6" t="str" cm="1">
        <f t="array" ref="J2387">IFERROR(TRIM(MID(E2387,MIN(FIND({" ";"g";"k";"m";"o"},E2387&amp;" gkmo")),10)),"unknown")</f>
        <v>g</v>
      </c>
      <c r="K2387" s="6" t="str">
        <f t="shared" si="148"/>
        <v>g</v>
      </c>
      <c r="L2387" s="6" t="str">
        <f t="shared" si="149"/>
        <v>Unknown</v>
      </c>
      <c r="M2387" s="6" t="str">
        <f t="shared" si="150"/>
        <v>Rough Oatcakes</v>
      </c>
      <c r="N2387" s="6" t="str">
        <f t="shared" si="151"/>
        <v>France,United Kingdom</v>
      </c>
    </row>
    <row r="2388" spans="1:14" x14ac:dyDescent="0.25">
      <c r="A2388" s="6" t="s">
        <v>5686</v>
      </c>
      <c r="B2388" s="6">
        <v>5245</v>
      </c>
      <c r="C2388" s="6" t="s">
        <v>5687</v>
      </c>
      <c r="D2388" s="7" t="s">
        <v>7017</v>
      </c>
      <c r="E2388" s="6" t="s">
        <v>10</v>
      </c>
      <c r="F2388" s="6" t="s">
        <v>5663</v>
      </c>
      <c r="G2388" s="8">
        <v>45401</v>
      </c>
      <c r="H2388" s="6">
        <v>13.16</v>
      </c>
      <c r="I2388" s="6" cm="1">
        <f t="array" ref="I2388">IFERROR(VALUE(TRIM(LEFT(E2388,MIN(FIND({" ";"g";"k";"m";"o"},E2388&amp;" gkmo"))-1))),0)</f>
        <v>100</v>
      </c>
      <c r="J2388" s="6" t="str" cm="1">
        <f t="array" ref="J2388">IFERROR(TRIM(MID(E2388,MIN(FIND({" ";"g";"k";"m";"o"},E2388&amp;" gkmo")),10)),"unknown")</f>
        <v>g</v>
      </c>
      <c r="K2388" s="6" t="str">
        <f t="shared" si="148"/>
        <v>g</v>
      </c>
      <c r="L2388" s="6" t="str">
        <f t="shared" si="149"/>
        <v>Unknown</v>
      </c>
      <c r="M2388" s="6" t="str">
        <f t="shared" si="150"/>
        <v>Milka Mlecna Alpin</v>
      </c>
      <c r="N2388" s="6" t="str">
        <f t="shared" si="151"/>
        <v>Ð Ñƒð¼Ñšð½Ð¸Ñ,Ð‘Ñšð»Ð³Ð°Ñ€Ð¸Ñ</v>
      </c>
    </row>
    <row r="2389" spans="1:14" x14ac:dyDescent="0.25">
      <c r="A2389" s="6" t="s">
        <v>5688</v>
      </c>
      <c r="B2389" s="6">
        <v>6706</v>
      </c>
      <c r="C2389" s="6" t="s">
        <v>5689</v>
      </c>
      <c r="D2389" s="7" t="s">
        <v>961</v>
      </c>
      <c r="E2389" s="6" t="s">
        <v>580</v>
      </c>
      <c r="F2389" s="6" t="s">
        <v>5690</v>
      </c>
      <c r="G2389" s="8">
        <v>45451</v>
      </c>
      <c r="H2389" s="6">
        <v>24.68</v>
      </c>
      <c r="I2389" s="6" cm="1">
        <f t="array" ref="I2389">IFERROR(VALUE(TRIM(LEFT(E2389,MIN(FIND({" ";"g";"k";"m";"o"},E2389&amp;" gkmo"))-1))),0)</f>
        <v>250</v>
      </c>
      <c r="J2389" s="6" t="str" cm="1">
        <f t="array" ref="J2389">IFERROR(TRIM(MID(E2389,MIN(FIND({" ";"g";"k";"m";"o"},E2389&amp;" gkmo")),10)),"unknown")</f>
        <v>g</v>
      </c>
      <c r="K2389" s="6" t="str">
        <f t="shared" si="148"/>
        <v>g</v>
      </c>
      <c r="L2389" s="6" t="str">
        <f t="shared" si="149"/>
        <v>Sondey</v>
      </c>
      <c r="M2389" s="6" t="str">
        <f t="shared" si="150"/>
        <v>Speculoos</v>
      </c>
      <c r="N2389" s="6" t="str">
        <f t="shared" si="151"/>
        <v>Nederland</v>
      </c>
    </row>
    <row r="2390" spans="1:14" x14ac:dyDescent="0.25">
      <c r="A2390" s="6" t="s">
        <v>5691</v>
      </c>
      <c r="B2390" s="6">
        <v>5740</v>
      </c>
      <c r="C2390" s="6" t="s">
        <v>5692</v>
      </c>
      <c r="D2390" s="7" t="s">
        <v>5693</v>
      </c>
      <c r="E2390" s="6"/>
      <c r="F2390" s="6" t="s">
        <v>4857</v>
      </c>
      <c r="G2390" s="8">
        <v>45641</v>
      </c>
      <c r="H2390" s="6">
        <v>19.149999999999999</v>
      </c>
      <c r="I2390" s="6" cm="1">
        <f t="array" ref="I2390">IFERROR(VALUE(TRIM(LEFT(E2390,MIN(FIND({" ";"g";"k";"m";"o"},E2390&amp;" gkmo"))-1))),0)</f>
        <v>0</v>
      </c>
      <c r="J2390" s="6" t="str" cm="1">
        <f t="array" ref="J2390">IFERROR(TRIM(MID(E2390,MIN(FIND({" ";"g";"k";"m";"o"},E2390&amp;" gkmo")),10)),"unknown")</f>
        <v/>
      </c>
      <c r="K2390" s="6" t="str">
        <f t="shared" si="148"/>
        <v>unknown</v>
      </c>
      <c r="L2390" s="6" t="str">
        <f t="shared" si="149"/>
        <v>Planters</v>
      </c>
      <c r="M2390" s="6" t="str">
        <f t="shared" si="150"/>
        <v>Dry Roasted Lightly Salted Peanuts</v>
      </c>
      <c r="N2390" s="6" t="str">
        <f t="shared" si="151"/>
        <v>Spain,United States</v>
      </c>
    </row>
    <row r="2391" spans="1:14" x14ac:dyDescent="0.25">
      <c r="A2391" s="6" t="s">
        <v>5694</v>
      </c>
      <c r="B2391" s="6">
        <v>12959</v>
      </c>
      <c r="C2391" s="6" t="s">
        <v>5695</v>
      </c>
      <c r="D2391" s="7" t="s">
        <v>1567</v>
      </c>
      <c r="E2391" s="6" t="s">
        <v>14</v>
      </c>
      <c r="F2391" s="6" t="s">
        <v>1774</v>
      </c>
      <c r="G2391" s="8">
        <v>45475</v>
      </c>
      <c r="H2391" s="6">
        <v>16.14</v>
      </c>
      <c r="I2391" s="6" cm="1">
        <f t="array" ref="I2391">IFERROR(VALUE(TRIM(LEFT(E2391,MIN(FIND({" ";"g";"k";"m";"o"},E2391&amp;" gkmo"))-1))),0)</f>
        <v>300</v>
      </c>
      <c r="J2391" s="6" t="str" cm="1">
        <f t="array" ref="J2391">IFERROR(TRIM(MID(E2391,MIN(FIND({" ";"g";"k";"m";"o"},E2391&amp;" gkmo")),10)),"unknown")</f>
        <v>g</v>
      </c>
      <c r="K2391" s="6" t="str">
        <f t="shared" si="148"/>
        <v>g</v>
      </c>
      <c r="L2391" s="6" t="str">
        <f t="shared" si="149"/>
        <v>Belmont Biscuits</v>
      </c>
      <c r="M2391" s="6" t="str">
        <f t="shared" si="150"/>
        <v>Rich Tea</v>
      </c>
      <c r="N2391" s="6" t="str">
        <f t="shared" si="151"/>
        <v>Ireland,United Kingdom</v>
      </c>
    </row>
    <row r="2392" spans="1:14" x14ac:dyDescent="0.25">
      <c r="A2392" s="6" t="s">
        <v>5696</v>
      </c>
      <c r="B2392" s="6">
        <v>12723</v>
      </c>
      <c r="C2392" s="6" t="s">
        <v>7017</v>
      </c>
      <c r="D2392" s="7" t="s">
        <v>5697</v>
      </c>
      <c r="E2392" s="6"/>
      <c r="F2392" s="6" t="s">
        <v>8148</v>
      </c>
      <c r="G2392" s="8">
        <v>45661</v>
      </c>
      <c r="H2392" s="6">
        <v>13.16</v>
      </c>
      <c r="I2392" s="6" cm="1">
        <f t="array" ref="I2392">IFERROR(VALUE(TRIM(LEFT(E2392,MIN(FIND({" ";"g";"k";"m";"o"},E2392&amp;" gkmo"))-1))),0)</f>
        <v>0</v>
      </c>
      <c r="J2392" s="6" t="str" cm="1">
        <f t="array" ref="J2392">IFERROR(TRIM(MID(E2392,MIN(FIND({" ";"g";"k";"m";"o"},E2392&amp;" gkmo")),10)),"unknown")</f>
        <v/>
      </c>
      <c r="K2392" s="6" t="str">
        <f t="shared" si="148"/>
        <v>unknown</v>
      </c>
      <c r="L2392" s="6" t="str">
        <f t="shared" si="149"/>
        <v>Lotto</v>
      </c>
      <c r="M2392" s="6" t="str">
        <f t="shared" si="150"/>
        <v>Unknown</v>
      </c>
      <c r="N2392" s="6" t="str">
        <f t="shared" si="151"/>
        <v>Bulgaria, Spain, Romania</v>
      </c>
    </row>
    <row r="2393" spans="1:14" x14ac:dyDescent="0.25">
      <c r="A2393" s="6" t="s">
        <v>5698</v>
      </c>
      <c r="B2393" s="6">
        <v>5940</v>
      </c>
      <c r="C2393" s="6" t="s">
        <v>5699</v>
      </c>
      <c r="D2393" s="7" t="s">
        <v>7017</v>
      </c>
      <c r="E2393" s="6">
        <v>1</v>
      </c>
      <c r="F2393" s="6" t="s">
        <v>8149</v>
      </c>
      <c r="G2393" s="8">
        <v>45526</v>
      </c>
      <c r="H2393" s="6">
        <v>19.48</v>
      </c>
      <c r="I2393" s="6" cm="1">
        <f t="array" ref="I2393">IFERROR(VALUE(TRIM(LEFT(E2393,MIN(FIND({" ";"g";"k";"m";"o"},E2393&amp;" gkmo"))-1))),0)</f>
        <v>1</v>
      </c>
      <c r="J2393" s="6" t="str" cm="1">
        <f t="array" ref="J2393">IFERROR(TRIM(MID(E2393,MIN(FIND({" ";"g";"k";"m";"o"},E2393&amp;" gkmo")),10)),"unknown")</f>
        <v/>
      </c>
      <c r="K2393" s="6" t="str">
        <f t="shared" si="148"/>
        <v>unknown</v>
      </c>
      <c r="L2393" s="6" t="str">
        <f t="shared" si="149"/>
        <v>Unknown</v>
      </c>
      <c r="M2393" s="6" t="str">
        <f t="shared" si="150"/>
        <v>Organic Sea Salt Multigrain Tortilla Chips</v>
      </c>
      <c r="N2393" s="6" t="str">
        <f t="shared" si="151"/>
        <v>United States,United States, World</v>
      </c>
    </row>
    <row r="2394" spans="1:14" x14ac:dyDescent="0.25">
      <c r="A2394" s="6" t="s">
        <v>5700</v>
      </c>
      <c r="B2394" s="6">
        <v>14654</v>
      </c>
      <c r="C2394" s="6" t="s">
        <v>2962</v>
      </c>
      <c r="D2394" s="7" t="s">
        <v>681</v>
      </c>
      <c r="E2394" s="6" t="s">
        <v>643</v>
      </c>
      <c r="F2394" s="6" t="s">
        <v>5759</v>
      </c>
      <c r="G2394" s="8">
        <v>45558</v>
      </c>
      <c r="H2394" s="6">
        <v>19.79</v>
      </c>
      <c r="I2394" s="6" cm="1">
        <f t="array" ref="I2394">IFERROR(VALUE(TRIM(LEFT(E2394,MIN(FIND({" ";"g";"k";"m";"o"},E2394&amp;" gkmo"))-1))),0)</f>
        <v>25</v>
      </c>
      <c r="J2394" s="6" t="str" cm="1">
        <f t="array" ref="J2394">IFERROR(TRIM(MID(E2394,MIN(FIND({" ";"g";"k";"m";"o"},E2394&amp;" gkmo")),10)),"unknown")</f>
        <v>g</v>
      </c>
      <c r="K2394" s="6" t="str">
        <f t="shared" si="148"/>
        <v>g</v>
      </c>
      <c r="L2394" s="6" t="str">
        <f t="shared" si="149"/>
        <v>Storck</v>
      </c>
      <c r="M2394" s="6" t="str">
        <f t="shared" si="150"/>
        <v>Knoppers</v>
      </c>
      <c r="N2394" s="6" t="str">
        <f t="shared" si="151"/>
        <v>Fr</v>
      </c>
    </row>
    <row r="2395" spans="1:14" x14ac:dyDescent="0.25">
      <c r="A2395" s="6" t="s">
        <v>5701</v>
      </c>
      <c r="B2395" s="6">
        <v>12678</v>
      </c>
      <c r="C2395" s="6" t="s">
        <v>3855</v>
      </c>
      <c r="D2395" s="7" t="s">
        <v>7366</v>
      </c>
      <c r="E2395" s="6" t="s">
        <v>39</v>
      </c>
      <c r="F2395" s="6" t="s">
        <v>139</v>
      </c>
      <c r="G2395" s="8">
        <v>45615</v>
      </c>
      <c r="H2395" s="6">
        <v>4.97</v>
      </c>
      <c r="I2395" s="6" cm="1">
        <f t="array" ref="I2395">IFERROR(VALUE(TRIM(LEFT(E2395,MIN(FIND({" ";"g";"k";"m";"o"},E2395&amp;" gkmo"))-1))),0)</f>
        <v>150</v>
      </c>
      <c r="J2395" s="6" t="str" cm="1">
        <f t="array" ref="J2395">IFERROR(TRIM(MID(E2395,MIN(FIND({" ";"g";"k";"m";"o"},E2395&amp;" gkmo")),10)),"unknown")</f>
        <v>g</v>
      </c>
      <c r="K2395" s="6" t="str">
        <f t="shared" si="148"/>
        <v>g</v>
      </c>
      <c r="L2395" s="6" t="str">
        <f t="shared" si="149"/>
        <v>Jardin Bio, Léa Nature Jardin Bio</v>
      </c>
      <c r="M2395" s="6" t="str">
        <f t="shared" si="150"/>
        <v>Tartines Craquantes Sarrasin</v>
      </c>
      <c r="N2395" s="6" t="str">
        <f t="shared" si="151"/>
        <v>France</v>
      </c>
    </row>
    <row r="2396" spans="1:14" x14ac:dyDescent="0.25">
      <c r="A2396" s="6" t="s">
        <v>5702</v>
      </c>
      <c r="B2396" s="6">
        <v>7645</v>
      </c>
      <c r="C2396" s="6" t="s">
        <v>5703</v>
      </c>
      <c r="D2396" s="7" t="s">
        <v>1773</v>
      </c>
      <c r="E2396" s="6" t="s">
        <v>5704</v>
      </c>
      <c r="F2396" s="6" t="s">
        <v>2973</v>
      </c>
      <c r="G2396" s="8">
        <v>45368</v>
      </c>
      <c r="H2396" s="6">
        <v>3.87</v>
      </c>
      <c r="I2396" s="6" cm="1">
        <f t="array" ref="I2396">IFERROR(VALUE(TRIM(LEFT(E2396,MIN(FIND({" ";"g";"k";"m";"o"},E2396&amp;" gkmo"))-1))),0)</f>
        <v>0</v>
      </c>
      <c r="J2396" s="6" t="str" cm="1">
        <f t="array" ref="J2396">IFERROR(TRIM(MID(E2396,MIN(FIND({" ";"g";"k";"m";"o"},E2396&amp;" gkmo")),10)),"unknown")</f>
        <v>g</v>
      </c>
      <c r="K2396" s="6" t="str">
        <f t="shared" si="148"/>
        <v>g</v>
      </c>
      <c r="L2396" s="6" t="str">
        <f t="shared" si="149"/>
        <v>Aldi</v>
      </c>
      <c r="M2396" s="6" t="str">
        <f t="shared" si="150"/>
        <v>Mamia Strawberry And Apple Oaty Bars</v>
      </c>
      <c r="N2396" s="6" t="str">
        <f t="shared" si="151"/>
        <v>Gb</v>
      </c>
    </row>
    <row r="2397" spans="1:14" x14ac:dyDescent="0.25">
      <c r="A2397" s="6" t="s">
        <v>5705</v>
      </c>
      <c r="B2397" s="6">
        <v>6128</v>
      </c>
      <c r="C2397" s="6" t="s">
        <v>5706</v>
      </c>
      <c r="D2397" s="7" t="s">
        <v>1529</v>
      </c>
      <c r="E2397" s="6" t="s">
        <v>423</v>
      </c>
      <c r="F2397" s="6" t="s">
        <v>177</v>
      </c>
      <c r="G2397" s="8">
        <v>45645</v>
      </c>
      <c r="H2397" s="6">
        <v>22.71</v>
      </c>
      <c r="I2397" s="6" cm="1">
        <f t="array" ref="I2397">IFERROR(VALUE(TRIM(LEFT(E2397,MIN(FIND({" ";"g";"k";"m";"o"},E2397&amp;" gkmo"))-1))),0)</f>
        <v>125</v>
      </c>
      <c r="J2397" s="6" t="str" cm="1">
        <f t="array" ref="J2397">IFERROR(TRIM(MID(E2397,MIN(FIND({" ";"g";"k";"m";"o"},E2397&amp;" gkmo")),10)),"unknown")</f>
        <v>g</v>
      </c>
      <c r="K2397" s="6" t="str">
        <f t="shared" si="148"/>
        <v>g</v>
      </c>
      <c r="L2397" s="6" t="str">
        <f t="shared" si="149"/>
        <v>Mars</v>
      </c>
      <c r="M2397" s="6" t="str">
        <f t="shared" si="150"/>
        <v>Galaxy Minstrels Pouch Bag</v>
      </c>
      <c r="N2397" s="6" t="str">
        <f t="shared" si="151"/>
        <v>United Kingdom</v>
      </c>
    </row>
    <row r="2398" spans="1:14" x14ac:dyDescent="0.25">
      <c r="A2398" s="6" t="s">
        <v>5707</v>
      </c>
      <c r="B2398" s="6">
        <v>11162</v>
      </c>
      <c r="C2398" s="6" t="s">
        <v>5208</v>
      </c>
      <c r="D2398" s="7" t="s">
        <v>1773</v>
      </c>
      <c r="E2398" s="6" t="s">
        <v>5158</v>
      </c>
      <c r="F2398" s="6" t="s">
        <v>7940</v>
      </c>
      <c r="G2398" s="8">
        <v>45785</v>
      </c>
      <c r="H2398" s="6">
        <v>15.46</v>
      </c>
      <c r="I2398" s="6" cm="1">
        <f t="array" ref="I2398">IFERROR(VALUE(TRIM(LEFT(E2398,MIN(FIND({" ";"g";"k";"m";"o"},E2398&amp;" gkmo"))-1))),0)</f>
        <v>5</v>
      </c>
      <c r="J2398" s="6" t="str" cm="1">
        <f t="array" ref="J2398">IFERROR(TRIM(MID(E2398,MIN(FIND({" ";"g";"k";"m";"o"},E2398&amp;" gkmo")),10)),"unknown")</f>
        <v>x 25 g</v>
      </c>
      <c r="K2398" s="6" t="str">
        <f t="shared" si="148"/>
        <v>g</v>
      </c>
      <c r="L2398" s="6" t="str">
        <f t="shared" si="149"/>
        <v>Aldi</v>
      </c>
      <c r="M2398" s="6" t="str">
        <f t="shared" si="150"/>
        <v>Mint</v>
      </c>
      <c r="N2398" s="6" t="str">
        <f t="shared" si="151"/>
        <v>Ireland, United-Kingdom</v>
      </c>
    </row>
    <row r="2399" spans="1:14" x14ac:dyDescent="0.25">
      <c r="A2399" s="6" t="s">
        <v>5708</v>
      </c>
      <c r="B2399" s="6">
        <v>12416</v>
      </c>
      <c r="C2399" s="6" t="s">
        <v>5709</v>
      </c>
      <c r="D2399" s="7" t="s">
        <v>1076</v>
      </c>
      <c r="E2399" s="6"/>
      <c r="F2399" s="6" t="s">
        <v>177</v>
      </c>
      <c r="G2399" s="8">
        <v>45657</v>
      </c>
      <c r="H2399" s="6">
        <v>18.45</v>
      </c>
      <c r="I2399" s="6" cm="1">
        <f t="array" ref="I2399">IFERROR(VALUE(TRIM(LEFT(E2399,MIN(FIND({" ";"g";"k";"m";"o"},E2399&amp;" gkmo"))-1))),0)</f>
        <v>0</v>
      </c>
      <c r="J2399" s="6" t="str" cm="1">
        <f t="array" ref="J2399">IFERROR(TRIM(MID(E2399,MIN(FIND({" ";"g";"k";"m";"o"},E2399&amp;" gkmo")),10)),"unknown")</f>
        <v/>
      </c>
      <c r="K2399" s="6" t="str">
        <f t="shared" si="148"/>
        <v>unknown</v>
      </c>
      <c r="L2399" s="6" t="str">
        <f t="shared" si="149"/>
        <v>Tesco Finest</v>
      </c>
      <c r="M2399" s="6" t="str">
        <f t="shared" si="150"/>
        <v>8 Meringue Nests</v>
      </c>
      <c r="N2399" s="6" t="str">
        <f t="shared" si="151"/>
        <v>United Kingdom</v>
      </c>
    </row>
    <row r="2400" spans="1:14" x14ac:dyDescent="0.25">
      <c r="A2400" s="6" t="s">
        <v>5710</v>
      </c>
      <c r="B2400" s="6">
        <v>7229</v>
      </c>
      <c r="C2400" s="6" t="s">
        <v>5711</v>
      </c>
      <c r="D2400" s="7" t="s">
        <v>961</v>
      </c>
      <c r="E2400" s="6"/>
      <c r="F2400" s="6" t="s">
        <v>400</v>
      </c>
      <c r="G2400" s="8">
        <v>45465</v>
      </c>
      <c r="H2400" s="6">
        <v>4.1100000000000003</v>
      </c>
      <c r="I2400" s="6" cm="1">
        <f t="array" ref="I2400">IFERROR(VALUE(TRIM(LEFT(E2400,MIN(FIND({" ";"g";"k";"m";"o"},E2400&amp;" gkmo"))-1))),0)</f>
        <v>0</v>
      </c>
      <c r="J2400" s="6" t="str" cm="1">
        <f t="array" ref="J2400">IFERROR(TRIM(MID(E2400,MIN(FIND({" ";"g";"k";"m";"o"},E2400&amp;" gkmo")),10)),"unknown")</f>
        <v/>
      </c>
      <c r="K2400" s="6" t="str">
        <f t="shared" si="148"/>
        <v>unknown</v>
      </c>
      <c r="L2400" s="6" t="str">
        <f t="shared" si="149"/>
        <v>Sondey</v>
      </c>
      <c r="M2400" s="6" t="str">
        <f t="shared" si="150"/>
        <v>Donuts</v>
      </c>
      <c r="N2400" s="6" t="str">
        <f t="shared" si="151"/>
        <v>France,United Kingdom</v>
      </c>
    </row>
    <row r="2401" spans="1:14" x14ac:dyDescent="0.25">
      <c r="A2401" s="6" t="s">
        <v>5712</v>
      </c>
      <c r="B2401" s="6">
        <v>8425</v>
      </c>
      <c r="C2401" s="6" t="s">
        <v>5713</v>
      </c>
      <c r="D2401" s="7" t="s">
        <v>13</v>
      </c>
      <c r="E2401" s="6" t="s">
        <v>5714</v>
      </c>
      <c r="F2401" s="6" t="s">
        <v>5759</v>
      </c>
      <c r="G2401" s="8">
        <v>45588</v>
      </c>
      <c r="H2401" s="6">
        <v>14.24</v>
      </c>
      <c r="I2401" s="6" cm="1">
        <f t="array" ref="I2401">IFERROR(VALUE(TRIM(LEFT(E2401,MIN(FIND({" ";"g";"k";"m";"o"},E2401&amp;" gkmo"))-1))),0)</f>
        <v>12</v>
      </c>
      <c r="J2401" s="6" t="str" cm="1">
        <f t="array" ref="J2401">IFERROR(TRIM(MID(E2401,MIN(FIND({" ";"g";"k";"m";"o"},E2401&amp;" gkmo")),10)),"unknown")</f>
        <v>x 30g</v>
      </c>
      <c r="K2401" s="6" t="str">
        <f t="shared" si="148"/>
        <v>g</v>
      </c>
      <c r="L2401" s="6" t="str">
        <f t="shared" si="149"/>
        <v>Lu</v>
      </c>
      <c r="M2401" s="6" t="str">
        <f t="shared" si="150"/>
        <v>Napolitain L'Original</v>
      </c>
      <c r="N2401" s="6" t="str">
        <f t="shared" si="151"/>
        <v>Fr</v>
      </c>
    </row>
    <row r="2402" spans="1:14" x14ac:dyDescent="0.25">
      <c r="A2402" s="6" t="s">
        <v>5715</v>
      </c>
      <c r="B2402" s="6">
        <v>11543</v>
      </c>
      <c r="C2402" s="6" t="s">
        <v>5716</v>
      </c>
      <c r="D2402" s="7" t="s">
        <v>940</v>
      </c>
      <c r="E2402" s="6"/>
      <c r="F2402" s="6" t="s">
        <v>2973</v>
      </c>
      <c r="G2402" s="8">
        <v>45879</v>
      </c>
      <c r="H2402" s="6">
        <v>4.21</v>
      </c>
      <c r="I2402" s="6" cm="1">
        <f t="array" ref="I2402">IFERROR(VALUE(TRIM(LEFT(E2402,MIN(FIND({" ";"g";"k";"m";"o"},E2402&amp;" gkmo"))-1))),0)</f>
        <v>0</v>
      </c>
      <c r="J2402" s="6" t="str" cm="1">
        <f t="array" ref="J2402">IFERROR(TRIM(MID(E2402,MIN(FIND({" ";"g";"k";"m";"o"},E2402&amp;" gkmo")),10)),"unknown")</f>
        <v/>
      </c>
      <c r="K2402" s="6" t="str">
        <f t="shared" si="148"/>
        <v>unknown</v>
      </c>
      <c r="L2402" s="6" t="str">
        <f t="shared" si="149"/>
        <v>Crosta &amp; Mollica</v>
      </c>
      <c r="M2402" s="6" t="str">
        <f t="shared" si="150"/>
        <v>Olive &amp; Rosemary Ovali Italian Cracker Crisps</v>
      </c>
      <c r="N2402" s="6" t="str">
        <f t="shared" si="151"/>
        <v>Gb</v>
      </c>
    </row>
    <row r="2403" spans="1:14" x14ac:dyDescent="0.25">
      <c r="A2403" s="6" t="s">
        <v>5717</v>
      </c>
      <c r="B2403" s="6">
        <v>8023</v>
      </c>
      <c r="C2403" s="6" t="s">
        <v>5718</v>
      </c>
      <c r="D2403" s="7" t="s">
        <v>5719</v>
      </c>
      <c r="E2403" s="6" t="s">
        <v>528</v>
      </c>
      <c r="F2403" s="6" t="s">
        <v>2973</v>
      </c>
      <c r="G2403" s="8">
        <v>46037</v>
      </c>
      <c r="H2403" s="6">
        <v>12.38</v>
      </c>
      <c r="I2403" s="6" cm="1">
        <f t="array" ref="I2403">IFERROR(VALUE(TRIM(LEFT(E2403,MIN(FIND({" ";"g";"k";"m";"o"},E2403&amp;" gkmo"))-1))),0)</f>
        <v>200</v>
      </c>
      <c r="J2403" s="6" t="str" cm="1">
        <f t="array" ref="J2403">IFERROR(TRIM(MID(E2403,MIN(FIND({" ";"g";"k";"m";"o"},E2403&amp;" gkmo")),10)),"unknown")</f>
        <v>g</v>
      </c>
      <c r="K2403" s="6" t="str">
        <f t="shared" si="148"/>
        <v>g</v>
      </c>
      <c r="L2403" s="6" t="str">
        <f t="shared" si="149"/>
        <v>Sainsburys, Stamford Street Co</v>
      </c>
      <c r="M2403" s="6" t="str">
        <f t="shared" si="150"/>
        <v>Salted Peanuts</v>
      </c>
      <c r="N2403" s="6" t="str">
        <f t="shared" si="151"/>
        <v>Gb</v>
      </c>
    </row>
    <row r="2404" spans="1:14" x14ac:dyDescent="0.25">
      <c r="A2404" s="6" t="s">
        <v>5720</v>
      </c>
      <c r="B2404" s="6">
        <v>14181</v>
      </c>
      <c r="C2404" s="6" t="s">
        <v>5721</v>
      </c>
      <c r="D2404" s="7" t="s">
        <v>112</v>
      </c>
      <c r="E2404" s="6"/>
      <c r="F2404" s="6" t="s">
        <v>997</v>
      </c>
      <c r="G2404" s="8">
        <v>45698</v>
      </c>
      <c r="H2404" s="6">
        <v>18.77</v>
      </c>
      <c r="I2404" s="6" cm="1">
        <f t="array" ref="I2404">IFERROR(VALUE(TRIM(LEFT(E2404,MIN(FIND({" ";"g";"k";"m";"o"},E2404&amp;" gkmo"))-1))),0)</f>
        <v>0</v>
      </c>
      <c r="J2404" s="6" t="str" cm="1">
        <f t="array" ref="J2404">IFERROR(TRIM(MID(E2404,MIN(FIND({" ";"g";"k";"m";"o"},E2404&amp;" gkmo")),10)),"unknown")</f>
        <v/>
      </c>
      <c r="K2404" s="6" t="str">
        <f t="shared" si="148"/>
        <v>unknown</v>
      </c>
      <c r="L2404" s="6" t="str">
        <f t="shared" si="149"/>
        <v>Pringles</v>
      </c>
      <c r="M2404" s="6" t="str">
        <f t="shared" si="150"/>
        <v>Pringles Paprika 175 Gr</v>
      </c>
      <c r="N2404" s="6" t="str">
        <f t="shared" si="151"/>
        <v>Italy</v>
      </c>
    </row>
    <row r="2405" spans="1:14" x14ac:dyDescent="0.25">
      <c r="A2405" s="6" t="s">
        <v>5722</v>
      </c>
      <c r="B2405" s="6">
        <v>11211</v>
      </c>
      <c r="C2405" s="6" t="s">
        <v>5723</v>
      </c>
      <c r="D2405" s="7" t="s">
        <v>1703</v>
      </c>
      <c r="E2405" s="6" t="s">
        <v>5724</v>
      </c>
      <c r="F2405" s="6" t="s">
        <v>139</v>
      </c>
      <c r="G2405" s="8">
        <v>45699</v>
      </c>
      <c r="H2405" s="6">
        <v>19.829999999999998</v>
      </c>
      <c r="I2405" s="6" cm="1">
        <f t="array" ref="I2405">IFERROR(VALUE(TRIM(LEFT(E2405,MIN(FIND({" ";"g";"k";"m";"o"},E2405&amp;" gkmo"))-1))),0)</f>
        <v>0</v>
      </c>
      <c r="J2405" s="6" t="str" cm="1">
        <f t="array" ref="J2405">IFERROR(TRIM(MID(E2405,MIN(FIND({" ";"g";"k";"m";"o"},E2405&amp;" gkmo")),10)),"unknown")</f>
        <v>g</v>
      </c>
      <c r="K2405" s="6" t="str">
        <f t="shared" si="148"/>
        <v>g</v>
      </c>
      <c r="L2405" s="6" t="str">
        <f t="shared" si="149"/>
        <v>Ricola</v>
      </c>
      <c r="M2405" s="6" t="str">
        <f t="shared" si="150"/>
        <v>Eucalyptus</v>
      </c>
      <c r="N2405" s="6" t="str">
        <f t="shared" si="151"/>
        <v>France</v>
      </c>
    </row>
    <row r="2406" spans="1:14" x14ac:dyDescent="0.25">
      <c r="A2406" s="6" t="s">
        <v>5725</v>
      </c>
      <c r="B2406" s="6">
        <v>10071</v>
      </c>
      <c r="C2406" s="6" t="s">
        <v>5726</v>
      </c>
      <c r="D2406" s="7" t="s">
        <v>7017</v>
      </c>
      <c r="E2406" s="6" t="s">
        <v>423</v>
      </c>
      <c r="F2406" s="6" t="s">
        <v>139</v>
      </c>
      <c r="G2406" s="8">
        <v>45909</v>
      </c>
      <c r="H2406" s="6">
        <v>7.21</v>
      </c>
      <c r="I2406" s="6" cm="1">
        <f t="array" ref="I2406">IFERROR(VALUE(TRIM(LEFT(E2406,MIN(FIND({" ";"g";"k";"m";"o"},E2406&amp;" gkmo"))-1))),0)</f>
        <v>125</v>
      </c>
      <c r="J2406" s="6" t="str" cm="1">
        <f t="array" ref="J2406">IFERROR(TRIM(MID(E2406,MIN(FIND({" ";"g";"k";"m";"o"},E2406&amp;" gkmo")),10)),"unknown")</f>
        <v>g</v>
      </c>
      <c r="K2406" s="6" t="str">
        <f t="shared" si="148"/>
        <v>g</v>
      </c>
      <c r="L2406" s="6" t="str">
        <f t="shared" si="149"/>
        <v>Unknown</v>
      </c>
      <c r="M2406" s="6" t="str">
        <f t="shared" si="150"/>
        <v>Brets Saveur Pili Pili</v>
      </c>
      <c r="N2406" s="6" t="str">
        <f t="shared" si="151"/>
        <v>France</v>
      </c>
    </row>
    <row r="2407" spans="1:14" x14ac:dyDescent="0.25">
      <c r="A2407" s="6" t="s">
        <v>5727</v>
      </c>
      <c r="B2407" s="6">
        <v>13089</v>
      </c>
      <c r="C2407" s="6" t="s">
        <v>7017</v>
      </c>
      <c r="D2407" s="7" t="s">
        <v>613</v>
      </c>
      <c r="E2407" s="6" t="s">
        <v>2081</v>
      </c>
      <c r="F2407" s="6" t="s">
        <v>213</v>
      </c>
      <c r="G2407" s="8">
        <v>46014</v>
      </c>
      <c r="H2407" s="6">
        <v>13.16</v>
      </c>
      <c r="I2407" s="6" cm="1">
        <f t="array" ref="I2407">IFERROR(VALUE(TRIM(LEFT(E2407,MIN(FIND({" ";"g";"k";"m";"o"},E2407&amp;" gkmo"))-1))),0)</f>
        <v>120</v>
      </c>
      <c r="J2407" s="6" t="str" cm="1">
        <f t="array" ref="J2407">IFERROR(TRIM(MID(E2407,MIN(FIND({" ";"g";"k";"m";"o"},E2407&amp;" gkmo")),10)),"unknown")</f>
        <v>g</v>
      </c>
      <c r="K2407" s="6" t="str">
        <f t="shared" si="148"/>
        <v>g</v>
      </c>
      <c r="L2407" s="6" t="str">
        <f t="shared" si="149"/>
        <v>Nakd</v>
      </c>
      <c r="M2407" s="6" t="str">
        <f t="shared" si="150"/>
        <v>Unknown</v>
      </c>
      <c r="N2407" s="6" t="str">
        <f t="shared" si="151"/>
        <v>Belgium,France</v>
      </c>
    </row>
    <row r="2408" spans="1:14" x14ac:dyDescent="0.25">
      <c r="A2408" s="6" t="s">
        <v>5728</v>
      </c>
      <c r="B2408" s="6">
        <v>13320</v>
      </c>
      <c r="C2408" s="6" t="s">
        <v>5729</v>
      </c>
      <c r="D2408" s="7" t="s">
        <v>1424</v>
      </c>
      <c r="E2408" s="6" t="s">
        <v>24</v>
      </c>
      <c r="F2408" s="6" t="s">
        <v>177</v>
      </c>
      <c r="G2408" s="8">
        <v>45328</v>
      </c>
      <c r="H2408" s="6">
        <v>23.24</v>
      </c>
      <c r="I2408" s="6" cm="1">
        <f t="array" ref="I2408">IFERROR(VALUE(TRIM(LEFT(E2408,MIN(FIND({" ";"g";"k";"m";"o"},E2408&amp;" gkmo"))-1))),0)</f>
        <v>230</v>
      </c>
      <c r="J2408" s="6" t="str" cm="1">
        <f t="array" ref="J2408">IFERROR(TRIM(MID(E2408,MIN(FIND({" ";"g";"k";"m";"o"},E2408&amp;" gkmo")),10)),"unknown")</f>
        <v>g</v>
      </c>
      <c r="K2408" s="6" t="str">
        <f t="shared" si="148"/>
        <v>g</v>
      </c>
      <c r="L2408" s="6" t="str">
        <f t="shared" si="149"/>
        <v>Jacob'S</v>
      </c>
      <c r="M2408" s="6" t="str">
        <f t="shared" si="150"/>
        <v>Krackwheat</v>
      </c>
      <c r="N2408" s="6" t="str">
        <f t="shared" si="151"/>
        <v>United Kingdom</v>
      </c>
    </row>
    <row r="2409" spans="1:14" x14ac:dyDescent="0.25">
      <c r="A2409" s="6" t="s">
        <v>5730</v>
      </c>
      <c r="B2409" s="6">
        <v>11166</v>
      </c>
      <c r="C2409" s="6" t="s">
        <v>5731</v>
      </c>
      <c r="D2409" s="7" t="s">
        <v>854</v>
      </c>
      <c r="E2409" s="6" t="s">
        <v>10</v>
      </c>
      <c r="F2409" s="6" t="s">
        <v>601</v>
      </c>
      <c r="G2409" s="8">
        <v>45441</v>
      </c>
      <c r="H2409" s="6">
        <v>14.23</v>
      </c>
      <c r="I2409" s="6" cm="1">
        <f t="array" ref="I2409">IFERROR(VALUE(TRIM(LEFT(E2409,MIN(FIND({" ";"g";"k";"m";"o"},E2409&amp;" gkmo"))-1))),0)</f>
        <v>100</v>
      </c>
      <c r="J2409" s="6" t="str" cm="1">
        <f t="array" ref="J2409">IFERROR(TRIM(MID(E2409,MIN(FIND({" ";"g";"k";"m";"o"},E2409&amp;" gkmo")),10)),"unknown")</f>
        <v>g</v>
      </c>
      <c r="K2409" s="6" t="str">
        <f t="shared" si="148"/>
        <v>g</v>
      </c>
      <c r="L2409" s="6" t="str">
        <f t="shared" si="149"/>
        <v>Carrefour</v>
      </c>
      <c r="M2409" s="6" t="str">
        <f t="shared" si="150"/>
        <v>Vegetables* Carottes, Betteraves, Patates Douces, Panais</v>
      </c>
      <c r="N2409" s="6" t="str">
        <f t="shared" si="151"/>
        <v>France,Spain</v>
      </c>
    </row>
    <row r="2410" spans="1:14" x14ac:dyDescent="0.25">
      <c r="A2410" s="6" t="s">
        <v>5732</v>
      </c>
      <c r="B2410" s="6">
        <v>5019</v>
      </c>
      <c r="C2410" s="6" t="s">
        <v>5733</v>
      </c>
      <c r="D2410" s="7" t="s">
        <v>2142</v>
      </c>
      <c r="E2410" s="6" t="s">
        <v>5734</v>
      </c>
      <c r="F2410" s="6" t="s">
        <v>177</v>
      </c>
      <c r="G2410" s="8">
        <v>45409</v>
      </c>
      <c r="H2410" s="6">
        <v>13.8</v>
      </c>
      <c r="I2410" s="6" cm="1">
        <f t="array" ref="I2410">IFERROR(VALUE(TRIM(LEFT(E2410,MIN(FIND({" ";"g";"k";"m";"o"},E2410&amp;" gkmo"))-1))),0)</f>
        <v>17</v>
      </c>
      <c r="J2410" s="6" t="str" cm="1">
        <f t="array" ref="J2410">IFERROR(TRIM(MID(E2410,MIN(FIND({" ";"g";"k";"m";"o"},E2410&amp;" gkmo")),10)),"unknown")</f>
        <v>g</v>
      </c>
      <c r="K2410" s="6" t="str">
        <f t="shared" si="148"/>
        <v>g</v>
      </c>
      <c r="L2410" s="6" t="str">
        <f t="shared" si="149"/>
        <v>Popchips</v>
      </c>
      <c r="M2410" s="6" t="str">
        <f t="shared" si="150"/>
        <v>Bbq Popchips</v>
      </c>
      <c r="N2410" s="6" t="str">
        <f t="shared" si="151"/>
        <v>United Kingdom</v>
      </c>
    </row>
    <row r="2411" spans="1:14" x14ac:dyDescent="0.25">
      <c r="A2411" s="6" t="s">
        <v>5735</v>
      </c>
      <c r="B2411" s="6">
        <v>13235</v>
      </c>
      <c r="C2411" s="6" t="s">
        <v>5736</v>
      </c>
      <c r="D2411" s="7" t="s">
        <v>5737</v>
      </c>
      <c r="E2411" s="6" t="s">
        <v>18</v>
      </c>
      <c r="F2411" s="6" t="s">
        <v>5738</v>
      </c>
      <c r="G2411" s="8">
        <v>45466</v>
      </c>
      <c r="H2411" s="6">
        <v>18.64</v>
      </c>
      <c r="I2411" s="6" cm="1">
        <f t="array" ref="I2411">IFERROR(VALUE(TRIM(LEFT(E2411,MIN(FIND({" ";"g";"k";"m";"o"},E2411&amp;" gkmo"))-1))),0)</f>
        <v>100</v>
      </c>
      <c r="J2411" s="6" t="str" cm="1">
        <f t="array" ref="J2411">IFERROR(TRIM(MID(E2411,MIN(FIND({" ";"g";"k";"m";"o"},E2411&amp;" gkmo")),10)),"unknown")</f>
        <v>g</v>
      </c>
      <c r="K2411" s="6" t="str">
        <f t="shared" si="148"/>
        <v>g</v>
      </c>
      <c r="L2411" s="6" t="str">
        <f t="shared" si="149"/>
        <v>Parle, Britannia</v>
      </c>
      <c r="M2411" s="6" t="str">
        <f t="shared" si="150"/>
        <v>Parle-G</v>
      </c>
      <c r="N2411" s="6" t="str">
        <f t="shared" si="151"/>
        <v>United States,India</v>
      </c>
    </row>
    <row r="2412" spans="1:14" x14ac:dyDescent="0.25">
      <c r="A2412" s="6" t="s">
        <v>5739</v>
      </c>
      <c r="B2412" s="6">
        <v>6950</v>
      </c>
      <c r="C2412" s="6" t="s">
        <v>1230</v>
      </c>
      <c r="D2412" s="7" t="s">
        <v>1231</v>
      </c>
      <c r="E2412" s="6" t="s">
        <v>5740</v>
      </c>
      <c r="F2412" s="6" t="s">
        <v>139</v>
      </c>
      <c r="G2412" s="8">
        <v>45797</v>
      </c>
      <c r="H2412" s="6">
        <v>21.58</v>
      </c>
      <c r="I2412" s="6" cm="1">
        <f t="array" ref="I2412">IFERROR(VALUE(TRIM(LEFT(E2412,MIN(FIND({" ";"g";"k";"m";"o"},E2412&amp;" gkmo"))-1))),0)</f>
        <v>370</v>
      </c>
      <c r="J2412" s="6" t="str" cm="1">
        <f t="array" ref="J2412">IFERROR(TRIM(MID(E2412,MIN(FIND({" ";"g";"k";"m";"o"},E2412&amp;" gkmo")),10)),"unknown")</f>
        <v>g</v>
      </c>
      <c r="K2412" s="6" t="str">
        <f t="shared" si="148"/>
        <v>g</v>
      </c>
      <c r="L2412" s="6" t="str">
        <f t="shared" si="149"/>
        <v>Lay'S, Lays</v>
      </c>
      <c r="M2412" s="6" t="str">
        <f t="shared" si="150"/>
        <v>Chips Nature</v>
      </c>
      <c r="N2412" s="6" t="str">
        <f t="shared" si="151"/>
        <v>France</v>
      </c>
    </row>
    <row r="2413" spans="1:14" x14ac:dyDescent="0.25">
      <c r="A2413" s="6" t="s">
        <v>5741</v>
      </c>
      <c r="B2413" s="6">
        <v>7309</v>
      </c>
      <c r="C2413" s="6" t="s">
        <v>5742</v>
      </c>
      <c r="D2413" s="7" t="s">
        <v>1630</v>
      </c>
      <c r="E2413" s="6"/>
      <c r="F2413" s="6" t="s">
        <v>8150</v>
      </c>
      <c r="G2413" s="8">
        <v>45908</v>
      </c>
      <c r="H2413" s="6">
        <v>4.83</v>
      </c>
      <c r="I2413" s="6" cm="1">
        <f t="array" ref="I2413">IFERROR(VALUE(TRIM(LEFT(E2413,MIN(FIND({" ";"g";"k";"m";"o"},E2413&amp;" gkmo"))-1))),0)</f>
        <v>0</v>
      </c>
      <c r="J2413" s="6" t="str" cm="1">
        <f t="array" ref="J2413">IFERROR(TRIM(MID(E2413,MIN(FIND({" ";"g";"k";"m";"o"},E2413&amp;" gkmo")),10)),"unknown")</f>
        <v/>
      </c>
      <c r="K2413" s="6" t="str">
        <f t="shared" si="148"/>
        <v>unknown</v>
      </c>
      <c r="L2413" s="6" t="str">
        <f t="shared" si="149"/>
        <v>Delacre</v>
      </c>
      <c r="M2413" s="6" t="str">
        <f t="shared" si="150"/>
        <v>Cookies Classique Noisette</v>
      </c>
      <c r="N2413" s="6" t="str">
        <f t="shared" si="151"/>
        <v>Belgium, France, Italy</v>
      </c>
    </row>
    <row r="2414" spans="1:14" x14ac:dyDescent="0.25">
      <c r="A2414" s="6" t="s">
        <v>5743</v>
      </c>
      <c r="B2414" s="6">
        <v>9662</v>
      </c>
      <c r="C2414" s="6" t="s">
        <v>5744</v>
      </c>
      <c r="D2414" s="7" t="s">
        <v>906</v>
      </c>
      <c r="E2414" s="6"/>
      <c r="F2414" s="6" t="s">
        <v>2973</v>
      </c>
      <c r="G2414" s="8">
        <v>45908</v>
      </c>
      <c r="H2414" s="6">
        <v>2.08</v>
      </c>
      <c r="I2414" s="6" cm="1">
        <f t="array" ref="I2414">IFERROR(VALUE(TRIM(LEFT(E2414,MIN(FIND({" ";"g";"k";"m";"o"},E2414&amp;" gkmo"))-1))),0)</f>
        <v>0</v>
      </c>
      <c r="J2414" s="6" t="str" cm="1">
        <f t="array" ref="J2414">IFERROR(TRIM(MID(E2414,MIN(FIND({" ";"g";"k";"m";"o"},E2414&amp;" gkmo")),10)),"unknown")</f>
        <v/>
      </c>
      <c r="K2414" s="6" t="str">
        <f t="shared" si="148"/>
        <v>unknown</v>
      </c>
      <c r="L2414" s="6" t="str">
        <f t="shared" si="149"/>
        <v>Sainsbury'S</v>
      </c>
      <c r="M2414" s="6" t="str">
        <f t="shared" si="150"/>
        <v>Taste The Difference Brioche Burger Bun</v>
      </c>
      <c r="N2414" s="6" t="str">
        <f t="shared" si="151"/>
        <v>Gb</v>
      </c>
    </row>
    <row r="2415" spans="1:14" x14ac:dyDescent="0.25">
      <c r="A2415" s="6" t="s">
        <v>5745</v>
      </c>
      <c r="B2415" s="6">
        <v>7153</v>
      </c>
      <c r="C2415" s="6" t="s">
        <v>5746</v>
      </c>
      <c r="D2415" s="7" t="s">
        <v>5747</v>
      </c>
      <c r="E2415" s="6"/>
      <c r="F2415" s="6" t="s">
        <v>139</v>
      </c>
      <c r="G2415" s="8">
        <v>45959</v>
      </c>
      <c r="H2415" s="6">
        <v>14.94</v>
      </c>
      <c r="I2415" s="6" cm="1">
        <f t="array" ref="I2415">IFERROR(VALUE(TRIM(LEFT(E2415,MIN(FIND({" ";"g";"k";"m";"o"},E2415&amp;" gkmo"))-1))),0)</f>
        <v>0</v>
      </c>
      <c r="J2415" s="6" t="str" cm="1">
        <f t="array" ref="J2415">IFERROR(TRIM(MID(E2415,MIN(FIND({" ";"g";"k";"m";"o"},E2415&amp;" gkmo")),10)),"unknown")</f>
        <v/>
      </c>
      <c r="K2415" s="6" t="str">
        <f t="shared" si="148"/>
        <v>unknown</v>
      </c>
      <c r="L2415" s="6" t="str">
        <f t="shared" si="149"/>
        <v>Le Pain Des Fleurs</v>
      </c>
      <c r="M2415" s="6" t="str">
        <f t="shared" si="150"/>
        <v>Tartines Craquantes Noisette Imp</v>
      </c>
      <c r="N2415" s="6" t="str">
        <f t="shared" si="151"/>
        <v>France</v>
      </c>
    </row>
    <row r="2416" spans="1:14" x14ac:dyDescent="0.25">
      <c r="A2416" s="6" t="s">
        <v>5748</v>
      </c>
      <c r="B2416" s="6">
        <v>8331</v>
      </c>
      <c r="C2416" s="6" t="s">
        <v>7367</v>
      </c>
      <c r="D2416" s="7" t="s">
        <v>613</v>
      </c>
      <c r="E2416" s="6" t="s">
        <v>304</v>
      </c>
      <c r="F2416" s="6" t="s">
        <v>5749</v>
      </c>
      <c r="G2416" s="8">
        <v>45903</v>
      </c>
      <c r="H2416" s="6">
        <v>13.31</v>
      </c>
      <c r="I2416" s="6" cm="1">
        <f t="array" ref="I2416">IFERROR(VALUE(TRIM(LEFT(E2416,MIN(FIND({" ";"g";"k";"m";"o"},E2416&amp;" gkmo"))-1))),0)</f>
        <v>135</v>
      </c>
      <c r="J2416" s="6" t="str" cm="1">
        <f t="array" ref="J2416">IFERROR(TRIM(MID(E2416,MIN(FIND({" ";"g";"k";"m";"o"},E2416&amp;" gkmo")),10)),"unknown")</f>
        <v>g</v>
      </c>
      <c r="K2416" s="6" t="str">
        <f t="shared" si="148"/>
        <v>g</v>
      </c>
      <c r="L2416" s="6" t="str">
        <f t="shared" si="149"/>
        <v>Nakd</v>
      </c>
      <c r="M2416" s="6" t="str">
        <f t="shared" si="150"/>
        <v>Nakd Protein - Caramel - | Barres Protéinées | 7G De Protéines Végétales | 100% D'Ingrédients Naturels | Sans Sucres Ajoutés | 3 X 45G | 135G</v>
      </c>
      <c r="N2416" s="6" t="str">
        <f t="shared" si="151"/>
        <v>United Kingdom,Netherlands, France</v>
      </c>
    </row>
    <row r="2417" spans="1:14" x14ac:dyDescent="0.25">
      <c r="A2417" s="6" t="s">
        <v>5750</v>
      </c>
      <c r="B2417" s="6">
        <v>5977</v>
      </c>
      <c r="C2417" s="6" t="s">
        <v>7840</v>
      </c>
      <c r="D2417" s="7" t="s">
        <v>5751</v>
      </c>
      <c r="E2417" s="6" t="s">
        <v>2045</v>
      </c>
      <c r="F2417" s="6" t="s">
        <v>8015</v>
      </c>
      <c r="G2417" s="8">
        <v>46033</v>
      </c>
      <c r="H2417" s="6">
        <v>13.28</v>
      </c>
      <c r="I2417" s="6" cm="1">
        <f t="array" ref="I2417">IFERROR(VALUE(TRIM(LEFT(E2417,MIN(FIND({" ";"g";"k";"m";"o"},E2417&amp;" gkmo"))-1))),0)</f>
        <v>175</v>
      </c>
      <c r="J2417" s="6" t="str" cm="1">
        <f t="array" ref="J2417">IFERROR(TRIM(MID(E2417,MIN(FIND({" ";"g";"k";"m";"o"},E2417&amp;" gkmo")),10)),"unknown")</f>
        <v>g</v>
      </c>
      <c r="K2417" s="6" t="str">
        <f t="shared" si="148"/>
        <v>g</v>
      </c>
      <c r="L2417" s="6" t="str">
        <f t="shared" si="149"/>
        <v>Katjes</v>
      </c>
      <c r="M2417" s="6" t="str">
        <f t="shared" si="150"/>
        <v>Grà¼N-Ohr Hase Vegan</v>
      </c>
      <c r="N2417" s="6" t="str">
        <f t="shared" si="151"/>
        <v>Germany, Austria</v>
      </c>
    </row>
    <row r="2418" spans="1:14" x14ac:dyDescent="0.25">
      <c r="A2418" s="6" t="s">
        <v>5752</v>
      </c>
      <c r="B2418" s="6">
        <v>11834</v>
      </c>
      <c r="C2418" s="6" t="s">
        <v>2121</v>
      </c>
      <c r="D2418" s="7" t="s">
        <v>248</v>
      </c>
      <c r="E2418" s="6"/>
      <c r="F2418" s="6" t="s">
        <v>2155</v>
      </c>
      <c r="G2418" s="8">
        <v>45438</v>
      </c>
      <c r="H2418" s="6">
        <v>17.54</v>
      </c>
      <c r="I2418" s="6" cm="1">
        <f t="array" ref="I2418">IFERROR(VALUE(TRIM(LEFT(E2418,MIN(FIND({" ";"g";"k";"m";"o"},E2418&amp;" gkmo"))-1))),0)</f>
        <v>0</v>
      </c>
      <c r="J2418" s="6" t="str" cm="1">
        <f t="array" ref="J2418">IFERROR(TRIM(MID(E2418,MIN(FIND({" ";"g";"k";"m";"o"},E2418&amp;" gkmo")),10)),"unknown")</f>
        <v/>
      </c>
      <c r="K2418" s="6" t="str">
        <f t="shared" si="148"/>
        <v>unknown</v>
      </c>
      <c r="L2418" s="6" t="str">
        <f t="shared" si="149"/>
        <v>Tesco</v>
      </c>
      <c r="M2418" s="6" t="str">
        <f t="shared" si="150"/>
        <v>Digestive</v>
      </c>
      <c r="N2418" s="6" t="str">
        <f t="shared" si="151"/>
        <v>Germany,United Kingdom</v>
      </c>
    </row>
    <row r="2419" spans="1:14" x14ac:dyDescent="0.25">
      <c r="A2419" s="6" t="s">
        <v>5753</v>
      </c>
      <c r="B2419" s="6">
        <v>6050</v>
      </c>
      <c r="C2419" s="6" t="s">
        <v>7903</v>
      </c>
      <c r="D2419" s="7" t="s">
        <v>4922</v>
      </c>
      <c r="E2419" s="6" t="s">
        <v>5754</v>
      </c>
      <c r="F2419" s="6" t="s">
        <v>3924</v>
      </c>
      <c r="G2419" s="8">
        <v>46021</v>
      </c>
      <c r="H2419" s="6">
        <v>17.68</v>
      </c>
      <c r="I2419" s="6" cm="1">
        <f t="array" ref="I2419">IFERROR(VALUE(TRIM(LEFT(E2419,MIN(FIND({" ";"g";"k";"m";"o"},E2419&amp;" gkmo"))-1))),0)</f>
        <v>187</v>
      </c>
      <c r="J2419" s="6" t="str" cm="1">
        <f t="array" ref="J2419">IFERROR(TRIM(MID(E2419,MIN(FIND({" ";"g";"k";"m";"o"},E2419&amp;" gkmo")),10)),"unknown")</f>
        <v>g</v>
      </c>
      <c r="K2419" s="6" t="str">
        <f t="shared" si="148"/>
        <v>g</v>
      </c>
      <c r="L2419" s="6" t="str">
        <f t="shared" si="149"/>
        <v>M&amp;M'S</v>
      </c>
      <c r="M2419" s="6" t="str">
        <f t="shared" si="150"/>
        <v>M&amp;M'S Crispy</v>
      </c>
      <c r="N2419" s="6" t="str">
        <f t="shared" si="151"/>
        <v>France,Netherlands</v>
      </c>
    </row>
    <row r="2420" spans="1:14" x14ac:dyDescent="0.25">
      <c r="A2420" s="6" t="s">
        <v>5755</v>
      </c>
      <c r="B2420" s="6">
        <v>12789</v>
      </c>
      <c r="C2420" s="6" t="s">
        <v>5756</v>
      </c>
      <c r="D2420" s="7" t="s">
        <v>5757</v>
      </c>
      <c r="E2420" s="6" t="s">
        <v>64</v>
      </c>
      <c r="F2420" s="6" t="s">
        <v>177</v>
      </c>
      <c r="G2420" s="8">
        <v>45409</v>
      </c>
      <c r="H2420" s="6">
        <v>10.6</v>
      </c>
      <c r="I2420" s="6" cm="1">
        <f t="array" ref="I2420">IFERROR(VALUE(TRIM(LEFT(E2420,MIN(FIND({" ";"g";"k";"m";"o"},E2420&amp;" gkmo"))-1))),0)</f>
        <v>150</v>
      </c>
      <c r="J2420" s="6" t="str" cm="1">
        <f t="array" ref="J2420">IFERROR(TRIM(MID(E2420,MIN(FIND({" ";"g";"k";"m";"o"},E2420&amp;" gkmo")),10)),"unknown")</f>
        <v>g</v>
      </c>
      <c r="K2420" s="6" t="str">
        <f t="shared" si="148"/>
        <v>g</v>
      </c>
      <c r="L2420" s="6" t="str">
        <f t="shared" si="149"/>
        <v>Walkers, Sensations</v>
      </c>
      <c r="M2420" s="6" t="str">
        <f t="shared" si="150"/>
        <v>Crushed Sea Salt &amp; Black Peppercorn Crisps</v>
      </c>
      <c r="N2420" s="6" t="str">
        <f t="shared" si="151"/>
        <v>United Kingdom</v>
      </c>
    </row>
    <row r="2421" spans="1:14" x14ac:dyDescent="0.25">
      <c r="A2421" s="6" t="s">
        <v>5758</v>
      </c>
      <c r="B2421" s="6">
        <v>9364</v>
      </c>
      <c r="C2421" s="6" t="s">
        <v>7509</v>
      </c>
      <c r="D2421" s="7" t="s">
        <v>7017</v>
      </c>
      <c r="E2421" s="6"/>
      <c r="F2421" s="6" t="s">
        <v>5759</v>
      </c>
      <c r="G2421" s="8">
        <v>45339</v>
      </c>
      <c r="H2421" s="6">
        <v>15.64</v>
      </c>
      <c r="I2421" s="6" cm="1">
        <f t="array" ref="I2421">IFERROR(VALUE(TRIM(LEFT(E2421,MIN(FIND({" ";"g";"k";"m";"o"},E2421&amp;" gkmo"))-1))),0)</f>
        <v>0</v>
      </c>
      <c r="J2421" s="6" t="str" cm="1">
        <f t="array" ref="J2421">IFERROR(TRIM(MID(E2421,MIN(FIND({" ";"g";"k";"m";"o"},E2421&amp;" gkmo")),10)),"unknown")</f>
        <v/>
      </c>
      <c r="K2421" s="6" t="str">
        <f t="shared" si="148"/>
        <v>unknown</v>
      </c>
      <c r="L2421" s="6" t="str">
        <f t="shared" si="149"/>
        <v>Unknown</v>
      </c>
      <c r="M2421" s="6" t="str">
        <f t="shared" si="150"/>
        <v>Barre Cacahuètes Caramel Chocolat</v>
      </c>
      <c r="N2421" s="6" t="str">
        <f t="shared" si="151"/>
        <v>Fr</v>
      </c>
    </row>
    <row r="2422" spans="1:14" x14ac:dyDescent="0.25">
      <c r="A2422" s="6" t="s">
        <v>5760</v>
      </c>
      <c r="B2422" s="6">
        <v>7623</v>
      </c>
      <c r="C2422" s="6" t="s">
        <v>5761</v>
      </c>
      <c r="D2422" s="7" t="s">
        <v>112</v>
      </c>
      <c r="E2422" s="6" t="s">
        <v>621</v>
      </c>
      <c r="F2422" s="6" t="s">
        <v>8151</v>
      </c>
      <c r="G2422" s="8">
        <v>45684</v>
      </c>
      <c r="H2422" s="6">
        <v>7.7</v>
      </c>
      <c r="I2422" s="6" cm="1">
        <f t="array" ref="I2422">IFERROR(VALUE(TRIM(LEFT(E2422,MIN(FIND({" ";"g";"k";"m";"o"},E2422&amp;" gkmo"))-1))),0)</f>
        <v>160</v>
      </c>
      <c r="J2422" s="6" t="str" cm="1">
        <f t="array" ref="J2422">IFERROR(TRIM(MID(E2422,MIN(FIND({" ";"g";"k";"m";"o"},E2422&amp;" gkmo")),10)),"unknown")</f>
        <v>g</v>
      </c>
      <c r="K2422" s="6" t="str">
        <f t="shared" si="148"/>
        <v>g</v>
      </c>
      <c r="L2422" s="6" t="str">
        <f t="shared" si="149"/>
        <v>Pringles</v>
      </c>
      <c r="M2422" s="6" t="str">
        <f t="shared" si="150"/>
        <v>Hot Kickin' Sour Cream Flavour</v>
      </c>
      <c r="N2422" s="6" t="str">
        <f t="shared" si="151"/>
        <v>Germany, United Kingdom, Morocco</v>
      </c>
    </row>
    <row r="2423" spans="1:14" x14ac:dyDescent="0.25">
      <c r="A2423" s="6" t="s">
        <v>5762</v>
      </c>
      <c r="B2423" s="6">
        <v>12872</v>
      </c>
      <c r="C2423" s="6" t="s">
        <v>1406</v>
      </c>
      <c r="D2423" s="7" t="s">
        <v>2594</v>
      </c>
      <c r="E2423" s="6" t="s">
        <v>5763</v>
      </c>
      <c r="F2423" s="6" t="s">
        <v>139</v>
      </c>
      <c r="G2423" s="8">
        <v>45452</v>
      </c>
      <c r="H2423" s="6">
        <v>13.16</v>
      </c>
      <c r="I2423" s="6" cm="1">
        <f t="array" ref="I2423">IFERROR(VALUE(TRIM(LEFT(E2423,MIN(FIND({" ";"g";"k";"m";"o"},E2423&amp;" gkmo"))-1))),0)</f>
        <v>95</v>
      </c>
      <c r="J2423" s="6" t="str" cm="1">
        <f t="array" ref="J2423">IFERROR(TRIM(MID(E2423,MIN(FIND({" ";"g";"k";"m";"o"},E2423&amp;" gkmo")),10)),"unknown")</f>
        <v>g</v>
      </c>
      <c r="K2423" s="6" t="str">
        <f t="shared" si="148"/>
        <v>g</v>
      </c>
      <c r="L2423" s="6" t="str">
        <f t="shared" si="149"/>
        <v>Belin</v>
      </c>
      <c r="M2423" s="6" t="str">
        <f t="shared" si="150"/>
        <v>Monaco</v>
      </c>
      <c r="N2423" s="6" t="str">
        <f t="shared" si="151"/>
        <v>France</v>
      </c>
    </row>
    <row r="2424" spans="1:14" x14ac:dyDescent="0.25">
      <c r="A2424" s="6" t="s">
        <v>5764</v>
      </c>
      <c r="B2424" s="6">
        <v>6712</v>
      </c>
      <c r="C2424" s="6" t="s">
        <v>5765</v>
      </c>
      <c r="D2424" s="7" t="s">
        <v>7017</v>
      </c>
      <c r="E2424" s="6" t="s">
        <v>780</v>
      </c>
      <c r="F2424" s="6" t="s">
        <v>177</v>
      </c>
      <c r="G2424" s="8">
        <v>45657</v>
      </c>
      <c r="H2424" s="6">
        <v>17.82</v>
      </c>
      <c r="I2424" s="6" cm="1">
        <f t="array" ref="I2424">IFERROR(VALUE(TRIM(LEFT(E2424,MIN(FIND({" ";"g";"k";"m";"o"},E2424&amp;" gkmo"))-1))),0)</f>
        <v>18</v>
      </c>
      <c r="J2424" s="6" t="str" cm="1">
        <f t="array" ref="J2424">IFERROR(TRIM(MID(E2424,MIN(FIND({" ";"g";"k";"m";"o"},E2424&amp;" gkmo")),10)),"unknown")</f>
        <v>g</v>
      </c>
      <c r="K2424" s="6" t="str">
        <f t="shared" si="148"/>
        <v>g</v>
      </c>
      <c r="L2424" s="6" t="str">
        <f t="shared" si="149"/>
        <v>Unknown</v>
      </c>
      <c r="M2424" s="6" t="str">
        <f t="shared" si="150"/>
        <v>Salted Lentil Chips</v>
      </c>
      <c r="N2424" s="6" t="str">
        <f t="shared" si="151"/>
        <v>United Kingdom</v>
      </c>
    </row>
    <row r="2425" spans="1:14" x14ac:dyDescent="0.25">
      <c r="A2425" s="6" t="s">
        <v>5766</v>
      </c>
      <c r="B2425" s="6">
        <v>9486</v>
      </c>
      <c r="C2425" s="6" t="s">
        <v>5767</v>
      </c>
      <c r="D2425" s="7" t="s">
        <v>1402</v>
      </c>
      <c r="E2425" s="6" t="s">
        <v>5768</v>
      </c>
      <c r="F2425" s="6" t="s">
        <v>177</v>
      </c>
      <c r="G2425" s="8">
        <v>46025</v>
      </c>
      <c r="H2425" s="6">
        <v>13.95</v>
      </c>
      <c r="I2425" s="6" cm="1">
        <f t="array" ref="I2425">IFERROR(VALUE(TRIM(LEFT(E2425,MIN(FIND({" ";"g";"k";"m";"o"},E2425&amp;" gkmo"))-1))),0)</f>
        <v>40</v>
      </c>
      <c r="J2425" s="6" t="str" cm="1">
        <f t="array" ref="J2425">IFERROR(TRIM(MID(E2425,MIN(FIND({" ";"g";"k";"m";"o"},E2425&amp;" gkmo")),10)),"unknown")</f>
        <v>gram</v>
      </c>
      <c r="K2425" s="6" t="str">
        <f t="shared" si="148"/>
        <v>g</v>
      </c>
      <c r="L2425" s="6" t="str">
        <f t="shared" si="149"/>
        <v>Eat Natural</v>
      </c>
      <c r="M2425" s="6" t="str">
        <f t="shared" si="150"/>
        <v>Eat Natural Dark Chocolate With Cranberries And Macadam</v>
      </c>
      <c r="N2425" s="6" t="str">
        <f t="shared" si="151"/>
        <v>United Kingdom</v>
      </c>
    </row>
    <row r="2426" spans="1:14" x14ac:dyDescent="0.25">
      <c r="A2426" s="6" t="s">
        <v>5769</v>
      </c>
      <c r="B2426" s="6">
        <v>7080</v>
      </c>
      <c r="C2426" s="6" t="s">
        <v>5770</v>
      </c>
      <c r="D2426" s="7" t="s">
        <v>578</v>
      </c>
      <c r="E2426" s="6" t="s">
        <v>1977</v>
      </c>
      <c r="F2426" s="6" t="s">
        <v>2155</v>
      </c>
      <c r="G2426" s="8">
        <v>45474</v>
      </c>
      <c r="H2426" s="6">
        <v>14.83</v>
      </c>
      <c r="I2426" s="6" cm="1">
        <f t="array" ref="I2426">IFERROR(VALUE(TRIM(LEFT(E2426,MIN(FIND({" ";"g";"k";"m";"o"},E2426&amp;" gkmo"))-1))),0)</f>
        <v>170</v>
      </c>
      <c r="J2426" s="6" t="str" cm="1">
        <f t="array" ref="J2426">IFERROR(TRIM(MID(E2426,MIN(FIND({" ";"g";"k";"m";"o"},E2426&amp;" gkmo")),10)),"unknown")</f>
        <v>g</v>
      </c>
      <c r="K2426" s="6" t="str">
        <f t="shared" si="148"/>
        <v>g</v>
      </c>
      <c r="L2426" s="6" t="str">
        <f t="shared" si="149"/>
        <v>Marks &amp; Spencer</v>
      </c>
      <c r="M2426" s="6" t="str">
        <f t="shared" si="150"/>
        <v>Percy Pig</v>
      </c>
      <c r="N2426" s="6" t="str">
        <f t="shared" si="151"/>
        <v>Germany,United Kingdom</v>
      </c>
    </row>
    <row r="2427" spans="1:14" x14ac:dyDescent="0.25">
      <c r="A2427" s="6" t="s">
        <v>5771</v>
      </c>
      <c r="B2427" s="6">
        <v>10434</v>
      </c>
      <c r="C2427" s="6" t="s">
        <v>5772</v>
      </c>
      <c r="D2427" s="7" t="s">
        <v>7017</v>
      </c>
      <c r="E2427" s="6" t="s">
        <v>5773</v>
      </c>
      <c r="F2427" s="6" t="s">
        <v>2682</v>
      </c>
      <c r="G2427" s="8">
        <v>46001</v>
      </c>
      <c r="H2427" s="6">
        <v>18.61</v>
      </c>
      <c r="I2427" s="6" cm="1">
        <f t="array" ref="I2427">IFERROR(VALUE(TRIM(LEFT(E2427,MIN(FIND({" ";"g";"k";"m";"o"},E2427&amp;" gkmo"))-1))),0)</f>
        <v>20</v>
      </c>
      <c r="J2427" s="6" t="str" cm="1">
        <f t="array" ref="J2427">IFERROR(TRIM(MID(E2427,MIN(FIND({" ";"g";"k";"m";"o"},E2427&amp;" gkmo")),10)),"unknown")</f>
        <v>OZ (567g)</v>
      </c>
      <c r="K2427" s="6" t="str">
        <f t="shared" si="148"/>
        <v>g</v>
      </c>
      <c r="L2427" s="6" t="str">
        <f t="shared" si="149"/>
        <v>Unknown</v>
      </c>
      <c r="M2427" s="6" t="str">
        <f t="shared" si="150"/>
        <v>Raisins</v>
      </c>
      <c r="N2427" s="6" t="str">
        <f t="shared" si="151"/>
        <v>United States</v>
      </c>
    </row>
    <row r="2428" spans="1:14" x14ac:dyDescent="0.25">
      <c r="A2428" s="6" t="s">
        <v>5774</v>
      </c>
      <c r="B2428" s="6">
        <v>10033</v>
      </c>
      <c r="C2428" s="6" t="s">
        <v>5775</v>
      </c>
      <c r="D2428" s="7" t="s">
        <v>7017</v>
      </c>
      <c r="E2428" s="6" t="s">
        <v>5776</v>
      </c>
      <c r="F2428" s="6" t="s">
        <v>3860</v>
      </c>
      <c r="G2428" s="8">
        <v>45953</v>
      </c>
      <c r="H2428" s="6">
        <v>13.16</v>
      </c>
      <c r="I2428" s="6" cm="1">
        <f t="array" ref="I2428">IFERROR(VALUE(TRIM(LEFT(E2428,MIN(FIND({" ";"g";"k";"m";"o"},E2428&amp;" gkmo"))-1))),0)</f>
        <v>28</v>
      </c>
      <c r="J2428" s="6" t="str" cm="1">
        <f t="array" ref="J2428">IFERROR(TRIM(MID(E2428,MIN(FIND({" ";"g";"k";"m";"o"},E2428&amp;" gkmo")),10)),"unknown")</f>
        <v>oz</v>
      </c>
      <c r="K2428" s="6" t="str">
        <f t="shared" si="148"/>
        <v>unknown</v>
      </c>
      <c r="L2428" s="6" t="str">
        <f t="shared" si="149"/>
        <v>Unknown</v>
      </c>
      <c r="M2428" s="6" t="str">
        <f t="shared" si="150"/>
        <v>Pretzel Crisps Original Organic</v>
      </c>
      <c r="N2428" s="6" t="str">
        <f t="shared" si="151"/>
        <v>United States, World</v>
      </c>
    </row>
    <row r="2429" spans="1:14" x14ac:dyDescent="0.25">
      <c r="A2429" s="6" t="s">
        <v>5777</v>
      </c>
      <c r="B2429" s="6">
        <v>12129</v>
      </c>
      <c r="C2429" s="6" t="s">
        <v>5778</v>
      </c>
      <c r="D2429" s="7" t="s">
        <v>906</v>
      </c>
      <c r="E2429" s="6" t="s">
        <v>18</v>
      </c>
      <c r="F2429" s="6" t="s">
        <v>220</v>
      </c>
      <c r="G2429" s="8">
        <v>45873</v>
      </c>
      <c r="H2429" s="6">
        <v>15.16</v>
      </c>
      <c r="I2429" s="6" cm="1">
        <f t="array" ref="I2429">IFERROR(VALUE(TRIM(LEFT(E2429,MIN(FIND({" ";"g";"k";"m";"o"},E2429&amp;" gkmo"))-1))),0)</f>
        <v>100</v>
      </c>
      <c r="J2429" s="6" t="str" cm="1">
        <f t="array" ref="J2429">IFERROR(TRIM(MID(E2429,MIN(FIND({" ";"g";"k";"m";"o"},E2429&amp;" gkmo")),10)),"unknown")</f>
        <v>g</v>
      </c>
      <c r="K2429" s="6" t="str">
        <f t="shared" si="148"/>
        <v>g</v>
      </c>
      <c r="L2429" s="6" t="str">
        <f t="shared" si="149"/>
        <v>Sainsbury'S</v>
      </c>
      <c r="M2429" s="6" t="str">
        <f t="shared" si="150"/>
        <v>No Added Sugar Smooth Dark Chocolate</v>
      </c>
      <c r="N2429" s="6" t="str">
        <f t="shared" si="151"/>
        <v>France, United Kingdom</v>
      </c>
    </row>
    <row r="2430" spans="1:14" x14ac:dyDescent="0.25">
      <c r="A2430" s="6" t="s">
        <v>5779</v>
      </c>
      <c r="B2430" s="6">
        <v>12825</v>
      </c>
      <c r="C2430" s="6" t="s">
        <v>5780</v>
      </c>
      <c r="D2430" s="7" t="s">
        <v>961</v>
      </c>
      <c r="E2430" s="6" t="s">
        <v>504</v>
      </c>
      <c r="F2430" s="6" t="s">
        <v>3914</v>
      </c>
      <c r="G2430" s="8">
        <v>45867</v>
      </c>
      <c r="H2430" s="6">
        <v>24.35</v>
      </c>
      <c r="I2430" s="6" cm="1">
        <f t="array" ref="I2430">IFERROR(VALUE(TRIM(LEFT(E2430,MIN(FIND({" ";"g";"k";"m";"o"},E2430&amp;" gkmo"))-1))),0)</f>
        <v>400</v>
      </c>
      <c r="J2430" s="6" t="str" cm="1">
        <f t="array" ref="J2430">IFERROR(TRIM(MID(E2430,MIN(FIND({" ";"g";"k";"m";"o"},E2430&amp;" gkmo")),10)),"unknown")</f>
        <v>g</v>
      </c>
      <c r="K2430" s="6" t="str">
        <f t="shared" si="148"/>
        <v>g</v>
      </c>
      <c r="L2430" s="6" t="str">
        <f t="shared" si="149"/>
        <v>Sondey</v>
      </c>
      <c r="M2430" s="6" t="str">
        <f t="shared" si="150"/>
        <v>Botersprits</v>
      </c>
      <c r="N2430" s="6" t="str">
        <f t="shared" si="151"/>
        <v>Frankreich, Germany</v>
      </c>
    </row>
    <row r="2431" spans="1:14" x14ac:dyDescent="0.25">
      <c r="A2431" s="6" t="s">
        <v>5781</v>
      </c>
      <c r="B2431" s="6">
        <v>12037</v>
      </c>
      <c r="C2431" s="6" t="s">
        <v>5782</v>
      </c>
      <c r="D2431" s="7" t="s">
        <v>5783</v>
      </c>
      <c r="E2431" s="6" t="s">
        <v>4672</v>
      </c>
      <c r="F2431" s="6" t="s">
        <v>3952</v>
      </c>
      <c r="G2431" s="8">
        <v>45975</v>
      </c>
      <c r="H2431" s="6">
        <v>6.76</v>
      </c>
      <c r="I2431" s="6" cm="1">
        <f t="array" ref="I2431">IFERROR(VALUE(TRIM(LEFT(E2431,MIN(FIND({" ";"g";"k";"m";"o"},E2431&amp;" gkmo"))-1))),0)</f>
        <v>750</v>
      </c>
      <c r="J2431" s="6" t="str" cm="1">
        <f t="array" ref="J2431">IFERROR(TRIM(MID(E2431,MIN(FIND({" ";"g";"k";"m";"o"},E2431&amp;" gkmo")),10)),"unknown")</f>
        <v>g</v>
      </c>
      <c r="K2431" s="6" t="str">
        <f t="shared" si="148"/>
        <v>g</v>
      </c>
      <c r="L2431" s="6" t="str">
        <f t="shared" si="149"/>
        <v>Favorina, Lidl</v>
      </c>
      <c r="M2431" s="6" t="str">
        <f t="shared" si="150"/>
        <v>Stollen With Marzipan</v>
      </c>
      <c r="N2431" s="6" t="str">
        <f t="shared" si="151"/>
        <v>Belgium,France,Spain</v>
      </c>
    </row>
    <row r="2432" spans="1:14" x14ac:dyDescent="0.25">
      <c r="A2432" s="6" t="s">
        <v>5784</v>
      </c>
      <c r="B2432" s="6">
        <v>6191</v>
      </c>
      <c r="C2432" s="6" t="s">
        <v>5785</v>
      </c>
      <c r="D2432" s="7" t="s">
        <v>5786</v>
      </c>
      <c r="E2432" s="6" t="s">
        <v>580</v>
      </c>
      <c r="F2432" s="6" t="s">
        <v>2037</v>
      </c>
      <c r="G2432" s="8">
        <v>45606</v>
      </c>
      <c r="H2432" s="6">
        <v>11.15</v>
      </c>
      <c r="I2432" s="6" cm="1">
        <f t="array" ref="I2432">IFERROR(VALUE(TRIM(LEFT(E2432,MIN(FIND({" ";"g";"k";"m";"o"},E2432&amp;" gkmo"))-1))),0)</f>
        <v>250</v>
      </c>
      <c r="J2432" s="6" t="str" cm="1">
        <f t="array" ref="J2432">IFERROR(TRIM(MID(E2432,MIN(FIND({" ";"g";"k";"m";"o"},E2432&amp;" gkmo")),10)),"unknown")</f>
        <v>g</v>
      </c>
      <c r="K2432" s="6" t="str">
        <f t="shared" si="148"/>
        <v>g</v>
      </c>
      <c r="L2432" s="6" t="str">
        <f t="shared" si="149"/>
        <v>Max &amp; Lena, Mycubies</v>
      </c>
      <c r="M2432" s="6" t="str">
        <f t="shared" si="150"/>
        <v>Snack Gurken</v>
      </c>
      <c r="N2432" s="6" t="str">
        <f t="shared" si="151"/>
        <v>Frankreich,Deutschland,Schweiz</v>
      </c>
    </row>
    <row r="2433" spans="1:14" x14ac:dyDescent="0.25">
      <c r="A2433" s="6" t="s">
        <v>5787</v>
      </c>
      <c r="B2433" s="6">
        <v>5701</v>
      </c>
      <c r="C2433" s="6" t="s">
        <v>5788</v>
      </c>
      <c r="D2433" s="7" t="s">
        <v>7017</v>
      </c>
      <c r="E2433" s="6" t="s">
        <v>352</v>
      </c>
      <c r="F2433" s="6" t="s">
        <v>601</v>
      </c>
      <c r="G2433" s="8">
        <v>45458</v>
      </c>
      <c r="H2433" s="6">
        <v>7.56</v>
      </c>
      <c r="I2433" s="6" cm="1">
        <f t="array" ref="I2433">IFERROR(VALUE(TRIM(LEFT(E2433,MIN(FIND({" ";"g";"k";"m";"o"},E2433&amp;" gkmo"))-1))),0)</f>
        <v>170</v>
      </c>
      <c r="J2433" s="6" t="str" cm="1">
        <f t="array" ref="J2433">IFERROR(TRIM(MID(E2433,MIN(FIND({" ";"g";"k";"m";"o"},E2433&amp;" gkmo")),10)),"unknown")</f>
        <v>g</v>
      </c>
      <c r="K2433" s="6" t="str">
        <f t="shared" si="148"/>
        <v>g</v>
      </c>
      <c r="L2433" s="6" t="str">
        <f t="shared" si="149"/>
        <v>Unknown</v>
      </c>
      <c r="M2433" s="6" t="str">
        <f t="shared" si="150"/>
        <v>Saveur Sour Cream &amp; Onion</v>
      </c>
      <c r="N2433" s="6" t="str">
        <f t="shared" si="151"/>
        <v>France,Spain</v>
      </c>
    </row>
    <row r="2434" spans="1:14" x14ac:dyDescent="0.25">
      <c r="A2434" s="6" t="s">
        <v>5789</v>
      </c>
      <c r="B2434" s="6">
        <v>5852</v>
      </c>
      <c r="C2434" s="6" t="s">
        <v>7841</v>
      </c>
      <c r="D2434" s="7" t="s">
        <v>7017</v>
      </c>
      <c r="E2434" s="6" t="s">
        <v>297</v>
      </c>
      <c r="F2434" s="6" t="s">
        <v>139</v>
      </c>
      <c r="G2434" s="8">
        <v>45971</v>
      </c>
      <c r="H2434" s="6">
        <v>18.010000000000002</v>
      </c>
      <c r="I2434" s="6" cm="1">
        <f t="array" ref="I2434">IFERROR(VALUE(TRIM(LEFT(E2434,MIN(FIND({" ";"g";"k";"m";"o"},E2434&amp;" gkmo"))-1))),0)</f>
        <v>360</v>
      </c>
      <c r="J2434" s="6" t="str" cm="1">
        <f t="array" ref="J2434">IFERROR(TRIM(MID(E2434,MIN(FIND({" ";"g";"k";"m";"o"},E2434&amp;" gkmo")),10)),"unknown")</f>
        <v>g</v>
      </c>
      <c r="K2434" s="6" t="str">
        <f t="shared" ref="K2434:K2497" si="152">IF(E2434="","unknown",IF(OR(J2434="g",LEFT(J2434,1)="g"),"g",IF(OR(LEFT(J2434,2)="kg",LEFT(J2434,2)="ki"),"kg",IF(OR(LEFT(J2434,2)="ml",LEFT(J2434,1)="m"),"ml",IF(LEFT(J2434,1)="l","l",IF(ISNUMBER(SEARCH("g",E2434)),"g",IF(ISNUMBER(SEARCH("kg",E2434)),"kg",IF(ISNUMBER(SEARCH("ml",E2434)),"ml","unknown"))))))))</f>
        <v>g</v>
      </c>
      <c r="L2434" s="6" t="str">
        <f t="shared" ref="L2434:L2497" si="153">IF(D2434="","Unknown",PROPER(TRIM(D2434)))</f>
        <v>Unknown</v>
      </c>
      <c r="M2434" s="6" t="str">
        <f t="shared" ref="M2434:M2497" si="154">IF(C2434="Unknown","Unknown",PROPER(TRIM(C2434)))</f>
        <v>Mini Gà¢Ches</v>
      </c>
      <c r="N2434" s="6" t="str">
        <f t="shared" si="151"/>
        <v>France</v>
      </c>
    </row>
    <row r="2435" spans="1:14" x14ac:dyDescent="0.25">
      <c r="A2435" s="6" t="s">
        <v>5790</v>
      </c>
      <c r="B2435" s="6">
        <v>10888</v>
      </c>
      <c r="C2435" s="6" t="s">
        <v>5791</v>
      </c>
      <c r="D2435" s="7" t="s">
        <v>7017</v>
      </c>
      <c r="E2435" s="6" t="s">
        <v>423</v>
      </c>
      <c r="F2435" s="6" t="s">
        <v>8231</v>
      </c>
      <c r="G2435" s="8">
        <v>45668</v>
      </c>
      <c r="H2435" s="6">
        <v>12.52</v>
      </c>
      <c r="I2435" s="6" cm="1">
        <f t="array" ref="I2435">IFERROR(VALUE(TRIM(LEFT(E2435,MIN(FIND({" ";"g";"k";"m";"o"},E2435&amp;" gkmo"))-1))),0)</f>
        <v>125</v>
      </c>
      <c r="J2435" s="6" t="str" cm="1">
        <f t="array" ref="J2435">IFERROR(TRIM(MID(E2435,MIN(FIND({" ";"g";"k";"m";"o"},E2435&amp;" gkmo")),10)),"unknown")</f>
        <v>g</v>
      </c>
      <c r="K2435" s="6" t="str">
        <f t="shared" si="152"/>
        <v>g</v>
      </c>
      <c r="L2435" s="6" t="str">
        <f t="shared" si="153"/>
        <v>Unknown</v>
      </c>
      <c r="M2435" s="6" t="str">
        <f t="shared" si="154"/>
        <v>Bio Tortitas Chips Maiz</v>
      </c>
      <c r="N2435" s="6" t="str">
        <f t="shared" ref="N2435:N2498" si="155">IF(F2435="","Unknown",PROPER(TRIM(F2435)))</f>
        <v>France,Espaà±A</v>
      </c>
    </row>
    <row r="2436" spans="1:14" x14ac:dyDescent="0.25">
      <c r="A2436" s="6" t="s">
        <v>5792</v>
      </c>
      <c r="B2436" s="6">
        <v>13035</v>
      </c>
      <c r="C2436" s="6" t="s">
        <v>1166</v>
      </c>
      <c r="D2436" s="7" t="s">
        <v>5793</v>
      </c>
      <c r="E2436" s="6" t="s">
        <v>5041</v>
      </c>
      <c r="F2436" s="6" t="s">
        <v>8246</v>
      </c>
      <c r="G2436" s="8">
        <v>45998</v>
      </c>
      <c r="H2436" s="6">
        <v>24.71</v>
      </c>
      <c r="I2436" s="6" cm="1">
        <f t="array" ref="I2436">IFERROR(VALUE(TRIM(LEFT(E2436,MIN(FIND({" ";"g";"k";"m";"o"},E2436&amp;" gkmo"))-1))),0)</f>
        <v>200</v>
      </c>
      <c r="J2436" s="6" t="str" cm="1">
        <f t="array" ref="J2436">IFERROR(TRIM(MID(E2436,MIN(FIND({" ";"g";"k";"m";"o"},E2436&amp;" gkmo")),10)),"unknown")</f>
        <v>gram</v>
      </c>
      <c r="K2436" s="6" t="str">
        <f t="shared" si="152"/>
        <v>g</v>
      </c>
      <c r="L2436" s="6" t="str">
        <f t="shared" si="153"/>
        <v>Grafschafter,Lidl,Maitre Jean Pierre,Tastino</v>
      </c>
      <c r="M2436" s="6" t="str">
        <f t="shared" si="154"/>
        <v>Bio Crackers</v>
      </c>
      <c r="N2436" s="6" t="str">
        <f t="shared" si="155"/>
        <v>Repàºblica Checa,France,Espaà±A</v>
      </c>
    </row>
    <row r="2437" spans="1:14" x14ac:dyDescent="0.25">
      <c r="A2437" s="6" t="s">
        <v>5794</v>
      </c>
      <c r="B2437" s="6">
        <v>13062</v>
      </c>
      <c r="C2437" s="6" t="s">
        <v>5795</v>
      </c>
      <c r="D2437" s="7" t="s">
        <v>5796</v>
      </c>
      <c r="E2437" s="6" t="s">
        <v>138</v>
      </c>
      <c r="F2437" s="6" t="s">
        <v>139</v>
      </c>
      <c r="G2437" s="8">
        <v>45578</v>
      </c>
      <c r="H2437" s="6">
        <v>23.2</v>
      </c>
      <c r="I2437" s="6" cm="1">
        <f t="array" ref="I2437">IFERROR(VALUE(TRIM(LEFT(E2437,MIN(FIND({" ";"g";"k";"m";"o"},E2437&amp;" gkmo"))-1))),0)</f>
        <v>400</v>
      </c>
      <c r="J2437" s="6" t="str" cm="1">
        <f t="array" ref="J2437">IFERROR(TRIM(MID(E2437,MIN(FIND({" ";"g";"k";"m";"o"},E2437&amp;" gkmo")),10)),"unknown")</f>
        <v>g</v>
      </c>
      <c r="K2437" s="6" t="str">
        <f t="shared" si="152"/>
        <v>g</v>
      </c>
      <c r="L2437" s="6" t="str">
        <f t="shared" si="153"/>
        <v>Tante Odile</v>
      </c>
      <c r="M2437" s="6" t="str">
        <f t="shared" si="154"/>
        <v>Madeleines Coquilles</v>
      </c>
      <c r="N2437" s="6" t="str">
        <f t="shared" si="155"/>
        <v>France</v>
      </c>
    </row>
    <row r="2438" spans="1:14" x14ac:dyDescent="0.25">
      <c r="A2438" s="6" t="s">
        <v>5797</v>
      </c>
      <c r="B2438" s="6">
        <v>12750</v>
      </c>
      <c r="C2438" s="6" t="s">
        <v>7368</v>
      </c>
      <c r="D2438" s="7" t="s">
        <v>5798</v>
      </c>
      <c r="E2438" s="6" t="s">
        <v>5799</v>
      </c>
      <c r="F2438" s="6" t="s">
        <v>5800</v>
      </c>
      <c r="G2438" s="8">
        <v>45704</v>
      </c>
      <c r="H2438" s="6">
        <v>20.5</v>
      </c>
      <c r="I2438" s="6" cm="1">
        <f t="array" ref="I2438">IFERROR(VALUE(TRIM(LEFT(E2438,MIN(FIND({" ";"g";"k";"m";"o"},E2438&amp;" gkmo"))-1))),0)</f>
        <v>184</v>
      </c>
      <c r="J2438" s="6" t="str" cm="1">
        <f t="array" ref="J2438">IFERROR(TRIM(MID(E2438,MIN(FIND({" ";"g";"k";"m";"o"},E2438&amp;" gkmo")),10)),"unknown")</f>
        <v>g (8 bisc</v>
      </c>
      <c r="K2438" s="6" t="str">
        <f t="shared" si="152"/>
        <v>g</v>
      </c>
      <c r="L2438" s="6" t="str">
        <f t="shared" si="153"/>
        <v>Granola, Kraft Foods, Lu, Mondelez, Unilever</v>
      </c>
      <c r="M2438" s="6" t="str">
        <f t="shared" si="154"/>
        <v>Granola Gros Éclats De Chocolat</v>
      </c>
      <c r="N2438" s="6" t="str">
        <f t="shared" si="155"/>
        <v>France,Martinique</v>
      </c>
    </row>
    <row r="2439" spans="1:14" x14ac:dyDescent="0.25">
      <c r="A2439" s="6" t="s">
        <v>5801</v>
      </c>
      <c r="B2439" s="6">
        <v>5636</v>
      </c>
      <c r="C2439" s="6" t="s">
        <v>7369</v>
      </c>
      <c r="D2439" s="7" t="s">
        <v>7030</v>
      </c>
      <c r="E2439" s="6" t="s">
        <v>5802</v>
      </c>
      <c r="F2439" s="6" t="s">
        <v>139</v>
      </c>
      <c r="G2439" s="8">
        <v>45970</v>
      </c>
      <c r="H2439" s="6">
        <v>16.3</v>
      </c>
      <c r="I2439" s="6" cm="1">
        <f t="array" ref="I2439">IFERROR(VALUE(TRIM(LEFT(E2439,MIN(FIND({" ";"g";"k";"m";"o"},E2439&amp;" gkmo"))-1))),0)</f>
        <v>200</v>
      </c>
      <c r="J2439" s="6" t="str" cm="1">
        <f t="array" ref="J2439">IFERROR(TRIM(MID(E2439,MIN(FIND({" ";"g";"k";"m";"o"},E2439&amp;" gkmo")),10)),"unknown")</f>
        <v>g (4x 50</v>
      </c>
      <c r="K2439" s="6" t="str">
        <f t="shared" si="152"/>
        <v>g</v>
      </c>
      <c r="L2439" s="6" t="str">
        <f t="shared" si="153"/>
        <v>Gerblé</v>
      </c>
      <c r="M2439" s="6" t="str">
        <f t="shared" si="154"/>
        <v>Petit Déj, Céréales Et Chocolat</v>
      </c>
      <c r="N2439" s="6" t="str">
        <f t="shared" si="155"/>
        <v>France</v>
      </c>
    </row>
    <row r="2440" spans="1:14" x14ac:dyDescent="0.25">
      <c r="A2440" s="6" t="s">
        <v>5803</v>
      </c>
      <c r="B2440" s="6">
        <v>5418</v>
      </c>
      <c r="C2440" s="6" t="s">
        <v>7370</v>
      </c>
      <c r="D2440" s="7" t="s">
        <v>7030</v>
      </c>
      <c r="E2440" s="6" t="s">
        <v>64</v>
      </c>
      <c r="F2440" s="6" t="s">
        <v>139</v>
      </c>
      <c r="G2440" s="8">
        <v>45592</v>
      </c>
      <c r="H2440" s="6">
        <v>1.68</v>
      </c>
      <c r="I2440" s="6" cm="1">
        <f t="array" ref="I2440">IFERROR(VALUE(TRIM(LEFT(E2440,MIN(FIND({" ";"g";"k";"m";"o"},E2440&amp;" gkmo"))-1))),0)</f>
        <v>150</v>
      </c>
      <c r="J2440" s="6" t="str" cm="1">
        <f t="array" ref="J2440">IFERROR(TRIM(MID(E2440,MIN(FIND({" ";"g";"k";"m";"o"},E2440&amp;" gkmo")),10)),"unknown")</f>
        <v>g</v>
      </c>
      <c r="K2440" s="6" t="str">
        <f t="shared" si="152"/>
        <v>g</v>
      </c>
      <c r="L2440" s="6" t="str">
        <f t="shared" si="153"/>
        <v>Gerblé</v>
      </c>
      <c r="M2440" s="6" t="str">
        <f t="shared" si="154"/>
        <v>Sablés Framboise Rooibos</v>
      </c>
      <c r="N2440" s="6" t="str">
        <f t="shared" si="155"/>
        <v>France</v>
      </c>
    </row>
    <row r="2441" spans="1:14" x14ac:dyDescent="0.25">
      <c r="A2441" s="6" t="s">
        <v>5804</v>
      </c>
      <c r="B2441" s="6">
        <v>5061</v>
      </c>
      <c r="C2441" s="6" t="s">
        <v>5805</v>
      </c>
      <c r="D2441" s="7" t="s">
        <v>72</v>
      </c>
      <c r="E2441" s="6" t="s">
        <v>151</v>
      </c>
      <c r="F2441" s="6" t="s">
        <v>139</v>
      </c>
      <c r="G2441" s="8">
        <v>45496</v>
      </c>
      <c r="H2441" s="6">
        <v>14.63</v>
      </c>
      <c r="I2441" s="6" cm="1">
        <f t="array" ref="I2441">IFERROR(VALUE(TRIM(LEFT(E2441,MIN(FIND({" ";"g";"k";"m";"o"},E2441&amp;" gkmo"))-1))),0)</f>
        <v>200</v>
      </c>
      <c r="J2441" s="6" t="str" cm="1">
        <f t="array" ref="J2441">IFERROR(TRIM(MID(E2441,MIN(FIND({" ";"g";"k";"m";"o"},E2441&amp;" gkmo")),10)),"unknown")</f>
        <v>g</v>
      </c>
      <c r="K2441" s="6" t="str">
        <f t="shared" si="152"/>
        <v>g</v>
      </c>
      <c r="L2441" s="6" t="str">
        <f t="shared" si="153"/>
        <v>Bjorg</v>
      </c>
      <c r="M2441" s="6" t="str">
        <f t="shared" si="154"/>
        <v>Sablissime Chocolat Au Lait</v>
      </c>
      <c r="N2441" s="6" t="str">
        <f t="shared" si="155"/>
        <v>France</v>
      </c>
    </row>
    <row r="2442" spans="1:14" x14ac:dyDescent="0.25">
      <c r="A2442" s="6" t="s">
        <v>5806</v>
      </c>
      <c r="B2442" s="6">
        <v>9077</v>
      </c>
      <c r="C2442" s="6" t="s">
        <v>5689</v>
      </c>
      <c r="D2442" s="7" t="s">
        <v>7017</v>
      </c>
      <c r="E2442" s="6"/>
      <c r="F2442" s="6" t="s">
        <v>8152</v>
      </c>
      <c r="G2442" s="8">
        <v>45628</v>
      </c>
      <c r="H2442" s="6">
        <v>18.18</v>
      </c>
      <c r="I2442" s="6" cm="1">
        <f t="array" ref="I2442">IFERROR(VALUE(TRIM(LEFT(E2442,MIN(FIND({" ";"g";"k";"m";"o"},E2442&amp;" gkmo"))-1))),0)</f>
        <v>0</v>
      </c>
      <c r="J2442" s="6" t="str" cm="1">
        <f t="array" ref="J2442">IFERROR(TRIM(MID(E2442,MIN(FIND({" ";"g";"k";"m";"o"},E2442&amp;" gkmo")),10)),"unknown")</f>
        <v/>
      </c>
      <c r="K2442" s="6" t="str">
        <f t="shared" si="152"/>
        <v>unknown</v>
      </c>
      <c r="L2442" s="6" t="str">
        <f t="shared" si="153"/>
        <v>Unknown</v>
      </c>
      <c r="M2442" s="6" t="str">
        <f t="shared" si="154"/>
        <v>Speculoos</v>
      </c>
      <c r="N2442" s="6" t="str">
        <f t="shared" si="155"/>
        <v>France, Guadeloupe, Italy, Spain, Morocco</v>
      </c>
    </row>
    <row r="2443" spans="1:14" x14ac:dyDescent="0.25">
      <c r="A2443" s="6" t="s">
        <v>5807</v>
      </c>
      <c r="B2443" s="6">
        <v>8681</v>
      </c>
      <c r="C2443" s="6" t="s">
        <v>5808</v>
      </c>
      <c r="D2443" s="7" t="s">
        <v>5809</v>
      </c>
      <c r="E2443" s="6" t="s">
        <v>2081</v>
      </c>
      <c r="F2443" s="6" t="s">
        <v>139</v>
      </c>
      <c r="G2443" s="8">
        <v>45640</v>
      </c>
      <c r="H2443" s="6">
        <v>8.9499999999999993</v>
      </c>
      <c r="I2443" s="6" cm="1">
        <f t="array" ref="I2443">IFERROR(VALUE(TRIM(LEFT(E2443,MIN(FIND({" ";"g";"k";"m";"o"},E2443&amp;" gkmo"))-1))),0)</f>
        <v>120</v>
      </c>
      <c r="J2443" s="6" t="str" cm="1">
        <f t="array" ref="J2443">IFERROR(TRIM(MID(E2443,MIN(FIND({" ";"g";"k";"m";"o"},E2443&amp;" gkmo")),10)),"unknown")</f>
        <v>g</v>
      </c>
      <c r="K2443" s="6" t="str">
        <f t="shared" si="152"/>
        <v>g</v>
      </c>
      <c r="L2443" s="6" t="str">
        <f t="shared" si="153"/>
        <v>Babybio, Vitagermine</v>
      </c>
      <c r="M2443" s="6" t="str">
        <f t="shared" si="154"/>
        <v>Petits Boudoirs - Biscuit Aux Nourrissons</v>
      </c>
      <c r="N2443" s="6" t="str">
        <f t="shared" si="155"/>
        <v>France</v>
      </c>
    </row>
    <row r="2444" spans="1:14" x14ac:dyDescent="0.25">
      <c r="A2444" s="6" t="s">
        <v>5810</v>
      </c>
      <c r="B2444" s="6">
        <v>11560</v>
      </c>
      <c r="C2444" s="6" t="s">
        <v>7842</v>
      </c>
      <c r="D2444" s="7" t="s">
        <v>5811</v>
      </c>
      <c r="E2444" s="6">
        <v>150</v>
      </c>
      <c r="F2444" s="6" t="s">
        <v>8292</v>
      </c>
      <c r="G2444" s="8">
        <v>45333</v>
      </c>
      <c r="H2444" s="6">
        <v>6.31</v>
      </c>
      <c r="I2444" s="6" cm="1">
        <f t="array" ref="I2444">IFERROR(VALUE(TRIM(LEFT(E2444,MIN(FIND({" ";"g";"k";"m";"o"},E2444&amp;" gkmo"))-1))),0)</f>
        <v>150</v>
      </c>
      <c r="J2444" s="6" t="str" cm="1">
        <f t="array" ref="J2444">IFERROR(TRIM(MID(E2444,MIN(FIND({" ";"g";"k";"m";"o"},E2444&amp;" gkmo")),10)),"unknown")</f>
        <v/>
      </c>
      <c r="K2444" s="6" t="str">
        <f t="shared" si="152"/>
        <v>unknown</v>
      </c>
      <c r="L2444" s="6" t="str">
        <f t="shared" si="153"/>
        <v>Carrefour, Produits Blancs</v>
      </c>
      <c r="M2444" s="6" t="str">
        <f t="shared" si="154"/>
        <v>Barres Céréales Goà»T Chocolat Au Lait - Banane</v>
      </c>
      <c r="N2444" s="6" t="str">
        <f t="shared" si="155"/>
        <v>France,Morocco, Italie, Spain</v>
      </c>
    </row>
    <row r="2445" spans="1:14" x14ac:dyDescent="0.25">
      <c r="A2445" s="6" t="s">
        <v>5812</v>
      </c>
      <c r="B2445" s="6">
        <v>11282</v>
      </c>
      <c r="C2445" s="6" t="s">
        <v>5813</v>
      </c>
      <c r="D2445" s="7" t="s">
        <v>7017</v>
      </c>
      <c r="E2445" s="6" t="s">
        <v>151</v>
      </c>
      <c r="F2445" s="6" t="s">
        <v>8280</v>
      </c>
      <c r="G2445" s="8">
        <v>45495</v>
      </c>
      <c r="H2445" s="6">
        <v>24.93</v>
      </c>
      <c r="I2445" s="6" cm="1">
        <f t="array" ref="I2445">IFERROR(VALUE(TRIM(LEFT(E2445,MIN(FIND({" ";"g";"k";"m";"o"},E2445&amp;" gkmo"))-1))),0)</f>
        <v>200</v>
      </c>
      <c r="J2445" s="6" t="str" cm="1">
        <f t="array" ref="J2445">IFERROR(TRIM(MID(E2445,MIN(FIND({" ";"g";"k";"m";"o"},E2445&amp;" gkmo")),10)),"unknown")</f>
        <v>g</v>
      </c>
      <c r="K2445" s="6" t="str">
        <f t="shared" si="152"/>
        <v>g</v>
      </c>
      <c r="L2445" s="6" t="str">
        <f t="shared" si="153"/>
        <v>Unknown</v>
      </c>
      <c r="M2445" s="6" t="str">
        <f t="shared" si="154"/>
        <v>Chocolate 52% Especial Postres</v>
      </c>
      <c r="N2445" s="6" t="str">
        <f t="shared" si="155"/>
        <v>France,Italie,Spain</v>
      </c>
    </row>
    <row r="2446" spans="1:14" x14ac:dyDescent="0.25">
      <c r="A2446" s="6" t="s">
        <v>5814</v>
      </c>
      <c r="B2446" s="6">
        <v>11280</v>
      </c>
      <c r="C2446" s="6" t="s">
        <v>5815</v>
      </c>
      <c r="D2446" s="7" t="s">
        <v>7480</v>
      </c>
      <c r="E2446" s="6" t="s">
        <v>423</v>
      </c>
      <c r="F2446" s="6" t="s">
        <v>139</v>
      </c>
      <c r="G2446" s="8">
        <v>45808</v>
      </c>
      <c r="H2446" s="6">
        <v>20.2</v>
      </c>
      <c r="I2446" s="6" cm="1">
        <f t="array" ref="I2446">IFERROR(VALUE(TRIM(LEFT(E2446,MIN(FIND({" ";"g";"k";"m";"o"},E2446&amp;" gkmo"))-1))),0)</f>
        <v>125</v>
      </c>
      <c r="J2446" s="6" t="str" cm="1">
        <f t="array" ref="J2446">IFERROR(TRIM(MID(E2446,MIN(FIND({" ";"g";"k";"m";"o"},E2446&amp;" gkmo")),10)),"unknown")</f>
        <v>g</v>
      </c>
      <c r="K2446" s="6" t="str">
        <f t="shared" si="152"/>
        <v>g</v>
      </c>
      <c r="L2446" s="6" t="str">
        <f t="shared" si="153"/>
        <v>Marque Repère, P'Tit Déli</v>
      </c>
      <c r="M2446" s="6" t="str">
        <f t="shared" si="154"/>
        <v>La Galette Bretonne Pur Beurre</v>
      </c>
      <c r="N2446" s="6" t="str">
        <f t="shared" si="155"/>
        <v>France</v>
      </c>
    </row>
    <row r="2447" spans="1:14" x14ac:dyDescent="0.25">
      <c r="A2447" s="6" t="s">
        <v>5816</v>
      </c>
      <c r="B2447" s="6">
        <v>14276</v>
      </c>
      <c r="C2447" s="6" t="s">
        <v>7510</v>
      </c>
      <c r="D2447" s="7" t="s">
        <v>7477</v>
      </c>
      <c r="E2447" s="6" t="s">
        <v>335</v>
      </c>
      <c r="F2447" s="6" t="s">
        <v>139</v>
      </c>
      <c r="G2447" s="8">
        <v>45685</v>
      </c>
      <c r="H2447" s="6">
        <v>17.34</v>
      </c>
      <c r="I2447" s="6" cm="1">
        <f t="array" ref="I2447">IFERROR(VALUE(TRIM(LEFT(E2447,MIN(FIND({" ";"g";"k";"m";"o"},E2447&amp;" gkmo"))-1))),0)</f>
        <v>250</v>
      </c>
      <c r="J2447" s="6" t="str" cm="1">
        <f t="array" ref="J2447">IFERROR(TRIM(MID(E2447,MIN(FIND({" ";"g";"k";"m";"o"},E2447&amp;" gkmo")),10)),"unknown")</f>
        <v>g</v>
      </c>
      <c r="K2447" s="6" t="str">
        <f t="shared" si="152"/>
        <v>g</v>
      </c>
      <c r="L2447" s="6" t="str">
        <f t="shared" si="153"/>
        <v>Marque Repère, Tokapi</v>
      </c>
      <c r="M2447" s="6" t="str">
        <f t="shared" si="154"/>
        <v>Cacahuètes - Grillées &amp; Salées</v>
      </c>
      <c r="N2447" s="6" t="str">
        <f t="shared" si="155"/>
        <v>France</v>
      </c>
    </row>
    <row r="2448" spans="1:14" x14ac:dyDescent="0.25">
      <c r="A2448" s="6" t="s">
        <v>5817</v>
      </c>
      <c r="B2448" s="6">
        <v>8366</v>
      </c>
      <c r="C2448" s="6" t="s">
        <v>5818</v>
      </c>
      <c r="D2448" s="7" t="s">
        <v>7481</v>
      </c>
      <c r="E2448" s="6" t="s">
        <v>156</v>
      </c>
      <c r="F2448" s="6" t="s">
        <v>139</v>
      </c>
      <c r="G2448" s="8">
        <v>45535</v>
      </c>
      <c r="H2448" s="6">
        <v>20.57</v>
      </c>
      <c r="I2448" s="6" cm="1">
        <f t="array" ref="I2448">IFERROR(VALUE(TRIM(LEFT(E2448,MIN(FIND({" ";"g";"k";"m";"o"},E2448&amp;" gkmo"))-1))),0)</f>
        <v>500</v>
      </c>
      <c r="J2448" s="6" t="str" cm="1">
        <f t="array" ref="J2448">IFERROR(TRIM(MID(E2448,MIN(FIND({" ";"g";"k";"m";"o"},E2448&amp;" gkmo")),10)),"unknown")</f>
        <v>g</v>
      </c>
      <c r="K2448" s="6" t="str">
        <f t="shared" si="152"/>
        <v>g</v>
      </c>
      <c r="L2448" s="6" t="str">
        <f t="shared" si="153"/>
        <v>Marque Repère,P'Tit Déli</v>
      </c>
      <c r="M2448" s="6" t="str">
        <f t="shared" si="154"/>
        <v>Madeleines Aux Oeufs Frais</v>
      </c>
      <c r="N2448" s="6" t="str">
        <f t="shared" si="155"/>
        <v>France</v>
      </c>
    </row>
    <row r="2449" spans="1:14" x14ac:dyDescent="0.25">
      <c r="A2449" s="6" t="s">
        <v>5819</v>
      </c>
      <c r="B2449" s="6">
        <v>12717</v>
      </c>
      <c r="C2449" s="6" t="s">
        <v>7371</v>
      </c>
      <c r="D2449" s="7" t="s">
        <v>7496</v>
      </c>
      <c r="E2449" s="6" t="s">
        <v>423</v>
      </c>
      <c r="F2449" s="6" t="s">
        <v>139</v>
      </c>
      <c r="G2449" s="8">
        <v>46024</v>
      </c>
      <c r="H2449" s="6">
        <v>17.010000000000002</v>
      </c>
      <c r="I2449" s="6" cm="1">
        <f t="array" ref="I2449">IFERROR(VALUE(TRIM(LEFT(E2449,MIN(FIND({" ";"g";"k";"m";"o"},E2449&amp;" gkmo"))-1))),0)</f>
        <v>125</v>
      </c>
      <c r="J2449" s="6" t="str" cm="1">
        <f t="array" ref="J2449">IFERROR(TRIM(MID(E2449,MIN(FIND({" ";"g";"k";"m";"o"},E2449&amp;" gkmo")),10)),"unknown")</f>
        <v>g</v>
      </c>
      <c r="K2449" s="6" t="str">
        <f t="shared" si="152"/>
        <v>g</v>
      </c>
      <c r="L2449" s="6" t="str">
        <f t="shared" si="153"/>
        <v>Bio Village, Marque Repère</v>
      </c>
      <c r="M2449" s="6" t="str">
        <f t="shared" si="154"/>
        <v>Barres Céréales Fraise</v>
      </c>
      <c r="N2449" s="6" t="str">
        <f t="shared" si="155"/>
        <v>France</v>
      </c>
    </row>
    <row r="2450" spans="1:14" x14ac:dyDescent="0.25">
      <c r="A2450" s="6" t="s">
        <v>5820</v>
      </c>
      <c r="B2450" s="6">
        <v>14560</v>
      </c>
      <c r="C2450" s="6" t="s">
        <v>7372</v>
      </c>
      <c r="D2450" s="7" t="s">
        <v>7466</v>
      </c>
      <c r="E2450" s="6" t="s">
        <v>14</v>
      </c>
      <c r="F2450" s="6" t="s">
        <v>8449</v>
      </c>
      <c r="G2450" s="8">
        <v>45482</v>
      </c>
      <c r="H2450" s="6">
        <v>14.93</v>
      </c>
      <c r="I2450" s="6" cm="1">
        <f t="array" ref="I2450">IFERROR(VALUE(TRIM(LEFT(E2450,MIN(FIND({" ";"g";"k";"m";"o"},E2450&amp;" gkmo"))-1))),0)</f>
        <v>300</v>
      </c>
      <c r="J2450" s="6" t="str" cm="1">
        <f t="array" ref="J2450">IFERROR(TRIM(MID(E2450,MIN(FIND({" ";"g";"k";"m";"o"},E2450&amp;" gkmo")),10)),"unknown")</f>
        <v>g</v>
      </c>
      <c r="K2450" s="6" t="str">
        <f t="shared" si="152"/>
        <v>g</v>
      </c>
      <c r="L2450" s="6" t="str">
        <f t="shared" si="153"/>
        <v>Bio Village,Marque Repère</v>
      </c>
      <c r="M2450" s="6" t="str">
        <f t="shared" si="154"/>
        <v>Pain Épice Au Miel</v>
      </c>
      <c r="N2450" s="6" t="str">
        <f t="shared" si="155"/>
        <v>France,La Reunion</v>
      </c>
    </row>
    <row r="2451" spans="1:14" x14ac:dyDescent="0.25">
      <c r="A2451" s="6" t="s">
        <v>5821</v>
      </c>
      <c r="B2451" s="6">
        <v>14303</v>
      </c>
      <c r="C2451" s="6" t="s">
        <v>5822</v>
      </c>
      <c r="D2451" s="7" t="s">
        <v>5823</v>
      </c>
      <c r="E2451" s="6" t="s">
        <v>5824</v>
      </c>
      <c r="F2451" s="6" t="s">
        <v>8153</v>
      </c>
      <c r="G2451" s="8">
        <v>45908</v>
      </c>
      <c r="H2451" s="6">
        <v>20.92</v>
      </c>
      <c r="I2451" s="6" cm="1">
        <f t="array" ref="I2451">IFERROR(VALUE(TRIM(LEFT(E2451,MIN(FIND({" ";"g";"k";"m";"o"},E2451&amp;" gkmo"))-1))),0)</f>
        <v>160</v>
      </c>
      <c r="J2451" s="6" t="str" cm="1">
        <f t="array" ref="J2451">IFERROR(TRIM(MID(E2451,MIN(FIND({" ";"g";"k";"m";"o"},E2451&amp;" gkmo")),10)),"unknown")</f>
        <v>Ð³</v>
      </c>
      <c r="K2451" s="6" t="str">
        <f t="shared" si="152"/>
        <v>unknown</v>
      </c>
      <c r="L2451" s="6" t="str">
        <f t="shared" si="153"/>
        <v>Sweet Plus</v>
      </c>
      <c r="M2451" s="6" t="str">
        <f t="shared" si="154"/>
        <v>Ð‘Ð¸ÑÐºð²Ð¸Ñ‚Ð¸ Ðšð°Ñ„Ðµ</v>
      </c>
      <c r="N2451" s="6" t="str">
        <f t="shared" si="155"/>
        <v>Bulgaria, Morocco, France</v>
      </c>
    </row>
    <row r="2452" spans="1:14" x14ac:dyDescent="0.25">
      <c r="A2452" s="6" t="s">
        <v>5825</v>
      </c>
      <c r="B2452" s="6">
        <v>13011</v>
      </c>
      <c r="C2452" s="6" t="s">
        <v>5826</v>
      </c>
      <c r="D2452" s="7" t="s">
        <v>7633</v>
      </c>
      <c r="E2452" s="6" t="s">
        <v>973</v>
      </c>
      <c r="F2452" s="6" t="s">
        <v>7843</v>
      </c>
      <c r="G2452" s="8">
        <v>45356</v>
      </c>
      <c r="H2452" s="6">
        <v>19.41</v>
      </c>
      <c r="I2452" s="6" cm="1">
        <f t="array" ref="I2452">IFERROR(VALUE(TRIM(LEFT(E2452,MIN(FIND({" ";"g";"k";"m";"o"},E2452&amp;" gkmo"))-1))),0)</f>
        <v>38</v>
      </c>
      <c r="J2452" s="6" t="str" cm="1">
        <f t="array" ref="J2452">IFERROR(TRIM(MID(E2452,MIN(FIND({" ";"g";"k";"m";"o"},E2452&amp;" gkmo")),10)),"unknown")</f>
        <v>g</v>
      </c>
      <c r="K2452" s="6" t="str">
        <f t="shared" si="152"/>
        <v>g</v>
      </c>
      <c r="L2452" s="6" t="str">
        <f t="shared" si="153"/>
        <v>Lindt &amp; Sprà¼Ngli</v>
      </c>
      <c r="M2452" s="6" t="str">
        <f t="shared" si="154"/>
        <v>Lindt Lindor Melkesjokolade Stick</v>
      </c>
      <c r="N2452" s="6" t="str">
        <f t="shared" si="155"/>
        <v>Australien,À–Sterreich,Frankreich,Marokko,Neuseeland,Schweiz,Vereinigtes Kà¶Nigreich</v>
      </c>
    </row>
    <row r="2453" spans="1:14" x14ac:dyDescent="0.25">
      <c r="A2453" s="6" t="s">
        <v>5827</v>
      </c>
      <c r="B2453" s="6">
        <v>5405</v>
      </c>
      <c r="C2453" s="6" t="s">
        <v>5828</v>
      </c>
      <c r="D2453" s="7" t="s">
        <v>5829</v>
      </c>
      <c r="E2453" s="6" t="s">
        <v>2045</v>
      </c>
      <c r="F2453" s="6" t="s">
        <v>8274</v>
      </c>
      <c r="G2453" s="8">
        <v>45383</v>
      </c>
      <c r="H2453" s="6">
        <v>7.49</v>
      </c>
      <c r="I2453" s="6" cm="1">
        <f t="array" ref="I2453">IFERROR(VALUE(TRIM(LEFT(E2453,MIN(FIND({" ";"g";"k";"m";"o"},E2453&amp;" gkmo"))-1))),0)</f>
        <v>175</v>
      </c>
      <c r="J2453" s="6" t="str" cm="1">
        <f t="array" ref="J2453">IFERROR(TRIM(MID(E2453,MIN(FIND({" ";"g";"k";"m";"o"},E2453&amp;" gkmo")),10)),"unknown")</f>
        <v>g</v>
      </c>
      <c r="K2453" s="6" t="str">
        <f t="shared" si="152"/>
        <v>g</v>
      </c>
      <c r="L2453" s="6" t="str">
        <f t="shared" si="153"/>
        <v>Funny Frisch</v>
      </c>
      <c r="M2453" s="6" t="str">
        <f t="shared" si="154"/>
        <v>Chipsfrisch Gesalzen</v>
      </c>
      <c r="N2453" s="6" t="str">
        <f t="shared" si="155"/>
        <v>France,Germany,Espaà±A</v>
      </c>
    </row>
    <row r="2454" spans="1:14" x14ac:dyDescent="0.25">
      <c r="A2454" s="6" t="s">
        <v>5830</v>
      </c>
      <c r="B2454" s="6">
        <v>11345</v>
      </c>
      <c r="C2454" s="6" t="s">
        <v>5831</v>
      </c>
      <c r="D2454" s="7" t="s">
        <v>5832</v>
      </c>
      <c r="E2454" s="6" t="s">
        <v>39</v>
      </c>
      <c r="F2454" s="6" t="s">
        <v>5293</v>
      </c>
      <c r="G2454" s="8">
        <v>45660</v>
      </c>
      <c r="H2454" s="6">
        <v>15.78</v>
      </c>
      <c r="I2454" s="6" cm="1">
        <f t="array" ref="I2454">IFERROR(VALUE(TRIM(LEFT(E2454,MIN(FIND({" ";"g";"k";"m";"o"},E2454&amp;" gkmo"))-1))),0)</f>
        <v>150</v>
      </c>
      <c r="J2454" s="6" t="str" cm="1">
        <f t="array" ref="J2454">IFERROR(TRIM(MID(E2454,MIN(FIND({" ";"g";"k";"m";"o"},E2454&amp;" gkmo")),10)),"unknown")</f>
        <v>g</v>
      </c>
      <c r="K2454" s="6" t="str">
        <f t="shared" si="152"/>
        <v>g</v>
      </c>
      <c r="L2454" s="6" t="str">
        <f t="shared" si="153"/>
        <v>Leibniz</v>
      </c>
      <c r="M2454" s="6" t="str">
        <f t="shared" si="154"/>
        <v>Butterkeks 30% Weniger Zucker</v>
      </c>
      <c r="N2454" s="6" t="str">
        <f t="shared" si="155"/>
        <v>Austria,Germany</v>
      </c>
    </row>
    <row r="2455" spans="1:14" x14ac:dyDescent="0.25">
      <c r="A2455" s="6" t="s">
        <v>5833</v>
      </c>
      <c r="B2455" s="6">
        <v>10141</v>
      </c>
      <c r="C2455" s="6" t="s">
        <v>5834</v>
      </c>
      <c r="D2455" s="7" t="s">
        <v>5835</v>
      </c>
      <c r="E2455" s="6" t="s">
        <v>28</v>
      </c>
      <c r="F2455" s="6" t="s">
        <v>8410</v>
      </c>
      <c r="G2455" s="8">
        <v>45940</v>
      </c>
      <c r="H2455" s="6">
        <v>5.59</v>
      </c>
      <c r="I2455" s="6" cm="1">
        <f t="array" ref="I2455">IFERROR(VALUE(TRIM(LEFT(E2455,MIN(FIND({" ";"g";"k";"m";"o"},E2455&amp;" gkmo"))-1))),0)</f>
        <v>125</v>
      </c>
      <c r="J2455" s="6" t="str" cm="1">
        <f t="array" ref="J2455">IFERROR(TRIM(MID(E2455,MIN(FIND({" ";"g";"k";"m";"o"},E2455&amp;" gkmo")),10)),"unknown")</f>
        <v>g</v>
      </c>
      <c r="K2455" s="6" t="str">
        <f t="shared" si="152"/>
        <v>g</v>
      </c>
      <c r="L2455" s="6" t="str">
        <f t="shared" si="153"/>
        <v>Leibniz,Bahlsen</v>
      </c>
      <c r="M2455" s="6" t="str">
        <f t="shared" si="154"/>
        <v>Choco Leibniz</v>
      </c>
      <c r="N2455" s="6" t="str">
        <f t="shared" si="155"/>
        <v>Belgium,Germany,Italia,Espaà±A,United Kingdom</v>
      </c>
    </row>
    <row r="2456" spans="1:14" x14ac:dyDescent="0.25">
      <c r="A2456" s="6" t="s">
        <v>5836</v>
      </c>
      <c r="B2456" s="6">
        <v>11500</v>
      </c>
      <c r="C2456" s="6" t="s">
        <v>5837</v>
      </c>
      <c r="D2456" s="7" t="s">
        <v>5838</v>
      </c>
      <c r="E2456" s="6" t="s">
        <v>727</v>
      </c>
      <c r="F2456" s="6" t="s">
        <v>5839</v>
      </c>
      <c r="G2456" s="8">
        <v>45852</v>
      </c>
      <c r="H2456" s="6">
        <v>16.420000000000002</v>
      </c>
      <c r="I2456" s="6" cm="1">
        <f t="array" ref="I2456">IFERROR(VALUE(TRIM(LEFT(E2456,MIN(FIND({" ";"g";"k";"m";"o"},E2456&amp;" gkmo"))-1))),0)</f>
        <v>25</v>
      </c>
      <c r="J2456" s="6" t="str" cm="1">
        <f t="array" ref="J2456">IFERROR(TRIM(MID(E2456,MIN(FIND({" ";"g";"k";"m";"o"},E2456&amp;" gkmo")),10)),"unknown")</f>
        <v>g</v>
      </c>
      <c r="K2456" s="6" t="str">
        <f t="shared" si="152"/>
        <v>g</v>
      </c>
      <c r="L2456" s="6" t="str">
        <f t="shared" si="153"/>
        <v>Jack Link'S</v>
      </c>
      <c r="M2456" s="6" t="str">
        <f t="shared" si="154"/>
        <v>Beef Jerky Original</v>
      </c>
      <c r="N2456" s="6" t="str">
        <f t="shared" si="155"/>
        <v>Belgium,France,Switzerland,United Kingdom</v>
      </c>
    </row>
    <row r="2457" spans="1:14" x14ac:dyDescent="0.25">
      <c r="A2457" s="6" t="s">
        <v>5840</v>
      </c>
      <c r="B2457" s="6">
        <v>12001</v>
      </c>
      <c r="C2457" s="6" t="s">
        <v>5841</v>
      </c>
      <c r="D2457" s="7" t="s">
        <v>3812</v>
      </c>
      <c r="E2457" s="6" t="s">
        <v>5842</v>
      </c>
      <c r="F2457" s="6" t="s">
        <v>7844</v>
      </c>
      <c r="G2457" s="8">
        <v>45549</v>
      </c>
      <c r="H2457" s="6">
        <v>14.31</v>
      </c>
      <c r="I2457" s="6" cm="1">
        <f t="array" ref="I2457">IFERROR(VALUE(TRIM(LEFT(E2457,MIN(FIND({" ";"g";"k";"m";"o"},E2457&amp;" gkmo"))-1))),0)</f>
        <v>0</v>
      </c>
      <c r="J2457" s="6" t="str" cm="1">
        <f t="array" ref="J2457">IFERROR(TRIM(MID(E2457,MIN(FIND({" ";"g";"k";"m";"o"},E2457&amp;" gkmo")),10)),"unknown")</f>
        <v>g</v>
      </c>
      <c r="K2457" s="6" t="str">
        <f t="shared" si="152"/>
        <v>g</v>
      </c>
      <c r="L2457" s="6" t="str">
        <f t="shared" si="153"/>
        <v>Balisto</v>
      </c>
      <c r="M2457" s="6" t="str">
        <f t="shared" si="154"/>
        <v>Balisto Yoberry</v>
      </c>
      <c r="N2457" s="6" t="str">
        <f t="shared" si="155"/>
        <v>À–Sterreich,Belgien,Frankreich,Deutschland</v>
      </c>
    </row>
    <row r="2458" spans="1:14" x14ac:dyDescent="0.25">
      <c r="A2458" s="6" t="s">
        <v>5843</v>
      </c>
      <c r="B2458" s="6">
        <v>12845</v>
      </c>
      <c r="C2458" s="6" t="s">
        <v>5844</v>
      </c>
      <c r="D2458" s="7" t="s">
        <v>7017</v>
      </c>
      <c r="E2458" s="6" t="s">
        <v>28</v>
      </c>
      <c r="F2458" s="6" t="s">
        <v>8154</v>
      </c>
      <c r="G2458" s="8">
        <v>45636</v>
      </c>
      <c r="H2458" s="6">
        <v>6.92</v>
      </c>
      <c r="I2458" s="6" cm="1">
        <f t="array" ref="I2458">IFERROR(VALUE(TRIM(LEFT(E2458,MIN(FIND({" ";"g";"k";"m";"o"},E2458&amp;" gkmo"))-1))),0)</f>
        <v>125</v>
      </c>
      <c r="J2458" s="6" t="str" cm="1">
        <f t="array" ref="J2458">IFERROR(TRIM(MID(E2458,MIN(FIND({" ";"g";"k";"m";"o"},E2458&amp;" gkmo")),10)),"unknown")</f>
        <v>g</v>
      </c>
      <c r="K2458" s="6" t="str">
        <f t="shared" si="152"/>
        <v>g</v>
      </c>
      <c r="L2458" s="6" t="str">
        <f t="shared" si="153"/>
        <v>Unknown</v>
      </c>
      <c r="M2458" s="6" t="str">
        <f t="shared" si="154"/>
        <v>Peanut Pouch</v>
      </c>
      <c r="N2458" s="6" t="str">
        <f t="shared" si="155"/>
        <v>France,Gb,</v>
      </c>
    </row>
    <row r="2459" spans="1:14" x14ac:dyDescent="0.25">
      <c r="A2459" s="6" t="s">
        <v>5845</v>
      </c>
      <c r="B2459" s="6">
        <v>9785</v>
      </c>
      <c r="C2459" s="6" t="s">
        <v>5846</v>
      </c>
      <c r="D2459" s="7" t="s">
        <v>5847</v>
      </c>
      <c r="E2459" s="6" t="s">
        <v>5848</v>
      </c>
      <c r="F2459" s="6" t="s">
        <v>139</v>
      </c>
      <c r="G2459" s="8">
        <v>45659</v>
      </c>
      <c r="H2459" s="6">
        <v>12.43</v>
      </c>
      <c r="I2459" s="6" cm="1">
        <f t="array" ref="I2459">IFERROR(VALUE(TRIM(LEFT(E2459,MIN(FIND({" ";"g";"k";"m";"o"},E2459&amp;" gkmo"))-1))),0)</f>
        <v>75</v>
      </c>
      <c r="J2459" s="6" t="str" cm="1">
        <f t="array" ref="J2459">IFERROR(TRIM(MID(E2459,MIN(FIND({" ";"g";"k";"m";"o"},E2459&amp;" gkmo")),10)),"unknown")</f>
        <v>g (3 x 25</v>
      </c>
      <c r="K2459" s="6" t="str">
        <f t="shared" si="152"/>
        <v>g</v>
      </c>
      <c r="L2459" s="6" t="str">
        <f t="shared" si="153"/>
        <v>Fisherman'S Friend</v>
      </c>
      <c r="M2459" s="6" t="str">
        <f t="shared" si="154"/>
        <v>Pastilles Menthol-Eucalyptus</v>
      </c>
      <c r="N2459" s="6" t="str">
        <f t="shared" si="155"/>
        <v>France</v>
      </c>
    </row>
    <row r="2460" spans="1:14" x14ac:dyDescent="0.25">
      <c r="A2460" s="6" t="s">
        <v>5849</v>
      </c>
      <c r="B2460" s="6">
        <v>8611</v>
      </c>
      <c r="C2460" s="6" t="s">
        <v>5850</v>
      </c>
      <c r="D2460" s="7" t="s">
        <v>180</v>
      </c>
      <c r="E2460" s="6"/>
      <c r="F2460" s="6" t="s">
        <v>8027</v>
      </c>
      <c r="G2460" s="8">
        <v>45917</v>
      </c>
      <c r="H2460" s="6">
        <v>23.72</v>
      </c>
      <c r="I2460" s="6" cm="1">
        <f t="array" ref="I2460">IFERROR(VALUE(TRIM(LEFT(E2460,MIN(FIND({" ";"g";"k";"m";"o"},E2460&amp;" gkmo"))-1))),0)</f>
        <v>0</v>
      </c>
      <c r="J2460" s="6" t="str" cm="1">
        <f t="array" ref="J2460">IFERROR(TRIM(MID(E2460,MIN(FIND({" ";"g";"k";"m";"o"},E2460&amp;" gkmo")),10)),"unknown")</f>
        <v/>
      </c>
      <c r="K2460" s="6" t="str">
        <f t="shared" si="152"/>
        <v>unknown</v>
      </c>
      <c r="L2460" s="6" t="str">
        <f t="shared" si="153"/>
        <v>Kettle</v>
      </c>
      <c r="M2460" s="6" t="str">
        <f t="shared" si="154"/>
        <v>Kettle Chips L / Salt 40G</v>
      </c>
      <c r="N2460" s="6" t="str">
        <f t="shared" si="155"/>
        <v>France, Spain, United-Kingdom</v>
      </c>
    </row>
    <row r="2461" spans="1:14" x14ac:dyDescent="0.25">
      <c r="A2461" s="6" t="s">
        <v>5851</v>
      </c>
      <c r="B2461" s="6">
        <v>13846</v>
      </c>
      <c r="C2461" s="6" t="s">
        <v>5852</v>
      </c>
      <c r="D2461" s="7" t="s">
        <v>1273</v>
      </c>
      <c r="E2461" s="6" t="s">
        <v>476</v>
      </c>
      <c r="F2461" s="6" t="s">
        <v>8155</v>
      </c>
      <c r="G2461" s="8">
        <v>45944</v>
      </c>
      <c r="H2461" s="6">
        <v>22.36</v>
      </c>
      <c r="I2461" s="6" cm="1">
        <f t="array" ref="I2461">IFERROR(VALUE(TRIM(LEFT(E2461,MIN(FIND({" ";"g";"k";"m";"o"},E2461&amp;" gkmo"))-1))),0)</f>
        <v>45</v>
      </c>
      <c r="J2461" s="6" t="str" cm="1">
        <f t="array" ref="J2461">IFERROR(TRIM(MID(E2461,MIN(FIND({" ";"g";"k";"m";"o"},E2461&amp;" gkmo")),10)),"unknown")</f>
        <v>g</v>
      </c>
      <c r="K2461" s="6" t="str">
        <f t="shared" si="152"/>
        <v>g</v>
      </c>
      <c r="L2461" s="6" t="str">
        <f t="shared" si="153"/>
        <v>Eat Real</v>
      </c>
      <c r="M2461" s="6" t="str">
        <f t="shared" si="154"/>
        <v>Eat Real Hummus Chips Tomato &amp; Basil Flavour 45G</v>
      </c>
      <c r="N2461" s="6" t="str">
        <f t="shared" si="155"/>
        <v>Czech Republic, France, United Kingdom, Morocco</v>
      </c>
    </row>
    <row r="2462" spans="1:14" x14ac:dyDescent="0.25">
      <c r="A2462" s="6" t="s">
        <v>5853</v>
      </c>
      <c r="B2462" s="6">
        <v>14672</v>
      </c>
      <c r="C2462" s="6" t="s">
        <v>5854</v>
      </c>
      <c r="D2462" s="7" t="s">
        <v>63</v>
      </c>
      <c r="E2462" s="6" t="s">
        <v>39</v>
      </c>
      <c r="F2462" s="6" t="s">
        <v>400</v>
      </c>
      <c r="G2462" s="8">
        <v>45841</v>
      </c>
      <c r="H2462" s="6">
        <v>16.11</v>
      </c>
      <c r="I2462" s="6" cm="1">
        <f t="array" ref="I2462">IFERROR(VALUE(TRIM(LEFT(E2462,MIN(FIND({" ";"g";"k";"m";"o"},E2462&amp;" gkmo"))-1))),0)</f>
        <v>150</v>
      </c>
      <c r="J2462" s="6" t="str" cm="1">
        <f t="array" ref="J2462">IFERROR(TRIM(MID(E2462,MIN(FIND({" ";"g";"k";"m";"o"},E2462&amp;" gkmo")),10)),"unknown")</f>
        <v>g</v>
      </c>
      <c r="K2462" s="6" t="str">
        <f t="shared" si="152"/>
        <v>g</v>
      </c>
      <c r="L2462" s="6" t="str">
        <f t="shared" si="153"/>
        <v>Tyrrell'S</v>
      </c>
      <c r="M2462" s="6" t="str">
        <f t="shared" si="154"/>
        <v>Limited Edition Black Truffle &amp; Sea Salt</v>
      </c>
      <c r="N2462" s="6" t="str">
        <f t="shared" si="155"/>
        <v>France,United Kingdom</v>
      </c>
    </row>
    <row r="2463" spans="1:14" x14ac:dyDescent="0.25">
      <c r="A2463" s="6" t="s">
        <v>5855</v>
      </c>
      <c r="B2463" s="6">
        <v>8700</v>
      </c>
      <c r="C2463" s="6" t="s">
        <v>948</v>
      </c>
      <c r="D2463" s="7" t="s">
        <v>7845</v>
      </c>
      <c r="E2463" s="6" t="s">
        <v>495</v>
      </c>
      <c r="F2463" s="6" t="s">
        <v>5856</v>
      </c>
      <c r="G2463" s="8">
        <v>45740</v>
      </c>
      <c r="H2463" s="6">
        <v>11.38</v>
      </c>
      <c r="I2463" s="6" cm="1">
        <f t="array" ref="I2463">IFERROR(VALUE(TRIM(LEFT(E2463,MIN(FIND({" ";"g";"k";"m";"o"},E2463&amp;" gkmo"))-1))),0)</f>
        <v>35</v>
      </c>
      <c r="J2463" s="6" t="str" cm="1">
        <f t="array" ref="J2463">IFERROR(TRIM(MID(E2463,MIN(FIND({" ";"g";"k";"m";"o"},E2463&amp;" gkmo")),10)),"unknown")</f>
        <v>g</v>
      </c>
      <c r="K2463" s="6" t="str">
        <f t="shared" si="152"/>
        <v>g</v>
      </c>
      <c r="L2463" s="6" t="str">
        <f t="shared" si="153"/>
        <v>Nà¡Kd</v>
      </c>
      <c r="M2463" s="6" t="str">
        <f t="shared" si="154"/>
        <v>Berry Delight</v>
      </c>
      <c r="N2463" s="6" t="str">
        <f t="shared" si="155"/>
        <v>Czech Republic,France,Netherlands,Uk</v>
      </c>
    </row>
    <row r="2464" spans="1:14" x14ac:dyDescent="0.25">
      <c r="A2464" s="6" t="s">
        <v>5857</v>
      </c>
      <c r="B2464" s="6">
        <v>8856</v>
      </c>
      <c r="C2464" s="6" t="s">
        <v>5858</v>
      </c>
      <c r="D2464" s="7" t="s">
        <v>1533</v>
      </c>
      <c r="E2464" s="6" t="s">
        <v>1441</v>
      </c>
      <c r="F2464" s="6" t="s">
        <v>7926</v>
      </c>
      <c r="G2464" s="8">
        <v>45780</v>
      </c>
      <c r="H2464" s="6">
        <v>13.16</v>
      </c>
      <c r="I2464" s="6" cm="1">
        <f t="array" ref="I2464">IFERROR(VALUE(TRIM(LEFT(E2464,MIN(FIND({" ";"g";"k";"m";"o"},E2464&amp;" gkmo"))-1))),0)</f>
        <v>0</v>
      </c>
      <c r="J2464" s="6" t="str" cm="1">
        <f t="array" ref="J2464">IFERROR(TRIM(MID(E2464,MIN(FIND({" ";"g";"k";"m";"o"},E2464&amp;" gkmo")),10)),"unknown")</f>
        <v>g</v>
      </c>
      <c r="K2464" s="6" t="str">
        <f t="shared" si="152"/>
        <v>g</v>
      </c>
      <c r="L2464" s="6" t="str">
        <f t="shared" si="153"/>
        <v>Bear</v>
      </c>
      <c r="M2464" s="6" t="str">
        <f t="shared" si="154"/>
        <v>Yoyos Mango Multipack 5 X</v>
      </c>
      <c r="N2464" s="6" t="str">
        <f t="shared" si="155"/>
        <v>France, United-Kingdom</v>
      </c>
    </row>
    <row r="2465" spans="1:14" x14ac:dyDescent="0.25">
      <c r="A2465" s="6" t="s">
        <v>5859</v>
      </c>
      <c r="B2465" s="6">
        <v>10674</v>
      </c>
      <c r="C2465" s="6" t="s">
        <v>5860</v>
      </c>
      <c r="D2465" s="7" t="s">
        <v>5860</v>
      </c>
      <c r="E2465" s="6" t="s">
        <v>1721</v>
      </c>
      <c r="F2465" s="6" t="s">
        <v>8005</v>
      </c>
      <c r="G2465" s="8">
        <v>45616</v>
      </c>
      <c r="H2465" s="6">
        <v>8.73</v>
      </c>
      <c r="I2465" s="6" cm="1">
        <f t="array" ref="I2465">IFERROR(VALUE(TRIM(LEFT(E2465,MIN(FIND({" ";"g";"k";"m";"o"},E2465&amp;" gkmo"))-1))),0)</f>
        <v>30</v>
      </c>
      <c r="J2465" s="6" t="str" cm="1">
        <f t="array" ref="J2465">IFERROR(TRIM(MID(E2465,MIN(FIND({" ";"g";"k";"m";"o"},E2465&amp;" gkmo")),10)),"unknown")</f>
        <v>g</v>
      </c>
      <c r="K2465" s="6" t="str">
        <f t="shared" si="152"/>
        <v>g</v>
      </c>
      <c r="L2465" s="6" t="str">
        <f t="shared" si="153"/>
        <v>Sesame Snaps</v>
      </c>
      <c r="M2465" s="6" t="str">
        <f t="shared" si="154"/>
        <v>Sesame Snaps</v>
      </c>
      <c r="N2465" s="6" t="str">
        <f t="shared" si="155"/>
        <v>France,United Kingdom,United-Kingdom</v>
      </c>
    </row>
    <row r="2466" spans="1:14" x14ac:dyDescent="0.25">
      <c r="A2466" s="6" t="s">
        <v>5861</v>
      </c>
      <c r="B2466" s="6">
        <v>9295</v>
      </c>
      <c r="C2466" s="6" t="s">
        <v>7373</v>
      </c>
      <c r="D2466" s="7" t="s">
        <v>5862</v>
      </c>
      <c r="E2466" s="6" t="s">
        <v>5863</v>
      </c>
      <c r="F2466" s="6" t="s">
        <v>139</v>
      </c>
      <c r="G2466" s="8">
        <v>45410</v>
      </c>
      <c r="H2466" s="6">
        <v>13.16</v>
      </c>
      <c r="I2466" s="6" cm="1">
        <f t="array" ref="I2466">IFERROR(VALUE(TRIM(LEFT(E2466,MIN(FIND({" ";"g";"k";"m";"o"},E2466&amp;" gkmo"))-1))),0)</f>
        <v>0</v>
      </c>
      <c r="J2466" s="6" t="str" cm="1">
        <f t="array" ref="J2466">IFERROR(TRIM(MID(E2466,MIN(FIND({" ";"g";"k";"m";"o"},E2466&amp;" gkmo")),10)),"unknown")</f>
        <v>g</v>
      </c>
      <c r="K2466" s="6" t="str">
        <f t="shared" si="152"/>
        <v>g</v>
      </c>
      <c r="L2466" s="6" t="str">
        <f t="shared" si="153"/>
        <v>Lu, Mondelez, Rem</v>
      </c>
      <c r="M2466" s="6" t="str">
        <f t="shared" si="154"/>
        <v>Déjeuner Rem</v>
      </c>
      <c r="N2466" s="6" t="str">
        <f t="shared" si="155"/>
        <v>France</v>
      </c>
    </row>
    <row r="2467" spans="1:14" x14ac:dyDescent="0.25">
      <c r="A2467" s="6" t="s">
        <v>5864</v>
      </c>
      <c r="B2467" s="6">
        <v>12896</v>
      </c>
      <c r="C2467" s="6" t="s">
        <v>5865</v>
      </c>
      <c r="D2467" s="7" t="s">
        <v>3699</v>
      </c>
      <c r="E2467" s="6" t="s">
        <v>5866</v>
      </c>
      <c r="F2467" s="6" t="s">
        <v>8156</v>
      </c>
      <c r="G2467" s="8">
        <v>45669</v>
      </c>
      <c r="H2467" s="6">
        <v>22.96</v>
      </c>
      <c r="I2467" s="6" cm="1">
        <f t="array" ref="I2467">IFERROR(VALUE(TRIM(LEFT(E2467,MIN(FIND({" ";"g";"k";"m";"o"},E2467&amp;" gkmo"))-1))),0)</f>
        <v>90</v>
      </c>
      <c r="J2467" s="6" t="str" cm="1">
        <f t="array" ref="J2467">IFERROR(TRIM(MID(E2467,MIN(FIND({" ";"g";"k";"m";"o"},E2467&amp;" gkmo")),10)),"unknown")</f>
        <v>g,</v>
      </c>
      <c r="K2467" s="6" t="str">
        <f t="shared" si="152"/>
        <v>g</v>
      </c>
      <c r="L2467" s="6" t="str">
        <f t="shared" si="153"/>
        <v>M&amp;M'S</v>
      </c>
      <c r="M2467" s="6" t="str">
        <f t="shared" si="154"/>
        <v>M&amp;M'S Peanut</v>
      </c>
      <c r="N2467" s="6" t="str">
        <f t="shared" si="155"/>
        <v>Belgium, Poland, Romania, Hungary</v>
      </c>
    </row>
    <row r="2468" spans="1:14" x14ac:dyDescent="0.25">
      <c r="A2468" s="6" t="s">
        <v>5867</v>
      </c>
      <c r="B2468" s="6">
        <v>8777</v>
      </c>
      <c r="C2468" s="6" t="s">
        <v>5868</v>
      </c>
      <c r="D2468" s="7" t="s">
        <v>5869</v>
      </c>
      <c r="E2468" s="6">
        <v>30</v>
      </c>
      <c r="F2468" s="6" t="s">
        <v>8034</v>
      </c>
      <c r="G2468" s="8">
        <v>45634</v>
      </c>
      <c r="H2468" s="6">
        <v>23.11</v>
      </c>
      <c r="I2468" s="6" cm="1">
        <f t="array" ref="I2468">IFERROR(VALUE(TRIM(LEFT(E2468,MIN(FIND({" ";"g";"k";"m";"o"},E2468&amp;" gkmo"))-1))),0)</f>
        <v>30</v>
      </c>
      <c r="J2468" s="6" t="str" cm="1">
        <f t="array" ref="J2468">IFERROR(TRIM(MID(E2468,MIN(FIND({" ";"g";"k";"m";"o"},E2468&amp;" gkmo")),10)),"unknown")</f>
        <v/>
      </c>
      <c r="K2468" s="6" t="str">
        <f t="shared" si="152"/>
        <v>unknown</v>
      </c>
      <c r="L2468" s="6" t="str">
        <f t="shared" si="153"/>
        <v>Moldiez</v>
      </c>
      <c r="M2468" s="6" t="str">
        <f t="shared" si="154"/>
        <v>Barni Ciocolata</v>
      </c>
      <c r="N2468" s="6" t="str">
        <f t="shared" si="155"/>
        <v>France, Romania, Bulgaria</v>
      </c>
    </row>
    <row r="2469" spans="1:14" x14ac:dyDescent="0.25">
      <c r="A2469" s="6" t="s">
        <v>5870</v>
      </c>
      <c r="B2469" s="6">
        <v>14371</v>
      </c>
      <c r="C2469" s="6" t="s">
        <v>5871</v>
      </c>
      <c r="D2469" s="7" t="s">
        <v>1883</v>
      </c>
      <c r="E2469" s="6"/>
      <c r="F2469" s="6" t="s">
        <v>8007</v>
      </c>
      <c r="G2469" s="8">
        <v>45357</v>
      </c>
      <c r="H2469" s="6">
        <v>16.75</v>
      </c>
      <c r="I2469" s="6" cm="1">
        <f t="array" ref="I2469">IFERROR(VALUE(TRIM(LEFT(E2469,MIN(FIND({" ";"g";"k";"m";"o"},E2469&amp;" gkmo"))-1))),0)</f>
        <v>0</v>
      </c>
      <c r="J2469" s="6" t="str" cm="1">
        <f t="array" ref="J2469">IFERROR(TRIM(MID(E2469,MIN(FIND({" ";"g";"k";"m";"o"},E2469&amp;" gkmo")),10)),"unknown")</f>
        <v/>
      </c>
      <c r="K2469" s="6" t="str">
        <f t="shared" si="152"/>
        <v>unknown</v>
      </c>
      <c r="L2469" s="6" t="str">
        <f t="shared" si="153"/>
        <v>Green &amp; Blacks</v>
      </c>
      <c r="M2469" s="6" t="str">
        <f t="shared" si="154"/>
        <v>Classic Collection Chocolate Bars</v>
      </c>
      <c r="N2469" s="6" t="str">
        <f t="shared" si="155"/>
        <v>France, United States, United-Kingdom</v>
      </c>
    </row>
    <row r="2470" spans="1:14" x14ac:dyDescent="0.25">
      <c r="A2470" s="6" t="s">
        <v>5872</v>
      </c>
      <c r="B2470" s="6">
        <v>11386</v>
      </c>
      <c r="C2470" s="6" t="s">
        <v>7017</v>
      </c>
      <c r="D2470" s="7" t="s">
        <v>2050</v>
      </c>
      <c r="E2470" s="6" t="s">
        <v>5873</v>
      </c>
      <c r="F2470" s="6" t="s">
        <v>2545</v>
      </c>
      <c r="G2470" s="8">
        <v>45549</v>
      </c>
      <c r="H2470" s="6">
        <v>13.16</v>
      </c>
      <c r="I2470" s="6" cm="1">
        <f t="array" ref="I2470">IFERROR(VALUE(TRIM(LEFT(E2470,MIN(FIND({" ";"g";"k";"m";"o"},E2470&amp;" gkmo"))-1))),0)</f>
        <v>26</v>
      </c>
      <c r="J2470" s="6" t="str" cm="1">
        <f t="array" ref="J2470">IFERROR(TRIM(MID(E2470,MIN(FIND({" ";"g";"k";"m";"o"},E2470&amp;" gkmo")),10)),"unknown")</f>
        <v>g x2</v>
      </c>
      <c r="K2470" s="6" t="str">
        <f t="shared" si="152"/>
        <v>g</v>
      </c>
      <c r="L2470" s="6" t="str">
        <f t="shared" si="153"/>
        <v>Milka,Mondelez</v>
      </c>
      <c r="M2470" s="6" t="str">
        <f t="shared" si="154"/>
        <v>Unknown</v>
      </c>
      <c r="N2470" s="6" t="str">
        <f t="shared" si="155"/>
        <v>France,Italy</v>
      </c>
    </row>
    <row r="2471" spans="1:14" x14ac:dyDescent="0.25">
      <c r="A2471" s="6" t="s">
        <v>5874</v>
      </c>
      <c r="B2471" s="6">
        <v>10360</v>
      </c>
      <c r="C2471" s="6" t="s">
        <v>5875</v>
      </c>
      <c r="D2471" s="7" t="s">
        <v>13</v>
      </c>
      <c r="E2471" s="6" t="s">
        <v>291</v>
      </c>
      <c r="F2471" s="6" t="s">
        <v>6368</v>
      </c>
      <c r="G2471" s="8">
        <v>45444</v>
      </c>
      <c r="H2471" s="6">
        <v>16.920000000000002</v>
      </c>
      <c r="I2471" s="6" cm="1">
        <f t="array" ref="I2471">IFERROR(VALUE(TRIM(LEFT(E2471,MIN(FIND({" ";"g";"k";"m";"o"},E2471&amp;" gkmo"))-1))),0)</f>
        <v>140</v>
      </c>
      <c r="J2471" s="6" t="str" cm="1">
        <f t="array" ref="J2471">IFERROR(TRIM(MID(E2471,MIN(FIND({" ";"g";"k";"m";"o"},E2471&amp;" gkmo")),10)),"unknown")</f>
        <v>g</v>
      </c>
      <c r="K2471" s="6" t="str">
        <f t="shared" si="152"/>
        <v>g</v>
      </c>
      <c r="L2471" s="6" t="str">
        <f t="shared" si="153"/>
        <v>Lu</v>
      </c>
      <c r="M2471" s="6" t="str">
        <f t="shared" si="154"/>
        <v>Petit Moelleux</v>
      </c>
      <c r="N2471" s="6" t="str">
        <f t="shared" si="155"/>
        <v>France,Belgium</v>
      </c>
    </row>
    <row r="2472" spans="1:14" x14ac:dyDescent="0.25">
      <c r="A2472" s="6" t="s">
        <v>5876</v>
      </c>
      <c r="B2472" s="6">
        <v>5976</v>
      </c>
      <c r="C2472" s="6" t="s">
        <v>7374</v>
      </c>
      <c r="D2472" s="7" t="s">
        <v>5877</v>
      </c>
      <c r="E2472" s="6" t="s">
        <v>3220</v>
      </c>
      <c r="F2472" s="6" t="s">
        <v>213</v>
      </c>
      <c r="G2472" s="8">
        <v>45655</v>
      </c>
      <c r="H2472" s="6">
        <v>15.2</v>
      </c>
      <c r="I2472" s="6" cm="1">
        <f t="array" ref="I2472">IFERROR(VALUE(TRIM(LEFT(E2472,MIN(FIND({" ";"g";"k";"m";"o"},E2472&amp;" gkmo"))-1))),0)</f>
        <v>190</v>
      </c>
      <c r="J2472" s="6" t="str" cm="1">
        <f t="array" ref="J2472">IFERROR(TRIM(MID(E2472,MIN(FIND({" ";"g";"k";"m";"o"},E2472&amp;" gkmo")),10)),"unknown")</f>
        <v>g</v>
      </c>
      <c r="K2472" s="6" t="str">
        <f t="shared" si="152"/>
        <v>g</v>
      </c>
      <c r="L2472" s="6" t="str">
        <f t="shared" si="153"/>
        <v>Cote D\'Or</v>
      </c>
      <c r="M2472" s="6" t="str">
        <f t="shared" si="154"/>
        <v>Cote D'Or Noir Truffé</v>
      </c>
      <c r="N2472" s="6" t="str">
        <f t="shared" si="155"/>
        <v>Belgium,France</v>
      </c>
    </row>
    <row r="2473" spans="1:14" x14ac:dyDescent="0.25">
      <c r="A2473" s="6" t="s">
        <v>5878</v>
      </c>
      <c r="B2473" s="6">
        <v>7567</v>
      </c>
      <c r="C2473" s="6" t="s">
        <v>7375</v>
      </c>
      <c r="D2473" s="7" t="s">
        <v>5879</v>
      </c>
      <c r="E2473" s="6" t="s">
        <v>14</v>
      </c>
      <c r="F2473" s="6" t="s">
        <v>2202</v>
      </c>
      <c r="G2473" s="8">
        <v>45654</v>
      </c>
      <c r="H2473" s="6">
        <v>21.52</v>
      </c>
      <c r="I2473" s="6" cm="1">
        <f t="array" ref="I2473">IFERROR(VALUE(TRIM(LEFT(E2473,MIN(FIND({" ";"g";"k";"m";"o"},E2473&amp;" gkmo"))-1))),0)</f>
        <v>300</v>
      </c>
      <c r="J2473" s="6" t="str" cm="1">
        <f t="array" ref="J2473">IFERROR(TRIM(MID(E2473,MIN(FIND({" ";"g";"k";"m";"o"},E2473&amp;" gkmo")),10)),"unknown")</f>
        <v>g</v>
      </c>
      <c r="K2473" s="6" t="str">
        <f t="shared" si="152"/>
        <v>g</v>
      </c>
      <c r="L2473" s="6" t="str">
        <f t="shared" si="153"/>
        <v>Confetteria Raffaello, Ferrero</v>
      </c>
      <c r="M2473" s="6" t="str">
        <f t="shared" si="154"/>
        <v>Raffaello Gaufrettes Enrobées De Noix De Coco Fourrées Cube X30- 300G</v>
      </c>
      <c r="N2473" s="6" t="str">
        <f t="shared" si="155"/>
        <v>Frankreich,Schweiz</v>
      </c>
    </row>
    <row r="2474" spans="1:14" x14ac:dyDescent="0.25">
      <c r="A2474" s="6" t="s">
        <v>5880</v>
      </c>
      <c r="B2474" s="6">
        <v>8122</v>
      </c>
      <c r="C2474" s="6" t="s">
        <v>5881</v>
      </c>
      <c r="D2474" s="7" t="s">
        <v>3272</v>
      </c>
      <c r="E2474" s="6" t="s">
        <v>132</v>
      </c>
      <c r="F2474" s="6" t="s">
        <v>8157</v>
      </c>
      <c r="G2474" s="8">
        <v>45955</v>
      </c>
      <c r="H2474" s="6">
        <v>20.88</v>
      </c>
      <c r="I2474" s="6" cm="1">
        <f t="array" ref="I2474">IFERROR(VALUE(TRIM(LEFT(E2474,MIN(FIND({" ";"g";"k";"m";"o"},E2474&amp;" gkmo"))-1))),0)</f>
        <v>350</v>
      </c>
      <c r="J2474" s="6" t="str" cm="1">
        <f t="array" ref="J2474">IFERROR(TRIM(MID(E2474,MIN(FIND({" ";"g";"k";"m";"o"},E2474&amp;" gkmo")),10)),"unknown")</f>
        <v>g</v>
      </c>
      <c r="K2474" s="6" t="str">
        <f t="shared" si="152"/>
        <v>g</v>
      </c>
      <c r="L2474" s="6" t="str">
        <f t="shared" si="153"/>
        <v>Mulino Bianco</v>
      </c>
      <c r="M2474" s="6" t="str">
        <f t="shared" si="154"/>
        <v>Mulino Bianco Abbracci Biscuits Au Cacao Et A La Creme 350G</v>
      </c>
      <c r="N2474" s="6" t="str">
        <f t="shared" si="155"/>
        <v>Belgium, France, Germany, Italy, United-Kingdom</v>
      </c>
    </row>
    <row r="2475" spans="1:14" x14ac:dyDescent="0.25">
      <c r="A2475" s="6" t="s">
        <v>5882</v>
      </c>
      <c r="B2475" s="6">
        <v>9772</v>
      </c>
      <c r="C2475" s="6" t="s">
        <v>7846</v>
      </c>
      <c r="D2475" s="7" t="s">
        <v>7578</v>
      </c>
      <c r="E2475" s="6" t="s">
        <v>5883</v>
      </c>
      <c r="F2475" s="6" t="s">
        <v>8231</v>
      </c>
      <c r="G2475" s="8">
        <v>45826</v>
      </c>
      <c r="H2475" s="6">
        <v>16.600000000000001</v>
      </c>
      <c r="I2475" s="6" cm="1">
        <f t="array" ref="I2475">IFERROR(VALUE(TRIM(LEFT(E2475,MIN(FIND({" ";"g";"k";"m";"o"},E2475&amp;" gkmo"))-1))),0)</f>
        <v>600</v>
      </c>
      <c r="J2475" s="6" t="str" cm="1">
        <f t="array" ref="J2475">IFERROR(TRIM(MID(E2475,MIN(FIND({" ";"g";"k";"m";"o"},E2475&amp;" gkmo")),10)),"unknown")</f>
        <v>g (3 x 20</v>
      </c>
      <c r="K2475" s="6" t="str">
        <f t="shared" si="152"/>
        <v>g</v>
      </c>
      <c r="L2475" s="6" t="str">
        <f t="shared" si="153"/>
        <v>Gullà³N</v>
      </c>
      <c r="M2475" s="6" t="str">
        <f t="shared" si="154"/>
        <v>Galleta Marà­A Ligera Sin Sal Y Sin Azàºcares Aà±Adidos</v>
      </c>
      <c r="N2475" s="6" t="str">
        <f t="shared" si="155"/>
        <v>France,Espaà±A</v>
      </c>
    </row>
    <row r="2476" spans="1:14" x14ac:dyDescent="0.25">
      <c r="A2476" s="6" t="s">
        <v>5884</v>
      </c>
      <c r="B2476" s="6">
        <v>8134</v>
      </c>
      <c r="C2476" s="6" t="s">
        <v>5885</v>
      </c>
      <c r="D2476" s="7" t="s">
        <v>7017</v>
      </c>
      <c r="E2476" s="6" t="s">
        <v>5886</v>
      </c>
      <c r="F2476" s="6" t="s">
        <v>7595</v>
      </c>
      <c r="G2476" s="8">
        <v>46052</v>
      </c>
      <c r="H2476" s="6">
        <v>17.059999999999999</v>
      </c>
      <c r="I2476" s="6" cm="1">
        <f t="array" ref="I2476">IFERROR(VALUE(TRIM(LEFT(E2476,MIN(FIND({" ";"g";"k";"m";"o"},E2476&amp;" gkmo"))-1))),0)</f>
        <v>329</v>
      </c>
      <c r="J2476" s="6" t="str" cm="1">
        <f t="array" ref="J2476">IFERROR(TRIM(MID(E2476,MIN(FIND({" ";"g";"k";"m";"o"},E2476&amp;" gkmo")),10)),"unknown")</f>
        <v>g</v>
      </c>
      <c r="K2476" s="6" t="str">
        <f t="shared" si="152"/>
        <v>g</v>
      </c>
      <c r="L2476" s="6" t="str">
        <f t="shared" si="153"/>
        <v>Unknown</v>
      </c>
      <c r="M2476" s="6" t="str">
        <f t="shared" si="154"/>
        <v>Galletas Mini Caritas Con Crema De Cacao</v>
      </c>
      <c r="N2476" s="6" t="str">
        <f t="shared" si="155"/>
        <v>Espaà±A</v>
      </c>
    </row>
    <row r="2477" spans="1:14" x14ac:dyDescent="0.25">
      <c r="A2477" s="6" t="s">
        <v>5887</v>
      </c>
      <c r="B2477" s="6">
        <v>5716</v>
      </c>
      <c r="C2477" s="6" t="s">
        <v>2307</v>
      </c>
      <c r="D2477" s="7" t="s">
        <v>5888</v>
      </c>
      <c r="E2477" s="6"/>
      <c r="F2477" s="6" t="s">
        <v>8089</v>
      </c>
      <c r="G2477" s="8">
        <v>45737</v>
      </c>
      <c r="H2477" s="6">
        <v>6.61</v>
      </c>
      <c r="I2477" s="6" cm="1">
        <f t="array" ref="I2477">IFERROR(VALUE(TRIM(LEFT(E2477,MIN(FIND({" ";"g";"k";"m";"o"},E2477&amp;" gkmo"))-1))),0)</f>
        <v>0</v>
      </c>
      <c r="J2477" s="6" t="str" cm="1">
        <f t="array" ref="J2477">IFERROR(TRIM(MID(E2477,MIN(FIND({" ";"g";"k";"m";"o"},E2477&amp;" gkmo")),10)),"unknown")</f>
        <v/>
      </c>
      <c r="K2477" s="6" t="str">
        <f t="shared" si="152"/>
        <v>unknown</v>
      </c>
      <c r="L2477" s="6" t="str">
        <f t="shared" si="153"/>
        <v>Nutrend</v>
      </c>
      <c r="M2477" s="6" t="str">
        <f t="shared" si="154"/>
        <v>Protein Bar</v>
      </c>
      <c r="N2477" s="6" t="str">
        <f t="shared" si="155"/>
        <v>France, Italy</v>
      </c>
    </row>
    <row r="2478" spans="1:14" x14ac:dyDescent="0.25">
      <c r="A2478" s="6" t="s">
        <v>5889</v>
      </c>
      <c r="B2478" s="6">
        <v>6360</v>
      </c>
      <c r="C2478" s="6" t="s">
        <v>5890</v>
      </c>
      <c r="D2478" s="7" t="s">
        <v>3635</v>
      </c>
      <c r="E2478" s="6" t="s">
        <v>3974</v>
      </c>
      <c r="F2478" s="6" t="s">
        <v>7972</v>
      </c>
      <c r="G2478" s="8">
        <v>45892</v>
      </c>
      <c r="H2478" s="6">
        <v>17.18</v>
      </c>
      <c r="I2478" s="6" cm="1">
        <f t="array" ref="I2478">IFERROR(VALUE(TRIM(LEFT(E2478,MIN(FIND({" ";"g";"k";"m";"o"},E2478&amp;" gkmo"))-1))),0)</f>
        <v>24</v>
      </c>
      <c r="J2478" s="6" t="str" cm="1">
        <f t="array" ref="J2478">IFERROR(TRIM(MID(E2478,MIN(FIND({" ";"g";"k";"m";"o"},E2478&amp;" gkmo")),10)),"unknown")</f>
        <v>g</v>
      </c>
      <c r="K2478" s="6" t="str">
        <f t="shared" si="152"/>
        <v>g</v>
      </c>
      <c r="L2478" s="6" t="str">
        <f t="shared" si="153"/>
        <v>Kirkland Signature</v>
      </c>
      <c r="M2478" s="6" t="str">
        <f t="shared" si="154"/>
        <v>Chocolate Chip Soft &amp; Chewy Granola Bar</v>
      </c>
      <c r="N2478" s="6" t="str">
        <f t="shared" si="155"/>
        <v>United States, United-Kingdom</v>
      </c>
    </row>
    <row r="2479" spans="1:14" x14ac:dyDescent="0.25">
      <c r="A2479" s="6" t="s">
        <v>5891</v>
      </c>
      <c r="B2479" s="6">
        <v>5646</v>
      </c>
      <c r="C2479" s="6" t="s">
        <v>2330</v>
      </c>
      <c r="D2479" s="7" t="s">
        <v>7017</v>
      </c>
      <c r="E2479" s="6"/>
      <c r="F2479" s="6" t="s">
        <v>5892</v>
      </c>
      <c r="G2479" s="8">
        <v>45510</v>
      </c>
      <c r="H2479" s="6">
        <v>13.16</v>
      </c>
      <c r="I2479" s="6" cm="1">
        <f t="array" ref="I2479">IFERROR(VALUE(TRIM(LEFT(E2479,MIN(FIND({" ";"g";"k";"m";"o"},E2479&amp;" gkmo"))-1))),0)</f>
        <v>0</v>
      </c>
      <c r="J2479" s="6" t="str" cm="1">
        <f t="array" ref="J2479">IFERROR(TRIM(MID(E2479,MIN(FIND({" ";"g";"k";"m";"o"},E2479&amp;" gkmo")),10)),"unknown")</f>
        <v/>
      </c>
      <c r="K2479" s="6" t="str">
        <f t="shared" si="152"/>
        <v>unknown</v>
      </c>
      <c r="L2479" s="6" t="str">
        <f t="shared" si="153"/>
        <v>Unknown</v>
      </c>
      <c r="M2479" s="6" t="str">
        <f t="shared" si="154"/>
        <v>Original Made With Sea Salt</v>
      </c>
      <c r="N2479" s="6" t="str">
        <f t="shared" si="155"/>
        <v>United States,World</v>
      </c>
    </row>
    <row r="2480" spans="1:14" x14ac:dyDescent="0.25">
      <c r="A2480" s="6" t="s">
        <v>5893</v>
      </c>
      <c r="B2480" s="6">
        <v>12730</v>
      </c>
      <c r="C2480" s="6" t="s">
        <v>5894</v>
      </c>
      <c r="D2480" s="7" t="s">
        <v>1936</v>
      </c>
      <c r="E2480" s="6" t="s">
        <v>580</v>
      </c>
      <c r="F2480" s="6" t="s">
        <v>7926</v>
      </c>
      <c r="G2480" s="8">
        <v>45958</v>
      </c>
      <c r="H2480" s="6">
        <v>13.16</v>
      </c>
      <c r="I2480" s="6" cm="1">
        <f t="array" ref="I2480">IFERROR(VALUE(TRIM(LEFT(E2480,MIN(FIND({" ";"g";"k";"m";"o"},E2480&amp;" gkmo"))-1))),0)</f>
        <v>250</v>
      </c>
      <c r="J2480" s="6" t="str" cm="1">
        <f t="array" ref="J2480">IFERROR(TRIM(MID(E2480,MIN(FIND({" ";"g";"k";"m";"o"},E2480&amp;" gkmo")),10)),"unknown")</f>
        <v>g</v>
      </c>
      <c r="K2480" s="6" t="str">
        <f t="shared" si="152"/>
        <v>g</v>
      </c>
      <c r="L2480" s="6" t="str">
        <f t="shared" si="153"/>
        <v>Belvita</v>
      </c>
      <c r="M2480" s="6" t="str">
        <f t="shared" si="154"/>
        <v>Soft Bakes Strawberry Filled</v>
      </c>
      <c r="N2480" s="6" t="str">
        <f t="shared" si="155"/>
        <v>France, United-Kingdom</v>
      </c>
    </row>
    <row r="2481" spans="1:14" x14ac:dyDescent="0.25">
      <c r="A2481" s="6" t="s">
        <v>5895</v>
      </c>
      <c r="B2481" s="6">
        <v>8845</v>
      </c>
      <c r="C2481" s="6" t="s">
        <v>5896</v>
      </c>
      <c r="D2481" s="7" t="s">
        <v>1402</v>
      </c>
      <c r="E2481" s="6" t="s">
        <v>5519</v>
      </c>
      <c r="F2481" s="6" t="s">
        <v>400</v>
      </c>
      <c r="G2481" s="8">
        <v>45867</v>
      </c>
      <c r="H2481" s="6">
        <v>13.16</v>
      </c>
      <c r="I2481" s="6" cm="1">
        <f t="array" ref="I2481">IFERROR(VALUE(TRIM(LEFT(E2481,MIN(FIND({" ";"g";"k";"m";"o"},E2481&amp;" gkmo"))-1))),0)</f>
        <v>3</v>
      </c>
      <c r="J2481" s="6" t="str" cm="1">
        <f t="array" ref="J2481">IFERROR(TRIM(MID(E2481,MIN(FIND({" ";"g";"k";"m";"o"},E2481&amp;" gkmo")),10)),"unknown")</f>
        <v>x 45 g</v>
      </c>
      <c r="K2481" s="6" t="str">
        <f t="shared" si="152"/>
        <v>g</v>
      </c>
      <c r="L2481" s="6" t="str">
        <f t="shared" si="153"/>
        <v>Eat Natural</v>
      </c>
      <c r="M2481" s="6" t="str">
        <f t="shared" si="154"/>
        <v>Fruit &amp; Nut Bars Protein Packed</v>
      </c>
      <c r="N2481" s="6" t="str">
        <f t="shared" si="155"/>
        <v>France,United Kingdom</v>
      </c>
    </row>
    <row r="2482" spans="1:14" x14ac:dyDescent="0.25">
      <c r="A2482" s="6" t="s">
        <v>5897</v>
      </c>
      <c r="B2482" s="6">
        <v>6740</v>
      </c>
      <c r="C2482" s="6" t="s">
        <v>5898</v>
      </c>
      <c r="D2482" s="7" t="s">
        <v>5899</v>
      </c>
      <c r="E2482" s="6" t="s">
        <v>14</v>
      </c>
      <c r="F2482" s="6" t="s">
        <v>139</v>
      </c>
      <c r="G2482" s="8">
        <v>45964</v>
      </c>
      <c r="H2482" s="6">
        <v>10.28</v>
      </c>
      <c r="I2482" s="6" cm="1">
        <f t="array" ref="I2482">IFERROR(VALUE(TRIM(LEFT(E2482,MIN(FIND({" ";"g";"k";"m";"o"},E2482&amp;" gkmo"))-1))),0)</f>
        <v>300</v>
      </c>
      <c r="J2482" s="6" t="str" cm="1">
        <f t="array" ref="J2482">IFERROR(TRIM(MID(E2482,MIN(FIND({" ";"g";"k";"m";"o"},E2482&amp;" gkmo")),10)),"unknown")</f>
        <v>g</v>
      </c>
      <c r="K2482" s="6" t="str">
        <f t="shared" si="152"/>
        <v>g</v>
      </c>
      <c r="L2482" s="6" t="str">
        <f t="shared" si="153"/>
        <v>Noiseraie</v>
      </c>
      <c r="M2482" s="6" t="str">
        <f t="shared" si="154"/>
        <v>Choco Noisette</v>
      </c>
      <c r="N2482" s="6" t="str">
        <f t="shared" si="155"/>
        <v>France</v>
      </c>
    </row>
    <row r="2483" spans="1:14" x14ac:dyDescent="0.25">
      <c r="A2483" s="6" t="s">
        <v>5900</v>
      </c>
      <c r="B2483" s="6">
        <v>10633</v>
      </c>
      <c r="C2483" s="6" t="s">
        <v>5901</v>
      </c>
      <c r="D2483" s="7" t="s">
        <v>817</v>
      </c>
      <c r="E2483" s="6" t="s">
        <v>64</v>
      </c>
      <c r="F2483" s="6" t="s">
        <v>5222</v>
      </c>
      <c r="G2483" s="8">
        <v>45943</v>
      </c>
      <c r="H2483" s="6">
        <v>11.93</v>
      </c>
      <c r="I2483" s="6" cm="1">
        <f t="array" ref="I2483">IFERROR(VALUE(TRIM(LEFT(E2483,MIN(FIND({" ";"g";"k";"m";"o"},E2483&amp;" gkmo"))-1))),0)</f>
        <v>150</v>
      </c>
      <c r="J2483" s="6" t="str" cm="1">
        <f t="array" ref="J2483">IFERROR(TRIM(MID(E2483,MIN(FIND({" ";"g";"k";"m";"o"},E2483&amp;" gkmo")),10)),"unknown")</f>
        <v>g</v>
      </c>
      <c r="K2483" s="6" t="str">
        <f t="shared" si="152"/>
        <v>g</v>
      </c>
      <c r="L2483" s="6" t="str">
        <f t="shared" si="153"/>
        <v>Soreen</v>
      </c>
      <c r="M2483" s="6" t="str">
        <f t="shared" si="154"/>
        <v>Strawberry Lunchbox Loaves</v>
      </c>
      <c r="N2483" s="6" t="str">
        <f t="shared" si="155"/>
        <v>United Kingdom,United States</v>
      </c>
    </row>
    <row r="2484" spans="1:14" x14ac:dyDescent="0.25">
      <c r="A2484" s="6" t="s">
        <v>5902</v>
      </c>
      <c r="B2484" s="6">
        <v>14460</v>
      </c>
      <c r="C2484" s="6" t="s">
        <v>5903</v>
      </c>
      <c r="D2484" s="7" t="s">
        <v>248</v>
      </c>
      <c r="E2484" s="6" t="s">
        <v>1228</v>
      </c>
      <c r="F2484" s="6" t="s">
        <v>177</v>
      </c>
      <c r="G2484" s="8">
        <v>45773</v>
      </c>
      <c r="H2484" s="6">
        <v>13.16</v>
      </c>
      <c r="I2484" s="6" cm="1">
        <f t="array" ref="I2484">IFERROR(VALUE(TRIM(LEFT(E2484,MIN(FIND({" ";"g";"k";"m";"o"},E2484&amp;" gkmo"))-1))),0)</f>
        <v>60</v>
      </c>
      <c r="J2484" s="6" t="str" cm="1">
        <f t="array" ref="J2484">IFERROR(TRIM(MID(E2484,MIN(FIND({" ";"g";"k";"m";"o"},E2484&amp;" gkmo")),10)),"unknown")</f>
        <v>g</v>
      </c>
      <c r="K2484" s="6" t="str">
        <f t="shared" si="152"/>
        <v>g</v>
      </c>
      <c r="L2484" s="6" t="str">
        <f t="shared" si="153"/>
        <v>Tesco</v>
      </c>
      <c r="M2484" s="6" t="str">
        <f t="shared" si="154"/>
        <v>Prawn Crackers</v>
      </c>
      <c r="N2484" s="6" t="str">
        <f t="shared" si="155"/>
        <v>United Kingdom</v>
      </c>
    </row>
    <row r="2485" spans="1:14" x14ac:dyDescent="0.25">
      <c r="A2485" s="6" t="s">
        <v>5904</v>
      </c>
      <c r="B2485" s="6">
        <v>5321</v>
      </c>
      <c r="C2485" s="6" t="s">
        <v>7017</v>
      </c>
      <c r="D2485" s="7" t="s">
        <v>5905</v>
      </c>
      <c r="E2485" s="6" t="s">
        <v>1309</v>
      </c>
      <c r="F2485" s="6" t="s">
        <v>7847</v>
      </c>
      <c r="G2485" s="8">
        <v>45656</v>
      </c>
      <c r="H2485" s="6">
        <v>13.16</v>
      </c>
      <c r="I2485" s="6" cm="1">
        <f t="array" ref="I2485">IFERROR(VALUE(TRIM(LEFT(E2485,MIN(FIND({" ";"g";"k";"m";"o"},E2485&amp;" gkmo"))-1))),0)</f>
        <v>300</v>
      </c>
      <c r="J2485" s="6" t="str" cm="1">
        <f t="array" ref="J2485">IFERROR(TRIM(MID(E2485,MIN(FIND({" ";"g";"k";"m";"o"},E2485&amp;" gkmo")),10)),"unknown")</f>
        <v>g</v>
      </c>
      <c r="K2485" s="6" t="str">
        <f t="shared" si="152"/>
        <v>g</v>
      </c>
      <c r="L2485" s="6" t="str">
        <f t="shared" si="153"/>
        <v>Bedo Imex B.V., Microwave</v>
      </c>
      <c r="M2485" s="6" t="str">
        <f t="shared" si="154"/>
        <v>Unknown</v>
      </c>
      <c r="N2485" s="6" t="str">
        <f t="shared" si="155"/>
        <v>Belgicko,Francàºzsko,Nemecko,Slovensko</v>
      </c>
    </row>
    <row r="2486" spans="1:14" x14ac:dyDescent="0.25">
      <c r="A2486" s="6" t="s">
        <v>5906</v>
      </c>
      <c r="B2486" s="6">
        <v>14880</v>
      </c>
      <c r="C2486" s="6" t="s">
        <v>5907</v>
      </c>
      <c r="D2486" s="7" t="s">
        <v>244</v>
      </c>
      <c r="E2486" s="6" t="s">
        <v>1418</v>
      </c>
      <c r="F2486" s="6" t="s">
        <v>1185</v>
      </c>
      <c r="G2486" s="8">
        <v>45982</v>
      </c>
      <c r="H2486" s="6">
        <v>11.53</v>
      </c>
      <c r="I2486" s="6" cm="1">
        <f t="array" ref="I2486">IFERROR(VALUE(TRIM(LEFT(E2486,MIN(FIND({" ";"g";"k";"m";"o"},E2486&amp;" gkmo"))-1))),0)</f>
        <v>4</v>
      </c>
      <c r="J2486" s="6" t="str" cm="1">
        <f t="array" ref="J2486">IFERROR(TRIM(MID(E2486,MIN(FIND({" ";"g";"k";"m";"o"},E2486&amp;" gkmo")),10)),"unknown")</f>
        <v>x 40 g</v>
      </c>
      <c r="K2486" s="6" t="str">
        <f t="shared" si="152"/>
        <v>g</v>
      </c>
      <c r="L2486" s="6" t="str">
        <f t="shared" si="153"/>
        <v>General Mills,Nature Valley</v>
      </c>
      <c r="M2486" s="6" t="str">
        <f t="shared" si="154"/>
        <v>Protein Arachidi &amp; Cioccolato</v>
      </c>
      <c r="N2486" s="6" t="str">
        <f t="shared" si="155"/>
        <v>Spain</v>
      </c>
    </row>
    <row r="2487" spans="1:14" x14ac:dyDescent="0.25">
      <c r="A2487" s="6" t="s">
        <v>5908</v>
      </c>
      <c r="B2487" s="6">
        <v>10855</v>
      </c>
      <c r="C2487" s="6" t="s">
        <v>5909</v>
      </c>
      <c r="D2487" s="7" t="s">
        <v>452</v>
      </c>
      <c r="E2487" s="6" t="s">
        <v>5910</v>
      </c>
      <c r="F2487" s="6" t="s">
        <v>7573</v>
      </c>
      <c r="G2487" s="8">
        <v>45359</v>
      </c>
      <c r="H2487" s="6">
        <v>3.79</v>
      </c>
      <c r="I2487" s="6" cm="1">
        <f t="array" ref="I2487">IFERROR(VALUE(TRIM(LEFT(E2487,MIN(FIND({" ";"g";"k";"m";"o"},E2487&amp;" gkmo"))-1))),0)</f>
        <v>150</v>
      </c>
      <c r="J2487" s="6" t="str" cm="1">
        <f t="array" ref="J2487">IFERROR(TRIM(MID(E2487,MIN(FIND({" ";"g";"k";"m";"o"},E2487&amp;" gkmo")),10)),"unknown")</f>
        <v>g (4 x 37</v>
      </c>
      <c r="K2487" s="6" t="str">
        <f t="shared" si="152"/>
        <v>g</v>
      </c>
      <c r="L2487" s="6" t="str">
        <f t="shared" si="153"/>
        <v>Hacendado</v>
      </c>
      <c r="M2487" s="6" t="str">
        <f t="shared" si="154"/>
        <v>Galleta Choco Negro</v>
      </c>
      <c r="N2487" s="6" t="str">
        <f t="shared" si="155"/>
        <v>Portugal,Espaà±A</v>
      </c>
    </row>
    <row r="2488" spans="1:14" x14ac:dyDescent="0.25">
      <c r="A2488" s="6" t="s">
        <v>5911</v>
      </c>
      <c r="B2488" s="6">
        <v>13051</v>
      </c>
      <c r="C2488" s="6" t="s">
        <v>7908</v>
      </c>
      <c r="D2488" s="7" t="s">
        <v>5860</v>
      </c>
      <c r="E2488" s="6" t="s">
        <v>2081</v>
      </c>
      <c r="F2488" s="6" t="s">
        <v>7942</v>
      </c>
      <c r="G2488" s="8">
        <v>45699</v>
      </c>
      <c r="H2488" s="6">
        <v>15.44</v>
      </c>
      <c r="I2488" s="6" cm="1">
        <f t="array" ref="I2488">IFERROR(VALUE(TRIM(LEFT(E2488,MIN(FIND({" ";"g";"k";"m";"o"},E2488&amp;" gkmo"))-1))),0)</f>
        <v>120</v>
      </c>
      <c r="J2488" s="6" t="str" cm="1">
        <f t="array" ref="J2488">IFERROR(TRIM(MID(E2488,MIN(FIND({" ";"g";"k";"m";"o"},E2488&amp;" gkmo")),10)),"unknown")</f>
        <v>g</v>
      </c>
      <c r="K2488" s="6" t="str">
        <f t="shared" si="152"/>
        <v>g</v>
      </c>
      <c r="L2488" s="6" t="str">
        <f t="shared" si="153"/>
        <v>Sesame Snaps</v>
      </c>
      <c r="M2488" s="6" t="str">
        <f t="shared" si="154"/>
        <v>Sesame Snaps 4 X</v>
      </c>
      <c r="N2488" s="6" t="str">
        <f t="shared" si="155"/>
        <v>United Kingdom,United-Kingdom</v>
      </c>
    </row>
    <row r="2489" spans="1:14" x14ac:dyDescent="0.25">
      <c r="A2489" s="6" t="s">
        <v>5912</v>
      </c>
      <c r="B2489" s="6">
        <v>8943</v>
      </c>
      <c r="C2489" s="6" t="s">
        <v>5913</v>
      </c>
      <c r="D2489" s="7" t="s">
        <v>3849</v>
      </c>
      <c r="E2489" s="6" t="s">
        <v>676</v>
      </c>
      <c r="F2489" s="6" t="s">
        <v>8392</v>
      </c>
      <c r="G2489" s="8">
        <v>45925</v>
      </c>
      <c r="H2489" s="6">
        <v>13.16</v>
      </c>
      <c r="I2489" s="6" cm="1">
        <f t="array" ref="I2489">IFERROR(VALUE(TRIM(LEFT(E2489,MIN(FIND({" ";"g";"k";"m";"o"},E2489&amp;" gkmo"))-1))),0)</f>
        <v>180</v>
      </c>
      <c r="J2489" s="6" t="str" cm="1">
        <f t="array" ref="J2489">IFERROR(TRIM(MID(E2489,MIN(FIND({" ";"g";"k";"m";"o"},E2489&amp;" gkmo")),10)),"unknown")</f>
        <v>g</v>
      </c>
      <c r="K2489" s="6" t="str">
        <f t="shared" si="152"/>
        <v>g</v>
      </c>
      <c r="L2489" s="6" t="str">
        <f t="shared" si="153"/>
        <v>Butterkist</v>
      </c>
      <c r="M2489" s="6" t="str">
        <f t="shared" si="154"/>
        <v>Simply Salted</v>
      </c>
      <c r="N2489" s="6" t="str">
        <f t="shared" si="155"/>
        <v>Espaà±A,United Kingdom</v>
      </c>
    </row>
    <row r="2490" spans="1:14" x14ac:dyDescent="0.25">
      <c r="A2490" s="6" t="s">
        <v>5914</v>
      </c>
      <c r="B2490" s="6">
        <v>5125</v>
      </c>
      <c r="C2490" s="6" t="s">
        <v>5915</v>
      </c>
      <c r="D2490" s="7" t="s">
        <v>4028</v>
      </c>
      <c r="E2490" s="6" t="s">
        <v>14</v>
      </c>
      <c r="F2490" s="6" t="s">
        <v>5916</v>
      </c>
      <c r="G2490" s="8">
        <v>45893</v>
      </c>
      <c r="H2490" s="6">
        <v>6.86</v>
      </c>
      <c r="I2490" s="6" cm="1">
        <f t="array" ref="I2490">IFERROR(VALUE(TRIM(LEFT(E2490,MIN(FIND({" ";"g";"k";"m";"o"},E2490&amp;" gkmo"))-1))),0)</f>
        <v>300</v>
      </c>
      <c r="J2490" s="6" t="str" cm="1">
        <f t="array" ref="J2490">IFERROR(TRIM(MID(E2490,MIN(FIND({" ";"g";"k";"m";"o"},E2490&amp;" gkmo")),10)),"unknown")</f>
        <v>g</v>
      </c>
      <c r="K2490" s="6" t="str">
        <f t="shared" si="152"/>
        <v>g</v>
      </c>
      <c r="L2490" s="6" t="str">
        <f t="shared" si="153"/>
        <v>Snack Day</v>
      </c>
      <c r="M2490" s="6" t="str">
        <f t="shared" si="154"/>
        <v>Popcorn</v>
      </c>
      <c r="N2490" s="6" t="str">
        <f t="shared" si="155"/>
        <v>Ð‘Ñšð»Ð³Ð°Ñ€Ð¸Ñ,Ð Ñƒð¼Ñšð½Ð¸Ñ</v>
      </c>
    </row>
    <row r="2491" spans="1:14" x14ac:dyDescent="0.25">
      <c r="A2491" s="6" t="s">
        <v>5917</v>
      </c>
      <c r="B2491" s="6">
        <v>7454</v>
      </c>
      <c r="C2491" s="6" t="s">
        <v>5918</v>
      </c>
      <c r="D2491" s="7" t="s">
        <v>5919</v>
      </c>
      <c r="E2491" s="6" t="s">
        <v>5920</v>
      </c>
      <c r="F2491" s="6" t="s">
        <v>8158</v>
      </c>
      <c r="G2491" s="8">
        <v>45707</v>
      </c>
      <c r="H2491" s="6">
        <v>9.14</v>
      </c>
      <c r="I2491" s="6" cm="1">
        <f t="array" ref="I2491">IFERROR(VALUE(TRIM(LEFT(E2491,MIN(FIND({" ";"g";"k";"m";"o"},E2491&amp;" gkmo"))-1))),0)</f>
        <v>34.5</v>
      </c>
      <c r="J2491" s="6" t="str" cm="1">
        <f t="array" ref="J2491">IFERROR(TRIM(MID(E2491,MIN(FIND({" ";"g";"k";"m";"o"},E2491&amp;" gkmo")),10)),"unknown")</f>
        <v>g</v>
      </c>
      <c r="K2491" s="6" t="str">
        <f t="shared" si="152"/>
        <v>g</v>
      </c>
      <c r="L2491" s="6" t="str">
        <f t="shared" si="153"/>
        <v>Ferrero, Hanuta</v>
      </c>
      <c r="M2491" s="6" t="str">
        <f t="shared" si="154"/>
        <v>Hanuta Riegel</v>
      </c>
      <c r="N2491" s="6" t="str">
        <f t="shared" si="155"/>
        <v>Bulgaria, Germany, Morocco</v>
      </c>
    </row>
    <row r="2492" spans="1:14" x14ac:dyDescent="0.25">
      <c r="A2492" s="6" t="s">
        <v>5921</v>
      </c>
      <c r="B2492" s="6">
        <v>5190</v>
      </c>
      <c r="C2492" s="6" t="s">
        <v>5922</v>
      </c>
      <c r="D2492" s="7" t="s">
        <v>452</v>
      </c>
      <c r="E2492" s="6">
        <v>350</v>
      </c>
      <c r="F2492" s="6" t="s">
        <v>7595</v>
      </c>
      <c r="G2492" s="8">
        <v>45412</v>
      </c>
      <c r="H2492" s="6">
        <v>4.68</v>
      </c>
      <c r="I2492" s="6" cm="1">
        <f t="array" ref="I2492">IFERROR(VALUE(TRIM(LEFT(E2492,MIN(FIND({" ";"g";"k";"m";"o"},E2492&amp;" gkmo"))-1))),0)</f>
        <v>350</v>
      </c>
      <c r="J2492" s="6" t="str" cm="1">
        <f t="array" ref="J2492">IFERROR(TRIM(MID(E2492,MIN(FIND({" ";"g";"k";"m";"o"},E2492&amp;" gkmo")),10)),"unknown")</f>
        <v/>
      </c>
      <c r="K2492" s="6" t="str">
        <f t="shared" si="152"/>
        <v>unknown</v>
      </c>
      <c r="L2492" s="6" t="str">
        <f t="shared" si="153"/>
        <v>Hacendado</v>
      </c>
      <c r="M2492" s="6" t="str">
        <f t="shared" si="154"/>
        <v>Jengibre</v>
      </c>
      <c r="N2492" s="6" t="str">
        <f t="shared" si="155"/>
        <v>Espaà±A</v>
      </c>
    </row>
    <row r="2493" spans="1:14" x14ac:dyDescent="0.25">
      <c r="A2493" s="6" t="s">
        <v>3323</v>
      </c>
      <c r="B2493" s="6">
        <v>13112</v>
      </c>
      <c r="C2493" s="6" t="s">
        <v>5923</v>
      </c>
      <c r="D2493" s="7" t="s">
        <v>5924</v>
      </c>
      <c r="E2493" s="6" t="s">
        <v>5925</v>
      </c>
      <c r="F2493" s="6" t="s">
        <v>8159</v>
      </c>
      <c r="G2493" s="8">
        <v>45405</v>
      </c>
      <c r="H2493" s="6">
        <v>15.58</v>
      </c>
      <c r="I2493" s="6" cm="1">
        <f t="array" ref="I2493">IFERROR(VALUE(TRIM(LEFT(E2493,MIN(FIND({" ";"g";"k";"m";"o"},E2493&amp;" gkmo"))-1))),0)</f>
        <v>5</v>
      </c>
      <c r="J2493" s="6" t="str" cm="1">
        <f t="array" ref="J2493">IFERROR(TRIM(MID(E2493,MIN(FIND({" ";"g";"k";"m";"o"},E2493&amp;" gkmo")),10)),"unknown")</f>
        <v>oz (142 g</v>
      </c>
      <c r="K2493" s="6" t="str">
        <f t="shared" si="152"/>
        <v>g</v>
      </c>
      <c r="L2493" s="6" t="str">
        <f t="shared" si="153"/>
        <v>Siete</v>
      </c>
      <c r="M2493" s="6" t="str">
        <f t="shared" si="154"/>
        <v>Grain Free Tortilla Chips</v>
      </c>
      <c r="N2493" s="6" t="str">
        <f t="shared" si="155"/>
        <v>France, World, United-States</v>
      </c>
    </row>
    <row r="2494" spans="1:14" x14ac:dyDescent="0.25">
      <c r="A2494" s="6" t="s">
        <v>5926</v>
      </c>
      <c r="B2494" s="6">
        <v>6893</v>
      </c>
      <c r="C2494" s="6" t="s">
        <v>5927</v>
      </c>
      <c r="D2494" s="7" t="s">
        <v>5928</v>
      </c>
      <c r="E2494" s="6" t="s">
        <v>5929</v>
      </c>
      <c r="F2494" s="6" t="s">
        <v>2973</v>
      </c>
      <c r="G2494" s="8">
        <v>45605</v>
      </c>
      <c r="H2494" s="6">
        <v>24.45</v>
      </c>
      <c r="I2494" s="6" cm="1">
        <f t="array" ref="I2494">IFERROR(VALUE(TRIM(LEFT(E2494,MIN(FIND({" ";"g";"k";"m";"o"},E2494&amp;" gkmo"))-1))),0)</f>
        <v>12</v>
      </c>
      <c r="J2494" s="6" t="str" cm="1">
        <f t="array" ref="J2494">IFERROR(TRIM(MID(E2494,MIN(FIND({" ";"g";"k";"m";"o"},E2494&amp;" gkmo")),10)),"unknown")</f>
        <v>x 24g</v>
      </c>
      <c r="K2494" s="6" t="str">
        <f t="shared" si="152"/>
        <v>g</v>
      </c>
      <c r="L2494" s="6" t="str">
        <f t="shared" si="153"/>
        <v>Hula Hoops, Kp Snacks</v>
      </c>
      <c r="M2494" s="6" t="str">
        <f t="shared" si="154"/>
        <v>Hula Hoops Original</v>
      </c>
      <c r="N2494" s="6" t="str">
        <f t="shared" si="155"/>
        <v>Gb</v>
      </c>
    </row>
    <row r="2495" spans="1:14" x14ac:dyDescent="0.25">
      <c r="A2495" s="6" t="s">
        <v>5930</v>
      </c>
      <c r="B2495" s="6">
        <v>5509</v>
      </c>
      <c r="C2495" s="6" t="s">
        <v>5931</v>
      </c>
      <c r="D2495" s="7" t="s">
        <v>5932</v>
      </c>
      <c r="E2495" s="6" t="s">
        <v>5933</v>
      </c>
      <c r="F2495" s="6" t="s">
        <v>5934</v>
      </c>
      <c r="G2495" s="8">
        <v>46049</v>
      </c>
      <c r="H2495" s="6">
        <v>22.36</v>
      </c>
      <c r="I2495" s="6" cm="1">
        <f t="array" ref="I2495">IFERROR(VALUE(TRIM(LEFT(E2495,MIN(FIND({" ";"g";"k";"m";"o"},E2495&amp;" gkmo"))-1))),0)</f>
        <v>1</v>
      </c>
      <c r="J2495" s="6" t="str" cm="1">
        <f t="array" ref="J2495">IFERROR(TRIM(MID(E2495,MIN(FIND({" ";"g";"k";"m";"o"},E2495&amp;" gkmo")),10)),"unknown")</f>
        <v>brownie</v>
      </c>
      <c r="K2495" s="6" t="str">
        <f t="shared" si="152"/>
        <v>unknown</v>
      </c>
      <c r="L2495" s="6" t="str">
        <f t="shared" si="153"/>
        <v>Mr. Brownie</v>
      </c>
      <c r="M2495" s="6" t="str">
        <f t="shared" si="154"/>
        <v>Galactic Brownies With Chocolate Candies, Chocolate Candies</v>
      </c>
      <c r="N2495" s="6" t="str">
        <f t="shared" si="155"/>
        <v>Frankreich, Spanien, Welt, Germany</v>
      </c>
    </row>
    <row r="2496" spans="1:14" x14ac:dyDescent="0.25">
      <c r="A2496" s="6" t="s">
        <v>5935</v>
      </c>
      <c r="B2496" s="6">
        <v>7396</v>
      </c>
      <c r="C2496" s="6" t="s">
        <v>5936</v>
      </c>
      <c r="D2496" s="7" t="s">
        <v>5541</v>
      </c>
      <c r="E2496" s="6"/>
      <c r="F2496" s="6" t="s">
        <v>2973</v>
      </c>
      <c r="G2496" s="8">
        <v>45525</v>
      </c>
      <c r="H2496" s="6">
        <v>18.170000000000002</v>
      </c>
      <c r="I2496" s="6" cm="1">
        <f t="array" ref="I2496">IFERROR(VALUE(TRIM(LEFT(E2496,MIN(FIND({" ";"g";"k";"m";"o"},E2496&amp;" gkmo"))-1))),0)</f>
        <v>0</v>
      </c>
      <c r="J2496" s="6" t="str" cm="1">
        <f t="array" ref="J2496">IFERROR(TRIM(MID(E2496,MIN(FIND({" ";"g";"k";"m";"o"},E2496&amp;" gkmo")),10)),"unknown")</f>
        <v/>
      </c>
      <c r="K2496" s="6" t="str">
        <f t="shared" si="152"/>
        <v>unknown</v>
      </c>
      <c r="L2496" s="6" t="str">
        <f t="shared" si="153"/>
        <v>Mccoy'S</v>
      </c>
      <c r="M2496" s="6" t="str">
        <f t="shared" si="154"/>
        <v>Ridge Cut Flame Grilled Steak</v>
      </c>
      <c r="N2496" s="6" t="str">
        <f t="shared" si="155"/>
        <v>Gb</v>
      </c>
    </row>
    <row r="2497" spans="1:14" x14ac:dyDescent="0.25">
      <c r="A2497" s="6" t="s">
        <v>5937</v>
      </c>
      <c r="B2497" s="6">
        <v>8252</v>
      </c>
      <c r="C2497" s="6" t="s">
        <v>5938</v>
      </c>
      <c r="D2497" s="7" t="s">
        <v>5939</v>
      </c>
      <c r="E2497" s="6"/>
      <c r="F2497" s="6" t="s">
        <v>2973</v>
      </c>
      <c r="G2497" s="8">
        <v>45667</v>
      </c>
      <c r="H2497" s="6">
        <v>16.41</v>
      </c>
      <c r="I2497" s="6" cm="1">
        <f t="array" ref="I2497">IFERROR(VALUE(TRIM(LEFT(E2497,MIN(FIND({" ";"g";"k";"m";"o"},E2497&amp;" gkmo"))-1))),0)</f>
        <v>0</v>
      </c>
      <c r="J2497" s="6" t="str" cm="1">
        <f t="array" ref="J2497">IFERROR(TRIM(MID(E2497,MIN(FIND({" ";"g";"k";"m";"o"},E2497&amp;" gkmo")),10)),"unknown")</f>
        <v/>
      </c>
      <c r="K2497" s="6" t="str">
        <f t="shared" si="152"/>
        <v>unknown</v>
      </c>
      <c r="L2497" s="6" t="str">
        <f t="shared" si="153"/>
        <v>Aldi</v>
      </c>
      <c r="M2497" s="6" t="str">
        <f t="shared" si="154"/>
        <v>Lightly Salted Hand Cooked Crinkle Cut Crisis</v>
      </c>
      <c r="N2497" s="6" t="str">
        <f t="shared" si="155"/>
        <v>Gb</v>
      </c>
    </row>
    <row r="2498" spans="1:14" x14ac:dyDescent="0.25">
      <c r="A2498" s="6" t="s">
        <v>5940</v>
      </c>
      <c r="B2498" s="6">
        <v>9071</v>
      </c>
      <c r="C2498" s="6" t="s">
        <v>5941</v>
      </c>
      <c r="D2498" s="7" t="s">
        <v>1572</v>
      </c>
      <c r="E2498" s="6"/>
      <c r="F2498" s="6" t="s">
        <v>2973</v>
      </c>
      <c r="G2498" s="8">
        <v>45838</v>
      </c>
      <c r="H2498" s="6">
        <v>1.33</v>
      </c>
      <c r="I2498" s="6" cm="1">
        <f t="array" ref="I2498">IFERROR(VALUE(TRIM(LEFT(E2498,MIN(FIND({" ";"g";"k";"m";"o"},E2498&amp;" gkmo"))-1))),0)</f>
        <v>0</v>
      </c>
      <c r="J2498" s="6" t="str" cm="1">
        <f t="array" ref="J2498">IFERROR(TRIM(MID(E2498,MIN(FIND({" ";"g";"k";"m";"o"},E2498&amp;" gkmo")),10)),"unknown")</f>
        <v/>
      </c>
      <c r="K2498" s="6" t="str">
        <f t="shared" ref="K2498:K2561" si="156">IF(E2498="","unknown",IF(OR(J2498="g",LEFT(J2498,1)="g"),"g",IF(OR(LEFT(J2498,2)="kg",LEFT(J2498,2)="ki"),"kg",IF(OR(LEFT(J2498,2)="ml",LEFT(J2498,1)="m"),"ml",IF(LEFT(J2498,1)="l","l",IF(ISNUMBER(SEARCH("g",E2498)),"g",IF(ISNUMBER(SEARCH("kg",E2498)),"kg",IF(ISNUMBER(SEARCH("ml",E2498)),"ml","unknown"))))))))</f>
        <v>unknown</v>
      </c>
      <c r="L2498" s="6" t="str">
        <f t="shared" ref="L2498:L2561" si="157">IF(D2498="","Unknown",PROPER(TRIM(D2498)))</f>
        <v>Asda</v>
      </c>
      <c r="M2498" s="6" t="str">
        <f t="shared" ref="M2498:M2561" si="158">IF(C2498="Unknown","Unknown",PROPER(TRIM(C2498)))</f>
        <v>Sea Salted Crisps</v>
      </c>
      <c r="N2498" s="6" t="str">
        <f t="shared" si="155"/>
        <v>Gb</v>
      </c>
    </row>
    <row r="2499" spans="1:14" x14ac:dyDescent="0.25">
      <c r="A2499" s="6" t="s">
        <v>5942</v>
      </c>
      <c r="B2499" s="6">
        <v>5039</v>
      </c>
      <c r="C2499" s="6" t="s">
        <v>5943</v>
      </c>
      <c r="D2499" s="7" t="s">
        <v>5480</v>
      </c>
      <c r="E2499" s="6" t="s">
        <v>2998</v>
      </c>
      <c r="F2499" s="6" t="s">
        <v>8160</v>
      </c>
      <c r="G2499" s="8">
        <v>45809</v>
      </c>
      <c r="H2499" s="6">
        <v>21.8</v>
      </c>
      <c r="I2499" s="6" cm="1">
        <f t="array" ref="I2499">IFERROR(VALUE(TRIM(LEFT(E2499,MIN(FIND({" ";"g";"k";"m";"o"},E2499&amp;" gkmo"))-1))),0)</f>
        <v>70</v>
      </c>
      <c r="J2499" s="6" t="str" cm="1">
        <f t="array" ref="J2499">IFERROR(TRIM(MID(E2499,MIN(FIND({" ";"g";"k";"m";"o"},E2499&amp;" gkmo")),10)),"unknown")</f>
        <v>g</v>
      </c>
      <c r="K2499" s="6" t="str">
        <f t="shared" si="156"/>
        <v>g</v>
      </c>
      <c r="L2499" s="6" t="str">
        <f t="shared" si="157"/>
        <v>Elephant</v>
      </c>
      <c r="M2499" s="6" t="str">
        <f t="shared" si="158"/>
        <v>Baked Squeezed Pretzels With Tomatoes And Herbs</v>
      </c>
      <c r="N2499" s="6" t="str">
        <f t="shared" ref="N2499:N2562" si="159">IF(F2499="","Unknown",PROPER(TRIM(F2499)))</f>
        <v>France, Germany, Hungary, Morocco</v>
      </c>
    </row>
    <row r="2500" spans="1:14" x14ac:dyDescent="0.25">
      <c r="A2500" s="6" t="s">
        <v>5944</v>
      </c>
      <c r="B2500" s="6">
        <v>14406</v>
      </c>
      <c r="C2500" s="6" t="s">
        <v>5945</v>
      </c>
      <c r="D2500" s="7" t="s">
        <v>3370</v>
      </c>
      <c r="E2500" s="6"/>
      <c r="F2500" s="6" t="s">
        <v>2973</v>
      </c>
      <c r="G2500" s="8">
        <v>45589</v>
      </c>
      <c r="H2500" s="6">
        <v>19.420000000000002</v>
      </c>
      <c r="I2500" s="6" cm="1">
        <f t="array" ref="I2500">IFERROR(VALUE(TRIM(LEFT(E2500,MIN(FIND({" ";"g";"k";"m";"o"},E2500&amp;" gkmo"))-1))),0)</f>
        <v>0</v>
      </c>
      <c r="J2500" s="6" t="str" cm="1">
        <f t="array" ref="J2500">IFERROR(TRIM(MID(E2500,MIN(FIND({" ";"g";"k";"m";"o"},E2500&amp;" gkmo")),10)),"unknown")</f>
        <v/>
      </c>
      <c r="K2500" s="6" t="str">
        <f t="shared" si="156"/>
        <v>unknown</v>
      </c>
      <c r="L2500" s="6" t="str">
        <f t="shared" si="157"/>
        <v>Snaktastic</v>
      </c>
      <c r="M2500" s="6" t="str">
        <f t="shared" si="158"/>
        <v>Multigrain Bites</v>
      </c>
      <c r="N2500" s="6" t="str">
        <f t="shared" si="159"/>
        <v>Gb</v>
      </c>
    </row>
    <row r="2501" spans="1:14" x14ac:dyDescent="0.25">
      <c r="A2501" s="6" t="s">
        <v>5946</v>
      </c>
      <c r="B2501" s="6">
        <v>13151</v>
      </c>
      <c r="C2501" s="6" t="s">
        <v>5947</v>
      </c>
      <c r="D2501" s="7" t="s">
        <v>81</v>
      </c>
      <c r="E2501" s="6" t="s">
        <v>3220</v>
      </c>
      <c r="F2501" s="6" t="s">
        <v>213</v>
      </c>
      <c r="G2501" s="8">
        <v>45612</v>
      </c>
      <c r="H2501" s="6">
        <v>11.49</v>
      </c>
      <c r="I2501" s="6" cm="1">
        <f t="array" ref="I2501">IFERROR(VALUE(TRIM(LEFT(E2501,MIN(FIND({" ";"g";"k";"m";"o"},E2501&amp;" gkmo"))-1))),0)</f>
        <v>190</v>
      </c>
      <c r="J2501" s="6" t="str" cm="1">
        <f t="array" ref="J2501">IFERROR(TRIM(MID(E2501,MIN(FIND({" ";"g";"k";"m";"o"},E2501&amp;" gkmo")),10)),"unknown")</f>
        <v>g</v>
      </c>
      <c r="K2501" s="6" t="str">
        <f t="shared" si="156"/>
        <v>g</v>
      </c>
      <c r="L2501" s="6" t="str">
        <f t="shared" si="157"/>
        <v>Wasa</v>
      </c>
      <c r="M2501" s="6" t="str">
        <f t="shared" si="158"/>
        <v>Wasa Delicate Crisp Rosemary 190G We</v>
      </c>
      <c r="N2501" s="6" t="str">
        <f t="shared" si="159"/>
        <v>Belgium,France</v>
      </c>
    </row>
    <row r="2502" spans="1:14" x14ac:dyDescent="0.25">
      <c r="A2502" s="6" t="s">
        <v>5948</v>
      </c>
      <c r="B2502" s="6">
        <v>10856</v>
      </c>
      <c r="C2502" s="6" t="s">
        <v>5949</v>
      </c>
      <c r="D2502" s="7" t="s">
        <v>7848</v>
      </c>
      <c r="E2502" s="6" t="s">
        <v>5950</v>
      </c>
      <c r="F2502" s="6" t="s">
        <v>8161</v>
      </c>
      <c r="G2502" s="8">
        <v>45937</v>
      </c>
      <c r="H2502" s="6">
        <v>23.08</v>
      </c>
      <c r="I2502" s="6" cm="1">
        <f t="array" ref="I2502">IFERROR(VALUE(TRIM(LEFT(E2502,MIN(FIND({" ";"g";"k";"m";"o"},E2502&amp;" gkmo"))-1))),0)</f>
        <v>260</v>
      </c>
      <c r="J2502" s="6" t="str" cm="1">
        <f t="array" ref="J2502">IFERROR(TRIM(MID(E2502,MIN(FIND({" ";"g";"k";"m";"o"},E2502&amp;" gkmo")),10)),"unknown")</f>
        <v>g</v>
      </c>
      <c r="K2502" s="6" t="str">
        <f t="shared" si="156"/>
        <v>g</v>
      </c>
      <c r="L2502" s="6" t="str">
        <f t="shared" si="157"/>
        <v>Pà¥Gen Ab</v>
      </c>
      <c r="M2502" s="6" t="str">
        <f t="shared" si="158"/>
        <v>Gifflar Vanilla</v>
      </c>
      <c r="N2502" s="6" t="str">
        <f t="shared" si="159"/>
        <v>France, Sweden, United Kingdom, Germany</v>
      </c>
    </row>
    <row r="2503" spans="1:14" x14ac:dyDescent="0.25">
      <c r="A2503" s="6" t="s">
        <v>5951</v>
      </c>
      <c r="B2503" s="6">
        <v>11965</v>
      </c>
      <c r="C2503" s="6" t="s">
        <v>5952</v>
      </c>
      <c r="D2503" s="7" t="s">
        <v>906</v>
      </c>
      <c r="E2503" s="6" t="s">
        <v>64</v>
      </c>
      <c r="F2503" s="6" t="s">
        <v>177</v>
      </c>
      <c r="G2503" s="8">
        <v>45958</v>
      </c>
      <c r="H2503" s="6">
        <v>6.09</v>
      </c>
      <c r="I2503" s="6" cm="1">
        <f t="array" ref="I2503">IFERROR(VALUE(TRIM(LEFT(E2503,MIN(FIND({" ";"g";"k";"m";"o"},E2503&amp;" gkmo"))-1))),0)</f>
        <v>150</v>
      </c>
      <c r="J2503" s="6" t="str" cm="1">
        <f t="array" ref="J2503">IFERROR(TRIM(MID(E2503,MIN(FIND({" ";"g";"k";"m";"o"},E2503&amp;" gkmo")),10)),"unknown")</f>
        <v>g</v>
      </c>
      <c r="K2503" s="6" t="str">
        <f t="shared" si="156"/>
        <v>g</v>
      </c>
      <c r="L2503" s="6" t="str">
        <f t="shared" si="157"/>
        <v>Sainsbury'S</v>
      </c>
      <c r="M2503" s="6" t="str">
        <f t="shared" si="158"/>
        <v>Taste The Difference Sea Salt &amp; Suffolk Cider Vinegar Potato Crisps</v>
      </c>
      <c r="N2503" s="6" t="str">
        <f t="shared" si="159"/>
        <v>United Kingdom</v>
      </c>
    </row>
    <row r="2504" spans="1:14" x14ac:dyDescent="0.25">
      <c r="A2504" s="6" t="s">
        <v>5953</v>
      </c>
      <c r="B2504" s="6">
        <v>12011</v>
      </c>
      <c r="C2504" s="6" t="s">
        <v>1778</v>
      </c>
      <c r="D2504" s="7" t="s">
        <v>2750</v>
      </c>
      <c r="E2504" s="6" t="s">
        <v>1309</v>
      </c>
      <c r="F2504" s="6" t="s">
        <v>5759</v>
      </c>
      <c r="G2504" s="8">
        <v>45795</v>
      </c>
      <c r="H2504" s="6">
        <v>19.11</v>
      </c>
      <c r="I2504" s="6" cm="1">
        <f t="array" ref="I2504">IFERROR(VALUE(TRIM(LEFT(E2504,MIN(FIND({" ";"g";"k";"m";"o"},E2504&amp;" gkmo"))-1))),0)</f>
        <v>300</v>
      </c>
      <c r="J2504" s="6" t="str" cm="1">
        <f t="array" ref="J2504">IFERROR(TRIM(MID(E2504,MIN(FIND({" ";"g";"k";"m";"o"},E2504&amp;" gkmo")),10)),"unknown")</f>
        <v>g</v>
      </c>
      <c r="K2504" s="6" t="str">
        <f t="shared" si="156"/>
        <v>g</v>
      </c>
      <c r="L2504" s="6" t="str">
        <f t="shared" si="157"/>
        <v>M&amp;S</v>
      </c>
      <c r="M2504" s="6" t="str">
        <f t="shared" si="158"/>
        <v>Cream Crackers</v>
      </c>
      <c r="N2504" s="6" t="str">
        <f t="shared" si="159"/>
        <v>Fr</v>
      </c>
    </row>
    <row r="2505" spans="1:14" x14ac:dyDescent="0.25">
      <c r="A2505" s="6" t="s">
        <v>5954</v>
      </c>
      <c r="B2505" s="6">
        <v>10838</v>
      </c>
      <c r="C2505" s="6" t="s">
        <v>5955</v>
      </c>
      <c r="D2505" s="7" t="s">
        <v>7033</v>
      </c>
      <c r="E2505" s="6" t="s">
        <v>2081</v>
      </c>
      <c r="F2505" s="6" t="s">
        <v>7960</v>
      </c>
      <c r="G2505" s="8">
        <v>45988</v>
      </c>
      <c r="H2505" s="6">
        <v>3.12</v>
      </c>
      <c r="I2505" s="6" cm="1">
        <f t="array" ref="I2505">IFERROR(VALUE(TRIM(LEFT(E2505,MIN(FIND({" ";"g";"k";"m";"o"},E2505&amp;" gkmo"))-1))),0)</f>
        <v>120</v>
      </c>
      <c r="J2505" s="6" t="str" cm="1">
        <f t="array" ref="J2505">IFERROR(TRIM(MID(E2505,MIN(FIND({" ";"g";"k";"m";"o"},E2505&amp;" gkmo")),10)),"unknown")</f>
        <v>g</v>
      </c>
      <c r="K2505" s="6" t="str">
        <f t="shared" si="156"/>
        <v>g</v>
      </c>
      <c r="L2505" s="6" t="str">
        <f t="shared" si="157"/>
        <v>Nestlé</v>
      </c>
      <c r="M2505" s="6" t="str">
        <f t="shared" si="158"/>
        <v>Dark 85% Cacao</v>
      </c>
      <c r="N2505" s="6" t="str">
        <f t="shared" si="159"/>
        <v>Spain, Morocco</v>
      </c>
    </row>
    <row r="2506" spans="1:14" x14ac:dyDescent="0.25">
      <c r="A2506" s="6" t="s">
        <v>5956</v>
      </c>
      <c r="B2506" s="6">
        <v>9919</v>
      </c>
      <c r="C2506" s="6" t="s">
        <v>7376</v>
      </c>
      <c r="D2506" s="7" t="s">
        <v>7377</v>
      </c>
      <c r="E2506" s="6" t="s">
        <v>982</v>
      </c>
      <c r="F2506" s="6" t="s">
        <v>139</v>
      </c>
      <c r="G2506" s="8">
        <v>45570</v>
      </c>
      <c r="H2506" s="6">
        <v>3.61</v>
      </c>
      <c r="I2506" s="6" cm="1">
        <f t="array" ref="I2506">IFERROR(VALUE(TRIM(LEFT(E2506,MIN(FIND({" ";"g";"k";"m";"o"},E2506&amp;" gkmo"))-1))),0)</f>
        <v>126</v>
      </c>
      <c r="J2506" s="6" t="str" cm="1">
        <f t="array" ref="J2506">IFERROR(TRIM(MID(E2506,MIN(FIND({" ";"g";"k";"m";"o"},E2506&amp;" gkmo")),10)),"unknown")</f>
        <v>g</v>
      </c>
      <c r="K2506" s="6" t="str">
        <f t="shared" si="156"/>
        <v>g</v>
      </c>
      <c r="L2506" s="6" t="str">
        <f t="shared" si="157"/>
        <v>Grainéa</v>
      </c>
      <c r="M2506" s="6" t="str">
        <f t="shared" si="158"/>
        <v>Barres De Céréales Fruits Rouges</v>
      </c>
      <c r="N2506" s="6" t="str">
        <f t="shared" si="159"/>
        <v>France</v>
      </c>
    </row>
    <row r="2507" spans="1:14" x14ac:dyDescent="0.25">
      <c r="A2507" s="6" t="s">
        <v>5957</v>
      </c>
      <c r="B2507" s="6">
        <v>6816</v>
      </c>
      <c r="C2507" s="6" t="s">
        <v>7017</v>
      </c>
      <c r="D2507" s="7" t="s">
        <v>5958</v>
      </c>
      <c r="E2507" s="6" t="s">
        <v>1389</v>
      </c>
      <c r="F2507" s="6" t="s">
        <v>7511</v>
      </c>
      <c r="G2507" s="8">
        <v>45877</v>
      </c>
      <c r="H2507" s="6">
        <v>13.16</v>
      </c>
      <c r="I2507" s="6" cm="1">
        <f t="array" ref="I2507">IFERROR(VALUE(TRIM(LEFT(E2507,MIN(FIND({" ";"g";"k";"m";"o"},E2507&amp;" gkmo"))-1))),0)</f>
        <v>40</v>
      </c>
      <c r="J2507" s="6" t="str" cm="1">
        <f t="array" ref="J2507">IFERROR(TRIM(MID(E2507,MIN(FIND({" ";"g";"k";"m";"o"},E2507&amp;" gkmo")),10)),"unknown")</f>
        <v>g</v>
      </c>
      <c r="K2507" s="6" t="str">
        <f t="shared" si="156"/>
        <v>g</v>
      </c>
      <c r="L2507" s="6" t="str">
        <f t="shared" si="157"/>
        <v>Pilos</v>
      </c>
      <c r="M2507" s="6" t="str">
        <f t="shared" si="158"/>
        <v>Unknown</v>
      </c>
      <c r="N2507" s="6" t="str">
        <f t="shared" si="159"/>
        <v>République Tchèque,Pologne</v>
      </c>
    </row>
    <row r="2508" spans="1:14" x14ac:dyDescent="0.25">
      <c r="A2508" s="6" t="s">
        <v>5959</v>
      </c>
      <c r="B2508" s="6">
        <v>13375</v>
      </c>
      <c r="C2508" s="6" t="s">
        <v>7849</v>
      </c>
      <c r="D2508" s="7" t="s">
        <v>199</v>
      </c>
      <c r="E2508" s="6" t="s">
        <v>5960</v>
      </c>
      <c r="F2508" s="6" t="s">
        <v>139</v>
      </c>
      <c r="G2508" s="8">
        <v>45418</v>
      </c>
      <c r="H2508" s="6">
        <v>14.07</v>
      </c>
      <c r="I2508" s="6" cm="1">
        <f t="array" ref="I2508">IFERROR(VALUE(TRIM(LEFT(E2508,MIN(FIND({" ";"g";"k";"m";"o"},E2508&amp;" gkmo"))-1))),0)</f>
        <v>2</v>
      </c>
      <c r="J2508" s="6" t="str" cm="1">
        <f t="array" ref="J2508">IFERROR(TRIM(MID(E2508,MIN(FIND({" ";"g";"k";"m";"o"},E2508&amp;" gkmo")),10)),"unknown")</f>
        <v>x 285 g</v>
      </c>
      <c r="K2508" s="6" t="str">
        <f t="shared" si="156"/>
        <v>g</v>
      </c>
      <c r="L2508" s="6" t="str">
        <f t="shared" si="157"/>
        <v>Bn</v>
      </c>
      <c r="M2508" s="6" t="str">
        <f t="shared" si="158"/>
        <v>Goà»Ters Bn Au Chocolat</v>
      </c>
      <c r="N2508" s="6" t="str">
        <f t="shared" si="159"/>
        <v>France</v>
      </c>
    </row>
    <row r="2509" spans="1:14" x14ac:dyDescent="0.25">
      <c r="A2509" s="6" t="s">
        <v>5961</v>
      </c>
      <c r="B2509" s="6">
        <v>13818</v>
      </c>
      <c r="C2509" s="6" t="s">
        <v>5962</v>
      </c>
      <c r="D2509" s="7" t="s">
        <v>5963</v>
      </c>
      <c r="E2509" s="6" t="s">
        <v>5964</v>
      </c>
      <c r="F2509" s="6" t="s">
        <v>553</v>
      </c>
      <c r="G2509" s="8">
        <v>45940</v>
      </c>
      <c r="H2509" s="6">
        <v>11.7</v>
      </c>
      <c r="I2509" s="6" cm="1">
        <f t="array" ref="I2509">IFERROR(VALUE(TRIM(LEFT(E2509,MIN(FIND({" ";"g";"k";"m";"o"},E2509&amp;" gkmo"))-1))),0)</f>
        <v>3</v>
      </c>
      <c r="J2509" s="6" t="str" cm="1">
        <f t="array" ref="J2509">IFERROR(TRIM(MID(E2509,MIN(FIND({" ";"g";"k";"m";"o"},E2509&amp;" gkmo")),10)),"unknown")</f>
        <v>x 50 g</v>
      </c>
      <c r="K2509" s="6" t="str">
        <f t="shared" si="156"/>
        <v>g</v>
      </c>
      <c r="L2509" s="6" t="str">
        <f t="shared" si="157"/>
        <v>Trek</v>
      </c>
      <c r="M2509" s="6" t="str">
        <f t="shared" si="158"/>
        <v>Protein Flapjacks: Smooth Lemon</v>
      </c>
      <c r="N2509" s="6" t="str">
        <f t="shared" si="159"/>
        <v>United Kingdom,Ireland</v>
      </c>
    </row>
    <row r="2510" spans="1:14" x14ac:dyDescent="0.25">
      <c r="A2510" s="6" t="s">
        <v>5965</v>
      </c>
      <c r="B2510" s="6">
        <v>7348</v>
      </c>
      <c r="C2510" s="6" t="s">
        <v>5966</v>
      </c>
      <c r="D2510" s="7" t="s">
        <v>5967</v>
      </c>
      <c r="E2510" s="6" t="s">
        <v>5968</v>
      </c>
      <c r="F2510" s="6" t="s">
        <v>5759</v>
      </c>
      <c r="G2510" s="8">
        <v>45768</v>
      </c>
      <c r="H2510" s="6">
        <v>20.29</v>
      </c>
      <c r="I2510" s="6" cm="1">
        <f t="array" ref="I2510">IFERROR(VALUE(TRIM(LEFT(E2510,MIN(FIND({" ";"g";"k";"m";"o"},E2510&amp;" gkmo"))-1))),0)</f>
        <v>3</v>
      </c>
      <c r="J2510" s="6" t="str" cm="1">
        <f t="array" ref="J2510">IFERROR(TRIM(MID(E2510,MIN(FIND({" ";"g";"k";"m";"o"},E2510&amp;" gkmo")),10)),"unknown")</f>
        <v>x 40 g</v>
      </c>
      <c r="K2510" s="6" t="str">
        <f t="shared" si="156"/>
        <v>g</v>
      </c>
      <c r="L2510" s="6" t="str">
        <f t="shared" si="157"/>
        <v>Peanut Snaps</v>
      </c>
      <c r="M2510" s="6" t="str">
        <f t="shared" si="158"/>
        <v>Peanut Snaps</v>
      </c>
      <c r="N2510" s="6" t="str">
        <f t="shared" si="159"/>
        <v>Fr</v>
      </c>
    </row>
    <row r="2511" spans="1:14" x14ac:dyDescent="0.25">
      <c r="A2511" s="6" t="s">
        <v>5969</v>
      </c>
      <c r="B2511" s="6">
        <v>5943</v>
      </c>
      <c r="C2511" s="6" t="s">
        <v>3034</v>
      </c>
      <c r="D2511" s="7" t="s">
        <v>5970</v>
      </c>
      <c r="E2511" s="6" t="s">
        <v>39</v>
      </c>
      <c r="F2511" s="6" t="s">
        <v>7595</v>
      </c>
      <c r="G2511" s="8">
        <v>45600</v>
      </c>
      <c r="H2511" s="6">
        <v>12.45</v>
      </c>
      <c r="I2511" s="6" cm="1">
        <f t="array" ref="I2511">IFERROR(VALUE(TRIM(LEFT(E2511,MIN(FIND({" ";"g";"k";"m";"o"},E2511&amp;" gkmo"))-1))),0)</f>
        <v>150</v>
      </c>
      <c r="J2511" s="6" t="str" cm="1">
        <f t="array" ref="J2511">IFERROR(TRIM(MID(E2511,MIN(FIND({" ";"g";"k";"m";"o"},E2511&amp;" gkmo")),10)),"unknown")</f>
        <v>g</v>
      </c>
      <c r="K2511" s="6" t="str">
        <f t="shared" si="156"/>
        <v>g</v>
      </c>
      <c r="L2511" s="6" t="str">
        <f t="shared" si="157"/>
        <v>Snack Day,Lidl</v>
      </c>
      <c r="M2511" s="6" t="str">
        <f t="shared" si="158"/>
        <v>Nachos</v>
      </c>
      <c r="N2511" s="6" t="str">
        <f t="shared" si="159"/>
        <v>Espaà±A</v>
      </c>
    </row>
    <row r="2512" spans="1:14" x14ac:dyDescent="0.25">
      <c r="A2512" s="6" t="s">
        <v>5971</v>
      </c>
      <c r="B2512" s="6">
        <v>12709</v>
      </c>
      <c r="C2512" s="6" t="s">
        <v>7378</v>
      </c>
      <c r="D2512" s="7" t="s">
        <v>7772</v>
      </c>
      <c r="E2512" s="6" t="s">
        <v>5972</v>
      </c>
      <c r="F2512" s="6" t="s">
        <v>139</v>
      </c>
      <c r="G2512" s="8">
        <v>45656</v>
      </c>
      <c r="H2512" s="6">
        <v>13.16</v>
      </c>
      <c r="I2512" s="6" cm="1">
        <f t="array" ref="I2512">IFERROR(VALUE(TRIM(LEFT(E2512,MIN(FIND({" ";"g";"k";"m";"o"},E2512&amp;" gkmo"))-1))),0)</f>
        <v>175</v>
      </c>
      <c r="J2512" s="6" t="str" cm="1">
        <f t="array" ref="J2512">IFERROR(TRIM(MID(E2512,MIN(FIND({" ";"g";"k";"m";"o"},E2512&amp;" gkmo")),10)),"unknown")</f>
        <v>g e</v>
      </c>
      <c r="K2512" s="6" t="str">
        <f t="shared" si="156"/>
        <v>g</v>
      </c>
      <c r="L2512" s="6" t="str">
        <f t="shared" si="157"/>
        <v>Lindt, Lindt &amp; Sprà¼Ngli</v>
      </c>
      <c r="M2512" s="6" t="str">
        <f t="shared" si="158"/>
        <v>Les Pyrénéens</v>
      </c>
      <c r="N2512" s="6" t="str">
        <f t="shared" si="159"/>
        <v>France</v>
      </c>
    </row>
    <row r="2513" spans="1:14" x14ac:dyDescent="0.25">
      <c r="A2513" s="6" t="s">
        <v>5973</v>
      </c>
      <c r="B2513" s="6">
        <v>8938</v>
      </c>
      <c r="C2513" s="6" t="s">
        <v>5974</v>
      </c>
      <c r="D2513" s="7" t="s">
        <v>150</v>
      </c>
      <c r="E2513" s="6" t="s">
        <v>123</v>
      </c>
      <c r="F2513" s="6" t="s">
        <v>5975</v>
      </c>
      <c r="G2513" s="8">
        <v>45439</v>
      </c>
      <c r="H2513" s="6">
        <v>15.52</v>
      </c>
      <c r="I2513" s="6" cm="1">
        <f t="array" ref="I2513">IFERROR(VALUE(TRIM(LEFT(E2513,MIN(FIND({" ";"g";"k";"m";"o"},E2513&amp;" gkmo"))-1))),0)</f>
        <v>50</v>
      </c>
      <c r="J2513" s="6" t="str" cm="1">
        <f t="array" ref="J2513">IFERROR(TRIM(MID(E2513,MIN(FIND({" ";"g";"k";"m";"o"},E2513&amp;" gkmo")),10)),"unknown")</f>
        <v>g</v>
      </c>
      <c r="K2513" s="6" t="str">
        <f t="shared" si="156"/>
        <v>g</v>
      </c>
      <c r="L2513" s="6" t="str">
        <f t="shared" si="157"/>
        <v>Alesto</v>
      </c>
      <c r="M2513" s="6" t="str">
        <f t="shared" si="158"/>
        <v>Delight Bar Cocoa Orange</v>
      </c>
      <c r="N2513" s="6" t="str">
        <f t="shared" si="159"/>
        <v>Austria,Bulgaria,Hungary,Romania</v>
      </c>
    </row>
    <row r="2514" spans="1:14" x14ac:dyDescent="0.25">
      <c r="A2514" s="6" t="s">
        <v>5976</v>
      </c>
      <c r="B2514" s="6">
        <v>13142</v>
      </c>
      <c r="C2514" s="6" t="s">
        <v>5977</v>
      </c>
      <c r="D2514" s="7" t="s">
        <v>7017</v>
      </c>
      <c r="E2514" s="6" t="s">
        <v>1312</v>
      </c>
      <c r="F2514" s="6" t="s">
        <v>8162</v>
      </c>
      <c r="G2514" s="8">
        <v>45852</v>
      </c>
      <c r="H2514" s="6">
        <v>24.46</v>
      </c>
      <c r="I2514" s="6" cm="1">
        <f t="array" ref="I2514">IFERROR(VALUE(TRIM(LEFT(E2514,MIN(FIND({" ";"g";"k";"m";"o"},E2514&amp;" gkmo"))-1))),0)</f>
        <v>50</v>
      </c>
      <c r="J2514" s="6" t="str" cm="1">
        <f t="array" ref="J2514">IFERROR(TRIM(MID(E2514,MIN(FIND({" ";"g";"k";"m";"o"},E2514&amp;" gkmo")),10)),"unknown")</f>
        <v>g</v>
      </c>
      <c r="K2514" s="6" t="str">
        <f t="shared" si="156"/>
        <v>g</v>
      </c>
      <c r="L2514" s="6" t="str">
        <f t="shared" si="157"/>
        <v>Unknown</v>
      </c>
      <c r="M2514" s="6" t="str">
        <f t="shared" si="158"/>
        <v>Ricola Douceur De Miel</v>
      </c>
      <c r="N2514" s="6" t="str">
        <f t="shared" si="159"/>
        <v>Brazil France, France</v>
      </c>
    </row>
    <row r="2515" spans="1:14" x14ac:dyDescent="0.25">
      <c r="A2515" s="6" t="s">
        <v>5978</v>
      </c>
      <c r="B2515" s="6">
        <v>8436</v>
      </c>
      <c r="C2515" s="6" t="s">
        <v>5979</v>
      </c>
      <c r="D2515" s="7" t="s">
        <v>248</v>
      </c>
      <c r="E2515" s="6"/>
      <c r="F2515" s="6" t="s">
        <v>2973</v>
      </c>
      <c r="G2515" s="8">
        <v>45509</v>
      </c>
      <c r="H2515" s="6">
        <v>6.08</v>
      </c>
      <c r="I2515" s="6" cm="1">
        <f t="array" ref="I2515">IFERROR(VALUE(TRIM(LEFT(E2515,MIN(FIND({" ";"g";"k";"m";"o"},E2515&amp;" gkmo"))-1))),0)</f>
        <v>0</v>
      </c>
      <c r="J2515" s="6" t="str" cm="1">
        <f t="array" ref="J2515">IFERROR(TRIM(MID(E2515,MIN(FIND({" ";"g";"k";"m";"o"},E2515&amp;" gkmo")),10)),"unknown")</f>
        <v/>
      </c>
      <c r="K2515" s="6" t="str">
        <f t="shared" si="156"/>
        <v>unknown</v>
      </c>
      <c r="L2515" s="6" t="str">
        <f t="shared" si="157"/>
        <v>Tesco</v>
      </c>
      <c r="M2515" s="6" t="str">
        <f t="shared" si="158"/>
        <v>Parmesan &amp; Garlic Twists</v>
      </c>
      <c r="N2515" s="6" t="str">
        <f t="shared" si="159"/>
        <v>Gb</v>
      </c>
    </row>
    <row r="2516" spans="1:14" x14ac:dyDescent="0.25">
      <c r="A2516" s="6" t="s">
        <v>5980</v>
      </c>
      <c r="B2516" s="6">
        <v>7226</v>
      </c>
      <c r="C2516" s="6" t="s">
        <v>5981</v>
      </c>
      <c r="D2516" s="7" t="s">
        <v>1434</v>
      </c>
      <c r="E2516" s="6"/>
      <c r="F2516" s="6" t="s">
        <v>860</v>
      </c>
      <c r="G2516" s="8">
        <v>45522</v>
      </c>
      <c r="H2516" s="6">
        <v>9.4</v>
      </c>
      <c r="I2516" s="6" cm="1">
        <f t="array" ref="I2516">IFERROR(VALUE(TRIM(LEFT(E2516,MIN(FIND({" ";"g";"k";"m";"o"},E2516&amp;" gkmo"))-1))),0)</f>
        <v>0</v>
      </c>
      <c r="J2516" s="6" t="str" cm="1">
        <f t="array" ref="J2516">IFERROR(TRIM(MID(E2516,MIN(FIND({" ";"g";"k";"m";"o"},E2516&amp;" gkmo")),10)),"unknown")</f>
        <v/>
      </c>
      <c r="K2516" s="6" t="str">
        <f t="shared" si="156"/>
        <v>unknown</v>
      </c>
      <c r="L2516" s="6" t="str">
        <f t="shared" si="157"/>
        <v>Doritos</v>
      </c>
      <c r="M2516" s="6" t="str">
        <f t="shared" si="158"/>
        <v>Doritos Flamin Hot</v>
      </c>
      <c r="N2516" s="6" t="str">
        <f t="shared" si="159"/>
        <v>Ma</v>
      </c>
    </row>
    <row r="2517" spans="1:14" x14ac:dyDescent="0.25">
      <c r="A2517" s="6" t="s">
        <v>5982</v>
      </c>
      <c r="B2517" s="6">
        <v>13167</v>
      </c>
      <c r="C2517" s="6" t="s">
        <v>7017</v>
      </c>
      <c r="D2517" s="7" t="s">
        <v>5983</v>
      </c>
      <c r="E2517" s="6" t="s">
        <v>18</v>
      </c>
      <c r="F2517" s="6" t="s">
        <v>8163</v>
      </c>
      <c r="G2517" s="8">
        <v>45735</v>
      </c>
      <c r="H2517" s="6">
        <v>13.16</v>
      </c>
      <c r="I2517" s="6" cm="1">
        <f t="array" ref="I2517">IFERROR(VALUE(TRIM(LEFT(E2517,MIN(FIND({" ";"g";"k";"m";"o"},E2517&amp;" gkmo"))-1))),0)</f>
        <v>100</v>
      </c>
      <c r="J2517" s="6" t="str" cm="1">
        <f t="array" ref="J2517">IFERROR(TRIM(MID(E2517,MIN(FIND({" ";"g";"k";"m";"o"},E2517&amp;" gkmo")),10)),"unknown")</f>
        <v>g</v>
      </c>
      <c r="K2517" s="6" t="str">
        <f t="shared" si="156"/>
        <v>g</v>
      </c>
      <c r="L2517" s="6" t="str">
        <f t="shared" si="157"/>
        <v>Dmbio</v>
      </c>
      <c r="M2517" s="6" t="str">
        <f t="shared" si="158"/>
        <v>Unknown</v>
      </c>
      <c r="N2517" s="6" t="str">
        <f t="shared" si="159"/>
        <v>Germany</v>
      </c>
    </row>
    <row r="2518" spans="1:14" x14ac:dyDescent="0.25">
      <c r="A2518" s="6" t="s">
        <v>5984</v>
      </c>
      <c r="B2518" s="6">
        <v>13023</v>
      </c>
      <c r="C2518" s="6" t="s">
        <v>7512</v>
      </c>
      <c r="D2518" s="7" t="s">
        <v>613</v>
      </c>
      <c r="E2518" s="6"/>
      <c r="F2518" s="6" t="s">
        <v>8164</v>
      </c>
      <c r="G2518" s="8">
        <v>45419</v>
      </c>
      <c r="H2518" s="6">
        <v>21.95</v>
      </c>
      <c r="I2518" s="6" cm="1">
        <f t="array" ref="I2518">IFERROR(VALUE(TRIM(LEFT(E2518,MIN(FIND({" ";"g";"k";"m";"o"},E2518&amp;" gkmo"))-1))),0)</f>
        <v>0</v>
      </c>
      <c r="J2518" s="6" t="str" cm="1">
        <f t="array" ref="J2518">IFERROR(TRIM(MID(E2518,MIN(FIND({" ";"g";"k";"m";"o"},E2518&amp;" gkmo")),10)),"unknown")</f>
        <v/>
      </c>
      <c r="K2518" s="6" t="str">
        <f t="shared" si="156"/>
        <v>unknown</v>
      </c>
      <c r="L2518" s="6" t="str">
        <f t="shared" si="157"/>
        <v>Nakd</v>
      </c>
      <c r="M2518" s="6" t="str">
        <f t="shared" si="158"/>
        <v>Nakd Cacahuète Chocolish - 120G (4X1P)</v>
      </c>
      <c r="N2518" s="6" t="str">
        <f t="shared" si="159"/>
        <v>Be, France</v>
      </c>
    </row>
    <row r="2519" spans="1:14" x14ac:dyDescent="0.25">
      <c r="A2519" s="6" t="s">
        <v>5985</v>
      </c>
      <c r="B2519" s="6">
        <v>11522</v>
      </c>
      <c r="C2519" s="6" t="s">
        <v>5986</v>
      </c>
      <c r="D2519" s="7" t="s">
        <v>3125</v>
      </c>
      <c r="E2519" s="6" t="s">
        <v>7850</v>
      </c>
      <c r="F2519" s="6" t="s">
        <v>2973</v>
      </c>
      <c r="G2519" s="8">
        <v>46011</v>
      </c>
      <c r="H2519" s="6">
        <v>9.6199999999999992</v>
      </c>
      <c r="I2519" s="6" cm="1">
        <f t="array" ref="I2519">IFERROR(VALUE(TRIM(LEFT(E2519,MIN(FIND({" ";"g";"k";"m";"o"},E2519&amp;" gkmo"))-1))),0)</f>
        <v>0</v>
      </c>
      <c r="J2519" s="6" t="str" cm="1">
        <f t="array" ref="J2519">IFERROR(TRIM(MID(E2519,MIN(FIND({" ";"g";"k";"m";"o"},E2519&amp;" gkmo")),10)),"unknown")</f>
        <v>g</v>
      </c>
      <c r="K2519" s="6" t="str">
        <f t="shared" si="156"/>
        <v>g</v>
      </c>
      <c r="L2519" s="6" t="str">
        <f t="shared" si="157"/>
        <v>Kind</v>
      </c>
      <c r="M2519" s="6" t="str">
        <f t="shared" si="158"/>
        <v>Maple Pecan Almond</v>
      </c>
      <c r="N2519" s="6" t="str">
        <f t="shared" si="159"/>
        <v>Gb</v>
      </c>
    </row>
    <row r="2520" spans="1:14" x14ac:dyDescent="0.25">
      <c r="A2520" s="6" t="s">
        <v>5987</v>
      </c>
      <c r="B2520" s="6">
        <v>10522</v>
      </c>
      <c r="C2520" s="6" t="s">
        <v>5988</v>
      </c>
      <c r="D2520" s="7" t="s">
        <v>1345</v>
      </c>
      <c r="E2520" s="6" t="s">
        <v>621</v>
      </c>
      <c r="F2520" s="6" t="s">
        <v>1986</v>
      </c>
      <c r="G2520" s="8">
        <v>45678</v>
      </c>
      <c r="H2520" s="6">
        <v>24.44</v>
      </c>
      <c r="I2520" s="6" cm="1">
        <f t="array" ref="I2520">IFERROR(VALUE(TRIM(LEFT(E2520,MIN(FIND({" ";"g";"k";"m";"o"},E2520&amp;" gkmo"))-1))),0)</f>
        <v>160</v>
      </c>
      <c r="J2520" s="6" t="str" cm="1">
        <f t="array" ref="J2520">IFERROR(TRIM(MID(E2520,MIN(FIND({" ";"g";"k";"m";"o"},E2520&amp;" gkmo")),10)),"unknown")</f>
        <v>g</v>
      </c>
      <c r="K2520" s="6" t="str">
        <f t="shared" si="156"/>
        <v>g</v>
      </c>
      <c r="L2520" s="6" t="str">
        <f t="shared" si="157"/>
        <v>Haribo</v>
      </c>
      <c r="M2520" s="6" t="str">
        <f t="shared" si="158"/>
        <v>Pico-Balla</v>
      </c>
      <c r="N2520" s="6" t="str">
        <f t="shared" si="159"/>
        <v>Deutschland</v>
      </c>
    </row>
    <row r="2521" spans="1:14" x14ac:dyDescent="0.25">
      <c r="A2521" s="6" t="s">
        <v>5989</v>
      </c>
      <c r="B2521" s="6">
        <v>5646</v>
      </c>
      <c r="C2521" s="6" t="s">
        <v>5990</v>
      </c>
      <c r="D2521" s="7" t="s">
        <v>726</v>
      </c>
      <c r="E2521" s="6" t="s">
        <v>772</v>
      </c>
      <c r="F2521" s="6" t="s">
        <v>177</v>
      </c>
      <c r="G2521" s="8">
        <v>45432</v>
      </c>
      <c r="H2521" s="6">
        <v>17.79</v>
      </c>
      <c r="I2521" s="6" cm="1">
        <f t="array" ref="I2521">IFERROR(VALUE(TRIM(LEFT(E2521,MIN(FIND({" ";"g";"k";"m";"o"},E2521&amp;" gkmo"))-1))),0)</f>
        <v>132</v>
      </c>
      <c r="J2521" s="6" t="str" cm="1">
        <f t="array" ref="J2521">IFERROR(TRIM(MID(E2521,MIN(FIND({" ";"g";"k";"m";"o"},E2521&amp;" gkmo")),10)),"unknown")</f>
        <v>g</v>
      </c>
      <c r="K2521" s="6" t="str">
        <f t="shared" si="156"/>
        <v>g</v>
      </c>
      <c r="L2521" s="6" t="str">
        <f t="shared" si="157"/>
        <v>Walkers</v>
      </c>
      <c r="M2521" s="6" t="str">
        <f t="shared" si="158"/>
        <v>Baked - 6 Pack</v>
      </c>
      <c r="N2521" s="6" t="str">
        <f t="shared" si="159"/>
        <v>United Kingdom</v>
      </c>
    </row>
    <row r="2522" spans="1:14" x14ac:dyDescent="0.25">
      <c r="A2522" s="6" t="s">
        <v>5991</v>
      </c>
      <c r="B2522" s="6">
        <v>7931</v>
      </c>
      <c r="C2522" s="6" t="s">
        <v>135</v>
      </c>
      <c r="D2522" s="7" t="s">
        <v>135</v>
      </c>
      <c r="E2522" s="6"/>
      <c r="F2522" s="6" t="s">
        <v>860</v>
      </c>
      <c r="G2522" s="8">
        <v>45538</v>
      </c>
      <c r="H2522" s="6">
        <v>1.31</v>
      </c>
      <c r="I2522" s="6" cm="1">
        <f t="array" ref="I2522">IFERROR(VALUE(TRIM(LEFT(E2522,MIN(FIND({" ";"g";"k";"m";"o"},E2522&amp;" gkmo"))-1))),0)</f>
        <v>0</v>
      </c>
      <c r="J2522" s="6" t="str" cm="1">
        <f t="array" ref="J2522">IFERROR(TRIM(MID(E2522,MIN(FIND({" ";"g";"k";"m";"o"},E2522&amp;" gkmo")),10)),"unknown")</f>
        <v/>
      </c>
      <c r="K2522" s="6" t="str">
        <f t="shared" si="156"/>
        <v>unknown</v>
      </c>
      <c r="L2522" s="6" t="str">
        <f t="shared" si="157"/>
        <v>Milka</v>
      </c>
      <c r="M2522" s="6" t="str">
        <f t="shared" si="158"/>
        <v>Milka</v>
      </c>
      <c r="N2522" s="6" t="str">
        <f t="shared" si="159"/>
        <v>Ma</v>
      </c>
    </row>
    <row r="2523" spans="1:14" x14ac:dyDescent="0.25">
      <c r="A2523" s="6" t="s">
        <v>5992</v>
      </c>
      <c r="B2523" s="6">
        <v>7375</v>
      </c>
      <c r="C2523" s="6" t="s">
        <v>5993</v>
      </c>
      <c r="D2523" s="7" t="s">
        <v>5994</v>
      </c>
      <c r="E2523" s="6" t="s">
        <v>64</v>
      </c>
      <c r="F2523" s="6" t="s">
        <v>241</v>
      </c>
      <c r="G2523" s="8">
        <v>45833</v>
      </c>
      <c r="H2523" s="6">
        <v>22.49</v>
      </c>
      <c r="I2523" s="6" cm="1">
        <f t="array" ref="I2523">IFERROR(VALUE(TRIM(LEFT(E2523,MIN(FIND({" ";"g";"k";"m";"o"},E2523&amp;" gkmo"))-1))),0)</f>
        <v>150</v>
      </c>
      <c r="J2523" s="6" t="str" cm="1">
        <f t="array" ref="J2523">IFERROR(TRIM(MID(E2523,MIN(FIND({" ";"g";"k";"m";"o"},E2523&amp;" gkmo")),10)),"unknown")</f>
        <v>g</v>
      </c>
      <c r="K2523" s="6" t="str">
        <f t="shared" si="156"/>
        <v>g</v>
      </c>
      <c r="L2523" s="6" t="str">
        <f t="shared" si="157"/>
        <v>Funny-Frisch</v>
      </c>
      <c r="M2523" s="6" t="str">
        <f t="shared" si="158"/>
        <v>Chipsfrisch Oriental</v>
      </c>
      <c r="N2523" s="6" t="str">
        <f t="shared" si="159"/>
        <v>Germany</v>
      </c>
    </row>
    <row r="2524" spans="1:14" x14ac:dyDescent="0.25">
      <c r="A2524" s="6" t="s">
        <v>5995</v>
      </c>
      <c r="B2524" s="6">
        <v>8695</v>
      </c>
      <c r="C2524" s="6" t="s">
        <v>5996</v>
      </c>
      <c r="D2524" s="7" t="s">
        <v>7017</v>
      </c>
      <c r="E2524" s="6"/>
      <c r="F2524" s="6" t="s">
        <v>860</v>
      </c>
      <c r="G2524" s="8">
        <v>45420</v>
      </c>
      <c r="H2524" s="6">
        <v>23.92</v>
      </c>
      <c r="I2524" s="6" cm="1">
        <f t="array" ref="I2524">IFERROR(VALUE(TRIM(LEFT(E2524,MIN(FIND({" ";"g";"k";"m";"o"},E2524&amp;" gkmo"))-1))),0)</f>
        <v>0</v>
      </c>
      <c r="J2524" s="6" t="str" cm="1">
        <f t="array" ref="J2524">IFERROR(TRIM(MID(E2524,MIN(FIND({" ";"g";"k";"m";"o"},E2524&amp;" gkmo")),10)),"unknown")</f>
        <v/>
      </c>
      <c r="K2524" s="6" t="str">
        <f t="shared" si="156"/>
        <v>unknown</v>
      </c>
      <c r="L2524" s="6" t="str">
        <f t="shared" si="157"/>
        <v>Unknown</v>
      </c>
      <c r="M2524" s="6" t="str">
        <f t="shared" si="158"/>
        <v>Tobigo Crousty</v>
      </c>
      <c r="N2524" s="6" t="str">
        <f t="shared" si="159"/>
        <v>Ma</v>
      </c>
    </row>
    <row r="2525" spans="1:14" x14ac:dyDescent="0.25">
      <c r="A2525" s="6" t="s">
        <v>5997</v>
      </c>
      <c r="B2525" s="6">
        <v>7241</v>
      </c>
      <c r="C2525" s="6" t="s">
        <v>5998</v>
      </c>
      <c r="D2525" s="7" t="s">
        <v>5999</v>
      </c>
      <c r="E2525" s="6" t="s">
        <v>6000</v>
      </c>
      <c r="F2525" s="6" t="s">
        <v>8165</v>
      </c>
      <c r="G2525" s="8">
        <v>45824</v>
      </c>
      <c r="H2525" s="6">
        <v>24.51</v>
      </c>
      <c r="I2525" s="6" cm="1">
        <f t="array" ref="I2525">IFERROR(VALUE(TRIM(LEFT(E2525,MIN(FIND({" ";"g";"k";"m";"o"},E2525&amp;" gkmo"))-1))),0)</f>
        <v>454</v>
      </c>
      <c r="J2525" s="6" t="str" cm="1">
        <f t="array" ref="J2525">IFERROR(TRIM(MID(E2525,MIN(FIND({" ";"g";"k";"m";"o"},E2525&amp;" gkmo")),10)),"unknown")</f>
        <v>g</v>
      </c>
      <c r="K2525" s="6" t="str">
        <f t="shared" si="156"/>
        <v>g</v>
      </c>
      <c r="L2525" s="6" t="str">
        <f t="shared" si="157"/>
        <v>Innofoods Organic/Biologique, Inno Foods</v>
      </c>
      <c r="M2525" s="6" t="str">
        <f t="shared" si="158"/>
        <v>Organic Garden Crisp Veggie Cracker</v>
      </c>
      <c r="N2525" s="6" t="str">
        <f t="shared" si="159"/>
        <v>Canada, World, United-Kingdom</v>
      </c>
    </row>
    <row r="2526" spans="1:14" x14ac:dyDescent="0.25">
      <c r="A2526" s="6" t="s">
        <v>6001</v>
      </c>
      <c r="B2526" s="6">
        <v>8542</v>
      </c>
      <c r="C2526" s="6" t="s">
        <v>6002</v>
      </c>
      <c r="D2526" s="7" t="s">
        <v>2466</v>
      </c>
      <c r="E2526" s="6" t="s">
        <v>573</v>
      </c>
      <c r="F2526" s="6" t="s">
        <v>113</v>
      </c>
      <c r="G2526" s="8">
        <v>45368</v>
      </c>
      <c r="H2526" s="6">
        <v>13.16</v>
      </c>
      <c r="I2526" s="6" cm="1">
        <f t="array" ref="I2526">IFERROR(VALUE(TRIM(LEFT(E2526,MIN(FIND({" ";"g";"k";"m";"o"},E2526&amp;" gkmo"))-1))),0)</f>
        <v>280</v>
      </c>
      <c r="J2526" s="6" t="str" cm="1">
        <f t="array" ref="J2526">IFERROR(TRIM(MID(E2526,MIN(FIND({" ";"g";"k";"m";"o"},E2526&amp;" gkmo")),10)),"unknown")</f>
        <v>g</v>
      </c>
      <c r="K2526" s="6" t="str">
        <f t="shared" si="156"/>
        <v>g</v>
      </c>
      <c r="L2526" s="6" t="str">
        <f t="shared" si="157"/>
        <v>Misura</v>
      </c>
      <c r="M2526" s="6" t="str">
        <f t="shared" si="158"/>
        <v>Misura Dolcesenza Biscotti Integrali Con Cereali</v>
      </c>
      <c r="N2526" s="6" t="str">
        <f t="shared" si="159"/>
        <v>Italia</v>
      </c>
    </row>
    <row r="2527" spans="1:14" x14ac:dyDescent="0.25">
      <c r="A2527" s="6" t="s">
        <v>6003</v>
      </c>
      <c r="B2527" s="6">
        <v>10807</v>
      </c>
      <c r="C2527" s="6" t="s">
        <v>6004</v>
      </c>
      <c r="D2527" s="7" t="s">
        <v>452</v>
      </c>
      <c r="E2527" s="6" t="s">
        <v>151</v>
      </c>
      <c r="F2527" s="6" t="s">
        <v>7599</v>
      </c>
      <c r="G2527" s="8">
        <v>45600</v>
      </c>
      <c r="H2527" s="6">
        <v>12.06</v>
      </c>
      <c r="I2527" s="6" cm="1">
        <f t="array" ref="I2527">IFERROR(VALUE(TRIM(LEFT(E2527,MIN(FIND({" ";"g";"k";"m";"o"},E2527&amp;" gkmo"))-1))),0)</f>
        <v>200</v>
      </c>
      <c r="J2527" s="6" t="str" cm="1">
        <f t="array" ref="J2527">IFERROR(TRIM(MID(E2527,MIN(FIND({" ";"g";"k";"m";"o"},E2527&amp;" gkmo")),10)),"unknown")</f>
        <v>g</v>
      </c>
      <c r="K2527" s="6" t="str">
        <f t="shared" si="156"/>
        <v>g</v>
      </c>
      <c r="L2527" s="6" t="str">
        <f t="shared" si="157"/>
        <v>Hacendado</v>
      </c>
      <c r="M2527" s="6" t="str">
        <f t="shared" si="158"/>
        <v>Chocolate Negro 55% Cacao Con Almendras</v>
      </c>
      <c r="N2527" s="6" t="str">
        <f t="shared" si="159"/>
        <v>Marruecos,Espaà±A</v>
      </c>
    </row>
    <row r="2528" spans="1:14" x14ac:dyDescent="0.25">
      <c r="A2528" s="6" t="s">
        <v>6005</v>
      </c>
      <c r="B2528" s="6">
        <v>6397</v>
      </c>
      <c r="C2528" s="6" t="s">
        <v>7379</v>
      </c>
      <c r="D2528" s="7" t="s">
        <v>2071</v>
      </c>
      <c r="E2528" s="6" t="s">
        <v>3240</v>
      </c>
      <c r="F2528" s="6" t="s">
        <v>48</v>
      </c>
      <c r="G2528" s="8">
        <v>45951</v>
      </c>
      <c r="H2528" s="6">
        <v>3.71</v>
      </c>
      <c r="I2528" s="6" cm="1">
        <f t="array" ref="I2528">IFERROR(VALUE(TRIM(LEFT(E2528,MIN(FIND({" ";"g";"k";"m";"o"},E2528&amp;" gkmo"))-1))),0)</f>
        <v>330</v>
      </c>
      <c r="J2528" s="6" t="str" cm="1">
        <f t="array" ref="J2528">IFERROR(TRIM(MID(E2528,MIN(FIND({" ";"g";"k";"m";"o"},E2528&amp;" gkmo")),10)),"unknown")</f>
        <v>g</v>
      </c>
      <c r="K2528" s="6" t="str">
        <f t="shared" si="156"/>
        <v>g</v>
      </c>
      <c r="L2528" s="6" t="str">
        <f t="shared" si="157"/>
        <v>Nestle</v>
      </c>
      <c r="M2528" s="6" t="str">
        <f t="shared" si="158"/>
        <v>Nestlé Kitkat Cereal</v>
      </c>
      <c r="N2528" s="6" t="str">
        <f t="shared" si="159"/>
        <v>Morocco</v>
      </c>
    </row>
    <row r="2529" spans="1:14" x14ac:dyDescent="0.25">
      <c r="A2529" s="6" t="s">
        <v>6006</v>
      </c>
      <c r="B2529" s="6">
        <v>11740</v>
      </c>
      <c r="C2529" s="6" t="s">
        <v>6007</v>
      </c>
      <c r="D2529" s="7" t="s">
        <v>1758</v>
      </c>
      <c r="E2529" s="6" t="s">
        <v>1675</v>
      </c>
      <c r="F2529" s="6" t="s">
        <v>8040</v>
      </c>
      <c r="G2529" s="8">
        <v>45399</v>
      </c>
      <c r="H2529" s="6">
        <v>9.64</v>
      </c>
      <c r="I2529" s="6" cm="1">
        <f t="array" ref="I2529">IFERROR(VALUE(TRIM(LEFT(E2529,MIN(FIND({" ";"g";"k";"m";"o"},E2529&amp;" gkmo"))-1))),0)</f>
        <v>600</v>
      </c>
      <c r="J2529" s="6" t="str" cm="1">
        <f t="array" ref="J2529">IFERROR(TRIM(MID(E2529,MIN(FIND({" ";"g";"k";"m";"o"},E2529&amp;" gkmo")),10)),"unknown")</f>
        <v>g</v>
      </c>
      <c r="K2529" s="6" t="str">
        <f t="shared" si="156"/>
        <v>g</v>
      </c>
      <c r="L2529" s="6" t="str">
        <f t="shared" si="157"/>
        <v>Celebrations</v>
      </c>
      <c r="M2529" s="6" t="str">
        <f t="shared" si="158"/>
        <v>Celebrations</v>
      </c>
      <c r="N2529" s="6" t="str">
        <f t="shared" si="159"/>
        <v>United Kingdom, France</v>
      </c>
    </row>
    <row r="2530" spans="1:14" x14ac:dyDescent="0.25">
      <c r="A2530" s="6" t="s">
        <v>6008</v>
      </c>
      <c r="B2530" s="6">
        <v>11624</v>
      </c>
      <c r="C2530" s="6" t="s">
        <v>6009</v>
      </c>
      <c r="D2530" s="7" t="s">
        <v>3452</v>
      </c>
      <c r="E2530" s="6"/>
      <c r="F2530" s="6" t="s">
        <v>177</v>
      </c>
      <c r="G2530" s="8">
        <v>45498</v>
      </c>
      <c r="H2530" s="6">
        <v>18.12</v>
      </c>
      <c r="I2530" s="6" cm="1">
        <f t="array" ref="I2530">IFERROR(VALUE(TRIM(LEFT(E2530,MIN(FIND({" ";"g";"k";"m";"o"},E2530&amp;" gkmo"))-1))),0)</f>
        <v>0</v>
      </c>
      <c r="J2530" s="6" t="str" cm="1">
        <f t="array" ref="J2530">IFERROR(TRIM(MID(E2530,MIN(FIND({" ";"g";"k";"m";"o"},E2530&amp;" gkmo")),10)),"unknown")</f>
        <v/>
      </c>
      <c r="K2530" s="6" t="str">
        <f t="shared" si="156"/>
        <v>unknown</v>
      </c>
      <c r="L2530" s="6" t="str">
        <f t="shared" si="157"/>
        <v>Organix</v>
      </c>
      <c r="M2530" s="6" t="str">
        <f t="shared" si="158"/>
        <v>Mini Cheese Crackers</v>
      </c>
      <c r="N2530" s="6" t="str">
        <f t="shared" si="159"/>
        <v>United Kingdom</v>
      </c>
    </row>
    <row r="2531" spans="1:14" x14ac:dyDescent="0.25">
      <c r="A2531" s="6" t="s">
        <v>6010</v>
      </c>
      <c r="B2531" s="6">
        <v>9229</v>
      </c>
      <c r="C2531" s="6" t="s">
        <v>6011</v>
      </c>
      <c r="D2531" s="7" t="s">
        <v>6012</v>
      </c>
      <c r="E2531" s="6"/>
      <c r="F2531" s="6" t="s">
        <v>997</v>
      </c>
      <c r="G2531" s="8">
        <v>45899</v>
      </c>
      <c r="H2531" s="6">
        <v>13.16</v>
      </c>
      <c r="I2531" s="6" cm="1">
        <f t="array" ref="I2531">IFERROR(VALUE(TRIM(LEFT(E2531,MIN(FIND({" ";"g";"k";"m";"o"},E2531&amp;" gkmo"))-1))),0)</f>
        <v>0</v>
      </c>
      <c r="J2531" s="6" t="str" cm="1">
        <f t="array" ref="J2531">IFERROR(TRIM(MID(E2531,MIN(FIND({" ";"g";"k";"m";"o"},E2531&amp;" gkmo")),10)),"unknown")</f>
        <v/>
      </c>
      <c r="K2531" s="6" t="str">
        <f t="shared" si="156"/>
        <v>unknown</v>
      </c>
      <c r="L2531" s="6" t="str">
        <f t="shared" si="157"/>
        <v>Mulino Bianco</v>
      </c>
      <c r="M2531" s="6" t="str">
        <f t="shared" si="158"/>
        <v>Intrecci</v>
      </c>
      <c r="N2531" s="6" t="str">
        <f t="shared" si="159"/>
        <v>Italy</v>
      </c>
    </row>
    <row r="2532" spans="1:14" x14ac:dyDescent="0.25">
      <c r="A2532" s="6" t="s">
        <v>6013</v>
      </c>
      <c r="B2532" s="6">
        <v>8949</v>
      </c>
      <c r="C2532" s="6" t="s">
        <v>6014</v>
      </c>
      <c r="D2532" s="7" t="s">
        <v>1147</v>
      </c>
      <c r="E2532" s="6" t="s">
        <v>423</v>
      </c>
      <c r="F2532" s="6" t="s">
        <v>139</v>
      </c>
      <c r="G2532" s="8">
        <v>45928</v>
      </c>
      <c r="H2532" s="6">
        <v>13.16</v>
      </c>
      <c r="I2532" s="6" cm="1">
        <f t="array" ref="I2532">IFERROR(VALUE(TRIM(LEFT(E2532,MIN(FIND({" ";"g";"k";"m";"o"},E2532&amp;" gkmo"))-1))),0)</f>
        <v>125</v>
      </c>
      <c r="J2532" s="6" t="str" cm="1">
        <f t="array" ref="J2532">IFERROR(TRIM(MID(E2532,MIN(FIND({" ";"g";"k";"m";"o"},E2532&amp;" gkmo")),10)),"unknown")</f>
        <v>g</v>
      </c>
      <c r="K2532" s="6" t="str">
        <f t="shared" si="156"/>
        <v>g</v>
      </c>
      <c r="L2532" s="6" t="str">
        <f t="shared" si="157"/>
        <v>Bret'S</v>
      </c>
      <c r="M2532" s="6" t="str">
        <f t="shared" si="158"/>
        <v>Chips Saveur Cheddar Jalapeno</v>
      </c>
      <c r="N2532" s="6" t="str">
        <f t="shared" si="159"/>
        <v>France</v>
      </c>
    </row>
    <row r="2533" spans="1:14" x14ac:dyDescent="0.25">
      <c r="A2533" s="6" t="s">
        <v>6015</v>
      </c>
      <c r="B2533" s="6">
        <v>11721</v>
      </c>
      <c r="C2533" s="6" t="s">
        <v>6016</v>
      </c>
      <c r="D2533" s="7" t="s">
        <v>1348</v>
      </c>
      <c r="E2533" s="6" t="s">
        <v>6017</v>
      </c>
      <c r="F2533" s="6" t="s">
        <v>2159</v>
      </c>
      <c r="G2533" s="8">
        <v>45748</v>
      </c>
      <c r="H2533" s="6">
        <v>4.28</v>
      </c>
      <c r="I2533" s="6" cm="1">
        <f t="array" ref="I2533">IFERROR(VALUE(TRIM(LEFT(E2533,MIN(FIND({" ";"g";"k";"m";"o"},E2533&amp;" gkmo"))-1))),0)</f>
        <v>5</v>
      </c>
      <c r="J2533" s="6" t="str" cm="1">
        <f t="array" ref="J2533">IFERROR(TRIM(MID(E2533,MIN(FIND({" ";"g";"k";"m";"o"},E2533&amp;" gkmo")),10)),"unknown")</f>
        <v>x 28g (14</v>
      </c>
      <c r="K2533" s="6" t="str">
        <f t="shared" si="156"/>
        <v>g</v>
      </c>
      <c r="L2533" s="6" t="str">
        <f t="shared" si="157"/>
        <v>Cadbury</v>
      </c>
      <c r="M2533" s="6" t="str">
        <f t="shared" si="158"/>
        <v>Brunch Choc Chip</v>
      </c>
      <c r="N2533" s="6" t="str">
        <f t="shared" si="159"/>
        <v>Switzerland,United Kingdom</v>
      </c>
    </row>
    <row r="2534" spans="1:14" x14ac:dyDescent="0.25">
      <c r="A2534" s="6" t="s">
        <v>6018</v>
      </c>
      <c r="B2534" s="6">
        <v>7961</v>
      </c>
      <c r="C2534" s="6" t="s">
        <v>6019</v>
      </c>
      <c r="D2534" s="7" t="s">
        <v>7030</v>
      </c>
      <c r="E2534" s="6" t="s">
        <v>580</v>
      </c>
      <c r="F2534" s="6" t="s">
        <v>139</v>
      </c>
      <c r="G2534" s="8">
        <v>46044</v>
      </c>
      <c r="H2534" s="6">
        <v>8.77</v>
      </c>
      <c r="I2534" s="6" cm="1">
        <f t="array" ref="I2534">IFERROR(VALUE(TRIM(LEFT(E2534,MIN(FIND({" ";"g";"k";"m";"o"},E2534&amp;" gkmo"))-1))),0)</f>
        <v>250</v>
      </c>
      <c r="J2534" s="6" t="str" cm="1">
        <f t="array" ref="J2534">IFERROR(TRIM(MID(E2534,MIN(FIND({" ";"g";"k";"m";"o"},E2534&amp;" gkmo")),10)),"unknown")</f>
        <v>g</v>
      </c>
      <c r="K2534" s="6" t="str">
        <f t="shared" si="156"/>
        <v>g</v>
      </c>
      <c r="L2534" s="6" t="str">
        <f t="shared" si="157"/>
        <v>Gerblé</v>
      </c>
      <c r="M2534" s="6" t="str">
        <f t="shared" si="158"/>
        <v>Tartines Crac Form</v>
      </c>
      <c r="N2534" s="6" t="str">
        <f t="shared" si="159"/>
        <v>France</v>
      </c>
    </row>
    <row r="2535" spans="1:14" x14ac:dyDescent="0.25">
      <c r="A2535" s="6" t="s">
        <v>6020</v>
      </c>
      <c r="B2535" s="6">
        <v>13073</v>
      </c>
      <c r="C2535" s="6" t="s">
        <v>620</v>
      </c>
      <c r="D2535" s="7" t="s">
        <v>6021</v>
      </c>
      <c r="E2535" s="6" t="s">
        <v>39</v>
      </c>
      <c r="F2535" s="6" t="s">
        <v>6022</v>
      </c>
      <c r="G2535" s="8">
        <v>45443</v>
      </c>
      <c r="H2535" s="6">
        <v>22.74</v>
      </c>
      <c r="I2535" s="6" cm="1">
        <f t="array" ref="I2535">IFERROR(VALUE(TRIM(LEFT(E2535,MIN(FIND({" ";"g";"k";"m";"o"},E2535&amp;" gkmo"))-1))),0)</f>
        <v>150</v>
      </c>
      <c r="J2535" s="6" t="str" cm="1">
        <f t="array" ref="J2535">IFERROR(TRIM(MID(E2535,MIN(FIND({" ";"g";"k";"m";"o"},E2535&amp;" gkmo")),10)),"unknown")</f>
        <v>g</v>
      </c>
      <c r="K2535" s="6" t="str">
        <f t="shared" si="156"/>
        <v>g</v>
      </c>
      <c r="L2535" s="6" t="str">
        <f t="shared" si="157"/>
        <v>Walker'S</v>
      </c>
      <c r="M2535" s="6" t="str">
        <f t="shared" si="158"/>
        <v>Shortbread Fingers</v>
      </c>
      <c r="N2535" s="6" t="str">
        <f t="shared" si="159"/>
        <v>Germany,Italy,Switzerland,United States,New Zealand</v>
      </c>
    </row>
    <row r="2536" spans="1:14" x14ac:dyDescent="0.25">
      <c r="A2536" s="6" t="s">
        <v>6023</v>
      </c>
      <c r="B2536" s="6">
        <v>12107</v>
      </c>
      <c r="C2536" s="6" t="s">
        <v>6024</v>
      </c>
      <c r="D2536" s="7" t="s">
        <v>6025</v>
      </c>
      <c r="E2536" s="6" t="s">
        <v>6026</v>
      </c>
      <c r="F2536" s="6" t="s">
        <v>3860</v>
      </c>
      <c r="G2536" s="8">
        <v>45382</v>
      </c>
      <c r="H2536" s="6">
        <v>20.85</v>
      </c>
      <c r="I2536" s="6" cm="1">
        <f t="array" ref="I2536">IFERROR(VALUE(TRIM(LEFT(E2536,MIN(FIND({" ";"g";"k";"m";"o"},E2536&amp;" gkmo"))-1))),0)</f>
        <v>3.3</v>
      </c>
      <c r="J2536" s="6" t="str" cm="1">
        <f t="array" ref="J2536">IFERROR(TRIM(MID(E2536,MIN(FIND({" ";"g";"k";"m";"o"},E2536&amp;" gkmo")),10)),"unknown")</f>
        <v>oz (94g)</v>
      </c>
      <c r="K2536" s="6" t="str">
        <f t="shared" si="156"/>
        <v>g</v>
      </c>
      <c r="L2536" s="6" t="str">
        <f t="shared" si="157"/>
        <v>Harvest Snaps</v>
      </c>
      <c r="M2536" s="6" t="str">
        <f t="shared" si="158"/>
        <v>Lightly Salted Crispy Baked Veggie Snacks</v>
      </c>
      <c r="N2536" s="6" t="str">
        <f t="shared" si="159"/>
        <v>United States, World</v>
      </c>
    </row>
    <row r="2537" spans="1:14" x14ac:dyDescent="0.25">
      <c r="A2537" s="6" t="s">
        <v>6027</v>
      </c>
      <c r="B2537" s="6">
        <v>9354</v>
      </c>
      <c r="C2537" s="6" t="s">
        <v>6028</v>
      </c>
      <c r="D2537" s="7" t="s">
        <v>1742</v>
      </c>
      <c r="E2537" s="6" t="s">
        <v>6029</v>
      </c>
      <c r="F2537" s="6" t="s">
        <v>8166</v>
      </c>
      <c r="G2537" s="8">
        <v>45881</v>
      </c>
      <c r="H2537" s="6">
        <v>13.82</v>
      </c>
      <c r="I2537" s="6" cm="1">
        <f t="array" ref="I2537">IFERROR(VALUE(TRIM(LEFT(E2537,MIN(FIND({" ";"g";"k";"m";"o"},E2537&amp;" gkmo"))-1))),0)</f>
        <v>200</v>
      </c>
      <c r="J2537" s="6" t="str" cm="1">
        <f t="array" ref="J2537">IFERROR(TRIM(MID(E2537,MIN(FIND({" ";"g";"k";"m";"o"},E2537&amp;" gkmo")),10)),"unknown")</f>
        <v>g (8 Rieg</v>
      </c>
      <c r="K2537" s="6" t="str">
        <f t="shared" si="156"/>
        <v>g</v>
      </c>
      <c r="L2537" s="6" t="str">
        <f t="shared" si="157"/>
        <v>Crownfield</v>
      </c>
      <c r="M2537" s="6" t="str">
        <f t="shared" si="158"/>
        <v>Muesli Bar Cranberry</v>
      </c>
      <c r="N2537" s="6" t="str">
        <f t="shared" si="159"/>
        <v>France,Germany,Switzerland,Belgium</v>
      </c>
    </row>
    <row r="2538" spans="1:14" x14ac:dyDescent="0.25">
      <c r="A2538" s="6" t="s">
        <v>6030</v>
      </c>
      <c r="B2538" s="6">
        <v>9414</v>
      </c>
      <c r="C2538" s="6" t="s">
        <v>6031</v>
      </c>
      <c r="D2538" s="7" t="s">
        <v>6032</v>
      </c>
      <c r="E2538" s="6" t="s">
        <v>2862</v>
      </c>
      <c r="F2538" s="6" t="s">
        <v>6033</v>
      </c>
      <c r="G2538" s="8">
        <v>45814</v>
      </c>
      <c r="H2538" s="6">
        <v>23.6</v>
      </c>
      <c r="I2538" s="6" cm="1">
        <f t="array" ref="I2538">IFERROR(VALUE(TRIM(LEFT(E2538,MIN(FIND({" ";"g";"k";"m";"o"},E2538&amp;" gkmo"))-1))),0)</f>
        <v>700</v>
      </c>
      <c r="J2538" s="6" t="str" cm="1">
        <f t="array" ref="J2538">IFERROR(TRIM(MID(E2538,MIN(FIND({" ";"g";"k";"m";"o"},E2538&amp;" gkmo")),10)),"unknown")</f>
        <v>g</v>
      </c>
      <c r="K2538" s="6" t="str">
        <f t="shared" si="156"/>
        <v>g</v>
      </c>
      <c r="L2538" s="6" t="str">
        <f t="shared" si="157"/>
        <v>Realforno</v>
      </c>
      <c r="M2538" s="6" t="str">
        <f t="shared" si="158"/>
        <v>Fior Di Integrale</v>
      </c>
      <c r="N2538" s="6" t="str">
        <f t="shared" si="159"/>
        <v>Italia</v>
      </c>
    </row>
    <row r="2539" spans="1:14" x14ac:dyDescent="0.25">
      <c r="A2539" s="6" t="s">
        <v>6034</v>
      </c>
      <c r="B2539" s="6">
        <v>5127</v>
      </c>
      <c r="C2539" s="6" t="s">
        <v>128</v>
      </c>
      <c r="D2539" s="7" t="s">
        <v>6035</v>
      </c>
      <c r="E2539" s="6"/>
      <c r="F2539" s="6" t="s">
        <v>139</v>
      </c>
      <c r="G2539" s="8">
        <v>45947</v>
      </c>
      <c r="H2539" s="6">
        <v>19.39</v>
      </c>
      <c r="I2539" s="6" cm="1">
        <f t="array" ref="I2539">IFERROR(VALUE(TRIM(LEFT(E2539,MIN(FIND({" ";"g";"k";"m";"o"},E2539&amp;" gkmo"))-1))),0)</f>
        <v>0</v>
      </c>
      <c r="J2539" s="6" t="str" cm="1">
        <f t="array" ref="J2539">IFERROR(TRIM(MID(E2539,MIN(FIND({" ";"g";"k";"m";"o"},E2539&amp;" gkmo")),10)),"unknown")</f>
        <v/>
      </c>
      <c r="K2539" s="6" t="str">
        <f t="shared" si="156"/>
        <v>unknown</v>
      </c>
      <c r="L2539" s="6" t="str">
        <f t="shared" si="157"/>
        <v>Tastino</v>
      </c>
      <c r="M2539" s="6" t="str">
        <f t="shared" si="158"/>
        <v>Petit Beurre</v>
      </c>
      <c r="N2539" s="6" t="str">
        <f t="shared" si="159"/>
        <v>France</v>
      </c>
    </row>
    <row r="2540" spans="1:14" x14ac:dyDescent="0.25">
      <c r="A2540" s="6" t="s">
        <v>6036</v>
      </c>
      <c r="B2540" s="6">
        <v>10918</v>
      </c>
      <c r="C2540" s="6" t="s">
        <v>6037</v>
      </c>
      <c r="D2540" s="7" t="s">
        <v>7380</v>
      </c>
      <c r="E2540" s="6" t="s">
        <v>151</v>
      </c>
      <c r="F2540" s="6" t="s">
        <v>6038</v>
      </c>
      <c r="G2540" s="8">
        <v>45647</v>
      </c>
      <c r="H2540" s="6">
        <v>15.13</v>
      </c>
      <c r="I2540" s="6" cm="1">
        <f t="array" ref="I2540">IFERROR(VALUE(TRIM(LEFT(E2540,MIN(FIND({" ";"g";"k";"m";"o"},E2540&amp;" gkmo"))-1))),0)</f>
        <v>200</v>
      </c>
      <c r="J2540" s="6" t="str" cm="1">
        <f t="array" ref="J2540">IFERROR(TRIM(MID(E2540,MIN(FIND({" ";"g";"k";"m";"o"},E2540&amp;" gkmo")),10)),"unknown")</f>
        <v>g</v>
      </c>
      <c r="K2540" s="6" t="str">
        <f t="shared" si="156"/>
        <v>g</v>
      </c>
      <c r="L2540" s="6" t="str">
        <f t="shared" si="157"/>
        <v>Bellarom, Fin Carré, Lidl</v>
      </c>
      <c r="M2540" s="6" t="str">
        <f t="shared" si="158"/>
        <v>Weisse Kokos &amp; Flakes</v>
      </c>
      <c r="N2540" s="6" t="str">
        <f t="shared" si="159"/>
        <v>France,Germany,United States</v>
      </c>
    </row>
    <row r="2541" spans="1:14" x14ac:dyDescent="0.25">
      <c r="A2541" s="6" t="s">
        <v>6039</v>
      </c>
      <c r="B2541" s="6">
        <v>7768</v>
      </c>
      <c r="C2541" s="6" t="s">
        <v>6040</v>
      </c>
      <c r="D2541" s="7" t="s">
        <v>961</v>
      </c>
      <c r="E2541" s="6" t="s">
        <v>6041</v>
      </c>
      <c r="F2541" s="6" t="s">
        <v>7976</v>
      </c>
      <c r="G2541" s="8">
        <v>45628</v>
      </c>
      <c r="H2541" s="6">
        <v>3.46</v>
      </c>
      <c r="I2541" s="6" cm="1">
        <f t="array" ref="I2541">IFERROR(VALUE(TRIM(LEFT(E2541,MIN(FIND({" ";"g";"k";"m";"o"},E2541&amp;" gkmo"))-1))),0)</f>
        <v>253</v>
      </c>
      <c r="J2541" s="6" t="str" cm="1">
        <f t="array" ref="J2541">IFERROR(TRIM(MID(E2541,MIN(FIND({" ";"g";"k";"m";"o"},E2541&amp;" gkmo")),10)),"unknown")</f>
        <v>g</v>
      </c>
      <c r="K2541" s="6" t="str">
        <f t="shared" si="156"/>
        <v>g</v>
      </c>
      <c r="L2541" s="6" t="str">
        <f t="shared" si="157"/>
        <v>Sondey</v>
      </c>
      <c r="M2541" s="6" t="str">
        <f t="shared" si="158"/>
        <v>Envitas Cacao</v>
      </c>
      <c r="N2541" s="6" t="str">
        <f t="shared" si="159"/>
        <v>Frankreich, Ch</v>
      </c>
    </row>
    <row r="2542" spans="1:14" x14ac:dyDescent="0.25">
      <c r="A2542" s="6" t="s">
        <v>6042</v>
      </c>
      <c r="B2542" s="6">
        <v>5853</v>
      </c>
      <c r="C2542" s="6" t="s">
        <v>6043</v>
      </c>
      <c r="D2542" s="7" t="s">
        <v>6044</v>
      </c>
      <c r="E2542" s="6"/>
      <c r="F2542" s="6" t="s">
        <v>7851</v>
      </c>
      <c r="G2542" s="8">
        <v>46045</v>
      </c>
      <c r="H2542" s="6">
        <v>2.5</v>
      </c>
      <c r="I2542" s="6" cm="1">
        <f t="array" ref="I2542">IFERROR(VALUE(TRIM(LEFT(E2542,MIN(FIND({" ";"g";"k";"m";"o"},E2542&amp;" gkmo"))-1))),0)</f>
        <v>0</v>
      </c>
      <c r="J2542" s="6" t="str" cm="1">
        <f t="array" ref="J2542">IFERROR(TRIM(MID(E2542,MIN(FIND({" ";"g";"k";"m";"o"},E2542&amp;" gkmo")),10)),"unknown")</f>
        <v/>
      </c>
      <c r="K2542" s="6" t="str">
        <f t="shared" si="156"/>
        <v>unknown</v>
      </c>
      <c r="L2542" s="6" t="str">
        <f t="shared" si="157"/>
        <v>Tastino,Lidl</v>
      </c>
      <c r="M2542" s="6" t="str">
        <f t="shared" si="158"/>
        <v>Waffle Rolls With Vanilla Flavour Filling</v>
      </c>
      <c r="N2542" s="6" t="str">
        <f t="shared" si="159"/>
        <v>Repàºblica Checa</v>
      </c>
    </row>
    <row r="2543" spans="1:14" x14ac:dyDescent="0.25">
      <c r="A2543" s="6" t="s">
        <v>6045</v>
      </c>
      <c r="B2543" s="6">
        <v>11802</v>
      </c>
      <c r="C2543" s="6" t="s">
        <v>6046</v>
      </c>
      <c r="D2543" s="7" t="s">
        <v>6047</v>
      </c>
      <c r="E2543" s="6" t="s">
        <v>580</v>
      </c>
      <c r="F2543" s="6" t="s">
        <v>3914</v>
      </c>
      <c r="G2543" s="8">
        <v>45366</v>
      </c>
      <c r="H2543" s="6">
        <v>23.81</v>
      </c>
      <c r="I2543" s="6" cm="1">
        <f t="array" ref="I2543">IFERROR(VALUE(TRIM(LEFT(E2543,MIN(FIND({" ";"g";"k";"m";"o"},E2543&amp;" gkmo"))-1))),0)</f>
        <v>250</v>
      </c>
      <c r="J2543" s="6" t="str" cm="1">
        <f t="array" ref="J2543">IFERROR(TRIM(MID(E2543,MIN(FIND({" ";"g";"k";"m";"o"},E2543&amp;" gkmo")),10)),"unknown")</f>
        <v>g</v>
      </c>
      <c r="K2543" s="6" t="str">
        <f t="shared" si="156"/>
        <v>g</v>
      </c>
      <c r="L2543" s="6" t="str">
        <f t="shared" si="157"/>
        <v>Lidl, Mcennedy</v>
      </c>
      <c r="M2543" s="6" t="str">
        <f t="shared" si="158"/>
        <v>Halloween Popcorn Sweet</v>
      </c>
      <c r="N2543" s="6" t="str">
        <f t="shared" si="159"/>
        <v>Frankreich, Germany</v>
      </c>
    </row>
    <row r="2544" spans="1:14" x14ac:dyDescent="0.25">
      <c r="A2544" s="6" t="s">
        <v>6048</v>
      </c>
      <c r="B2544" s="6">
        <v>7732</v>
      </c>
      <c r="C2544" s="6" t="s">
        <v>6049</v>
      </c>
      <c r="D2544" s="7" t="s">
        <v>6050</v>
      </c>
      <c r="E2544" s="6"/>
      <c r="F2544" s="6" t="s">
        <v>139</v>
      </c>
      <c r="G2544" s="8">
        <v>45940</v>
      </c>
      <c r="H2544" s="6">
        <v>5.42</v>
      </c>
      <c r="I2544" s="6" cm="1">
        <f t="array" ref="I2544">IFERROR(VALUE(TRIM(LEFT(E2544,MIN(FIND({" ";"g";"k";"m";"o"},E2544&amp;" gkmo"))-1))),0)</f>
        <v>0</v>
      </c>
      <c r="J2544" s="6" t="str" cm="1">
        <f t="array" ref="J2544">IFERROR(TRIM(MID(E2544,MIN(FIND({" ";"g";"k";"m";"o"},E2544&amp;" gkmo")),10)),"unknown")</f>
        <v/>
      </c>
      <c r="K2544" s="6" t="str">
        <f t="shared" si="156"/>
        <v>unknown</v>
      </c>
      <c r="L2544" s="6" t="str">
        <f t="shared" si="157"/>
        <v>Feel Free</v>
      </c>
      <c r="M2544" s="6" t="str">
        <f t="shared" si="158"/>
        <v>Bonbons Menthe Et Saveur Eucalyptus</v>
      </c>
      <c r="N2544" s="6" t="str">
        <f t="shared" si="159"/>
        <v>France</v>
      </c>
    </row>
    <row r="2545" spans="1:14" x14ac:dyDescent="0.25">
      <c r="A2545" s="6" t="s">
        <v>6051</v>
      </c>
      <c r="B2545" s="6">
        <v>12802</v>
      </c>
      <c r="C2545" s="6" t="s">
        <v>7381</v>
      </c>
      <c r="D2545" s="7" t="s">
        <v>7382</v>
      </c>
      <c r="E2545" s="6" t="s">
        <v>39</v>
      </c>
      <c r="F2545" s="6" t="s">
        <v>139</v>
      </c>
      <c r="G2545" s="8">
        <v>45602</v>
      </c>
      <c r="H2545" s="6">
        <v>13.44</v>
      </c>
      <c r="I2545" s="6" cm="1">
        <f t="array" ref="I2545">IFERROR(VALUE(TRIM(LEFT(E2545,MIN(FIND({" ";"g";"k";"m";"o"},E2545&amp;" gkmo"))-1))),0)</f>
        <v>150</v>
      </c>
      <c r="J2545" s="6" t="str" cm="1">
        <f t="array" ref="J2545">IFERROR(TRIM(MID(E2545,MIN(FIND({" ";"g";"k";"m";"o"},E2545&amp;" gkmo")),10)),"unknown")</f>
        <v>g</v>
      </c>
      <c r="K2545" s="6" t="str">
        <f t="shared" si="156"/>
        <v>g</v>
      </c>
      <c r="L2545" s="6" t="str">
        <f t="shared" si="157"/>
        <v>Lu, Pépito</v>
      </c>
      <c r="M2545" s="6" t="str">
        <f t="shared" si="158"/>
        <v>Pépito Mini Roulés Chocolat</v>
      </c>
      <c r="N2545" s="6" t="str">
        <f t="shared" si="159"/>
        <v>France</v>
      </c>
    </row>
    <row r="2546" spans="1:14" x14ac:dyDescent="0.25">
      <c r="A2546" s="6" t="s">
        <v>6052</v>
      </c>
      <c r="B2546" s="6">
        <v>11786</v>
      </c>
      <c r="C2546" s="6" t="s">
        <v>6053</v>
      </c>
      <c r="D2546" s="7" t="s">
        <v>4009</v>
      </c>
      <c r="E2546" s="6" t="s">
        <v>436</v>
      </c>
      <c r="F2546" s="6" t="s">
        <v>557</v>
      </c>
      <c r="G2546" s="8">
        <v>45378</v>
      </c>
      <c r="H2546" s="6">
        <v>11.08</v>
      </c>
      <c r="I2546" s="6" cm="1">
        <f t="array" ref="I2546">IFERROR(VALUE(TRIM(LEFT(E2546,MIN(FIND({" ";"g";"k";"m";"o"},E2546&amp;" gkmo"))-1))),0)</f>
        <v>90</v>
      </c>
      <c r="J2546" s="6" t="str" cm="1">
        <f t="array" ref="J2546">IFERROR(TRIM(MID(E2546,MIN(FIND({" ";"g";"k";"m";"o"},E2546&amp;" gkmo")),10)),"unknown")</f>
        <v>g</v>
      </c>
      <c r="K2546" s="6" t="str">
        <f t="shared" si="156"/>
        <v>g</v>
      </c>
      <c r="L2546" s="6" t="str">
        <f t="shared" si="157"/>
        <v>Glico, Lu, Mikado, Mondelez</v>
      </c>
      <c r="M2546" s="6" t="str">
        <f t="shared" si="158"/>
        <v>Mikado Chocolat Noir</v>
      </c>
      <c r="N2546" s="6" t="str">
        <f t="shared" si="159"/>
        <v>Belgium,France,Switzerland</v>
      </c>
    </row>
    <row r="2547" spans="1:14" x14ac:dyDescent="0.25">
      <c r="A2547" s="6" t="s">
        <v>6054</v>
      </c>
      <c r="B2547" s="6">
        <v>10824</v>
      </c>
      <c r="C2547" s="6" t="s">
        <v>6055</v>
      </c>
      <c r="D2547" s="7" t="s">
        <v>7513</v>
      </c>
      <c r="E2547" s="6" t="s">
        <v>6056</v>
      </c>
      <c r="F2547" s="6" t="s">
        <v>139</v>
      </c>
      <c r="G2547" s="8">
        <v>45741</v>
      </c>
      <c r="H2547" s="6">
        <v>19.66</v>
      </c>
      <c r="I2547" s="6" cm="1">
        <f t="array" ref="I2547">IFERROR(VALUE(TRIM(LEFT(E2547,MIN(FIND({" ";"g";"k";"m";"o"},E2547&amp;" gkmo"))-1))),0)</f>
        <v>340</v>
      </c>
      <c r="J2547" s="6" t="str" cm="1">
        <f t="array" ref="J2547">IFERROR(TRIM(MID(E2547,MIN(FIND({" ";"g";"k";"m";"o"},E2547&amp;" gkmo")),10)),"unknown")</f>
        <v>g (4x85g)</v>
      </c>
      <c r="K2547" s="6" t="str">
        <f t="shared" si="156"/>
        <v>g</v>
      </c>
      <c r="L2547" s="6" t="str">
        <f t="shared" si="157"/>
        <v>La Laitière, Nestlé</v>
      </c>
      <c r="M2547" s="6" t="str">
        <f t="shared" si="158"/>
        <v>Clafoutis Aux Cerises</v>
      </c>
      <c r="N2547" s="6" t="str">
        <f t="shared" si="159"/>
        <v>France</v>
      </c>
    </row>
    <row r="2548" spans="1:14" x14ac:dyDescent="0.25">
      <c r="A2548" s="6" t="s">
        <v>6057</v>
      </c>
      <c r="B2548" s="6">
        <v>10500</v>
      </c>
      <c r="C2548" s="6" t="s">
        <v>6058</v>
      </c>
      <c r="D2548" s="7" t="s">
        <v>13</v>
      </c>
      <c r="E2548" s="6" t="s">
        <v>14</v>
      </c>
      <c r="F2548" s="6" t="s">
        <v>139</v>
      </c>
      <c r="G2548" s="8">
        <v>45687</v>
      </c>
      <c r="H2548" s="6">
        <v>10.42</v>
      </c>
      <c r="I2548" s="6" cm="1">
        <f t="array" ref="I2548">IFERROR(VALUE(TRIM(LEFT(E2548,MIN(FIND({" ";"g";"k";"m";"o"},E2548&amp;" gkmo"))-1))),0)</f>
        <v>300</v>
      </c>
      <c r="J2548" s="6" t="str" cm="1">
        <f t="array" ref="J2548">IFERROR(TRIM(MID(E2548,MIN(FIND({" ";"g";"k";"m";"o"},E2548&amp;" gkmo")),10)),"unknown")</f>
        <v>g</v>
      </c>
      <c r="K2548" s="6" t="str">
        <f t="shared" si="156"/>
        <v>g</v>
      </c>
      <c r="L2548" s="6" t="str">
        <f t="shared" si="157"/>
        <v>Lu</v>
      </c>
      <c r="M2548" s="6" t="str">
        <f t="shared" si="158"/>
        <v>Lulu L Ourson</v>
      </c>
      <c r="N2548" s="6" t="str">
        <f t="shared" si="159"/>
        <v>France</v>
      </c>
    </row>
    <row r="2549" spans="1:14" x14ac:dyDescent="0.25">
      <c r="A2549" s="6" t="s">
        <v>6059</v>
      </c>
      <c r="B2549" s="6">
        <v>9111</v>
      </c>
      <c r="C2549" s="6" t="s">
        <v>7017</v>
      </c>
      <c r="D2549" s="7" t="s">
        <v>7383</v>
      </c>
      <c r="E2549" s="6" t="s">
        <v>335</v>
      </c>
      <c r="F2549" s="6" t="s">
        <v>1181</v>
      </c>
      <c r="G2549" s="8">
        <v>45673</v>
      </c>
      <c r="H2549" s="6">
        <v>13.16</v>
      </c>
      <c r="I2549" s="6" cm="1">
        <f t="array" ref="I2549">IFERROR(VALUE(TRIM(LEFT(E2549,MIN(FIND({" ";"g";"k";"m";"o"},E2549&amp;" gkmo"))-1))),0)</f>
        <v>250</v>
      </c>
      <c r="J2549" s="6" t="str" cm="1">
        <f t="array" ref="J2549">IFERROR(TRIM(MID(E2549,MIN(FIND({" ";"g";"k";"m";"o"},E2549&amp;" gkmo")),10)),"unknown")</f>
        <v>g</v>
      </c>
      <c r="K2549" s="6" t="str">
        <f t="shared" si="156"/>
        <v>g</v>
      </c>
      <c r="L2549" s="6" t="str">
        <f t="shared" si="157"/>
        <v>Apéricube</v>
      </c>
      <c r="M2549" s="6" t="str">
        <f t="shared" si="158"/>
        <v>Unknown</v>
      </c>
      <c r="N2549" s="6" t="str">
        <f t="shared" si="159"/>
        <v>France,Switzerland</v>
      </c>
    </row>
    <row r="2550" spans="1:14" x14ac:dyDescent="0.25">
      <c r="A2550" s="6" t="s">
        <v>6060</v>
      </c>
      <c r="B2550" s="6">
        <v>7982</v>
      </c>
      <c r="C2550" s="6" t="s">
        <v>6061</v>
      </c>
      <c r="D2550" s="7" t="s">
        <v>310</v>
      </c>
      <c r="E2550" s="6"/>
      <c r="F2550" s="6" t="s">
        <v>139</v>
      </c>
      <c r="G2550" s="8">
        <v>45528</v>
      </c>
      <c r="H2550" s="6">
        <v>5.05</v>
      </c>
      <c r="I2550" s="6" cm="1">
        <f t="array" ref="I2550">IFERROR(VALUE(TRIM(LEFT(E2550,MIN(FIND({" ";"g";"k";"m";"o"},E2550&amp;" gkmo"))-1))),0)</f>
        <v>0</v>
      </c>
      <c r="J2550" s="6" t="str" cm="1">
        <f t="array" ref="J2550">IFERROR(TRIM(MID(E2550,MIN(FIND({" ";"g";"k";"m";"o"},E2550&amp;" gkmo")),10)),"unknown")</f>
        <v/>
      </c>
      <c r="K2550" s="6" t="str">
        <f t="shared" si="156"/>
        <v>unknown</v>
      </c>
      <c r="L2550" s="6" t="str">
        <f t="shared" si="157"/>
        <v>St Michel</v>
      </c>
      <c r="M2550" s="6" t="str">
        <f t="shared" si="158"/>
        <v>Tronches De Cake - Moelleux Chocolat</v>
      </c>
      <c r="N2550" s="6" t="str">
        <f t="shared" si="159"/>
        <v>France</v>
      </c>
    </row>
    <row r="2551" spans="1:14" x14ac:dyDescent="0.25">
      <c r="A2551" s="6" t="s">
        <v>6062</v>
      </c>
      <c r="B2551" s="6">
        <v>13445</v>
      </c>
      <c r="C2551" s="6" t="s">
        <v>7852</v>
      </c>
      <c r="D2551" s="7" t="s">
        <v>4889</v>
      </c>
      <c r="E2551" s="6" t="s">
        <v>982</v>
      </c>
      <c r="F2551" s="6" t="s">
        <v>139</v>
      </c>
      <c r="G2551" s="8">
        <v>45575</v>
      </c>
      <c r="H2551" s="6">
        <v>19.38</v>
      </c>
      <c r="I2551" s="6" cm="1">
        <f t="array" ref="I2551">IFERROR(VALUE(TRIM(LEFT(E2551,MIN(FIND({" ";"g";"k";"m";"o"},E2551&amp;" gkmo"))-1))),0)</f>
        <v>126</v>
      </c>
      <c r="J2551" s="6" t="str" cm="1">
        <f t="array" ref="J2551">IFERROR(TRIM(MID(E2551,MIN(FIND({" ";"g";"k";"m";"o"},E2551&amp;" gkmo")),10)),"unknown")</f>
        <v>g</v>
      </c>
      <c r="K2551" s="6" t="str">
        <f t="shared" si="156"/>
        <v>g</v>
      </c>
      <c r="L2551" s="6" t="str">
        <f t="shared" si="157"/>
        <v>Chabrior</v>
      </c>
      <c r="M2551" s="6" t="str">
        <f t="shared" si="158"/>
        <v>Barres De Céréales À  La Figue X6</v>
      </c>
      <c r="N2551" s="6" t="str">
        <f t="shared" si="159"/>
        <v>France</v>
      </c>
    </row>
    <row r="2552" spans="1:14" x14ac:dyDescent="0.25">
      <c r="A2552" s="6" t="s">
        <v>6063</v>
      </c>
      <c r="B2552" s="6">
        <v>11001</v>
      </c>
      <c r="C2552" s="6" t="s">
        <v>7853</v>
      </c>
      <c r="D2552" s="7" t="s">
        <v>4054</v>
      </c>
      <c r="E2552" s="6" t="s">
        <v>84</v>
      </c>
      <c r="F2552" s="6" t="s">
        <v>7558</v>
      </c>
      <c r="G2552" s="8">
        <v>45498</v>
      </c>
      <c r="H2552" s="6">
        <v>12.36</v>
      </c>
      <c r="I2552" s="6" cm="1">
        <f t="array" ref="I2552">IFERROR(VALUE(TRIM(LEFT(E2552,MIN(FIND({" ";"g";"k";"m";"o"},E2552&amp;" gkmo"))-1))),0)</f>
        <v>85</v>
      </c>
      <c r="J2552" s="6" t="str" cm="1">
        <f t="array" ref="J2552">IFERROR(TRIM(MID(E2552,MIN(FIND({" ";"g";"k";"m";"o"},E2552&amp;" gkmo")),10)),"unknown")</f>
        <v>g</v>
      </c>
      <c r="K2552" s="6" t="str">
        <f t="shared" si="156"/>
        <v>g</v>
      </c>
      <c r="L2552" s="6" t="str">
        <f t="shared" si="157"/>
        <v>Intersnack, Vico</v>
      </c>
      <c r="M2552" s="6" t="str">
        <f t="shared" si="158"/>
        <v>Monster Munch Goà»T Ketchup</v>
      </c>
      <c r="N2552" s="6" t="str">
        <f t="shared" si="159"/>
        <v>België,Frankrijk</v>
      </c>
    </row>
    <row r="2553" spans="1:14" x14ac:dyDescent="0.25">
      <c r="A2553" s="6" t="s">
        <v>6064</v>
      </c>
      <c r="B2553" s="6">
        <v>10296</v>
      </c>
      <c r="C2553" s="6" t="s">
        <v>7514</v>
      </c>
      <c r="D2553" s="7" t="s">
        <v>1105</v>
      </c>
      <c r="E2553" s="6" t="s">
        <v>82</v>
      </c>
      <c r="F2553" s="6" t="s">
        <v>139</v>
      </c>
      <c r="G2553" s="8">
        <v>45793</v>
      </c>
      <c r="H2553" s="6">
        <v>22.88</v>
      </c>
      <c r="I2553" s="6" cm="1">
        <f t="array" ref="I2553">IFERROR(VALUE(TRIM(LEFT(E2553,MIN(FIND({" ";"g";"k";"m";"o"},E2553&amp;" gkmo"))-1))),0)</f>
        <v>230</v>
      </c>
      <c r="J2553" s="6" t="str" cm="1">
        <f t="array" ref="J2553">IFERROR(TRIM(MID(E2553,MIN(FIND({" ";"g";"k";"m";"o"},E2553&amp;" gkmo")),10)),"unknown")</f>
        <v>g</v>
      </c>
      <c r="K2553" s="6" t="str">
        <f t="shared" si="156"/>
        <v>g</v>
      </c>
      <c r="L2553" s="6" t="str">
        <f t="shared" si="157"/>
        <v>Vico</v>
      </c>
      <c r="M2553" s="6" t="str">
        <f t="shared" si="158"/>
        <v>Curly Cacahuète L'Original - Format Party 230 G</v>
      </c>
      <c r="N2553" s="6" t="str">
        <f t="shared" si="159"/>
        <v>France</v>
      </c>
    </row>
    <row r="2554" spans="1:14" x14ac:dyDescent="0.25">
      <c r="A2554" s="6" t="s">
        <v>6065</v>
      </c>
      <c r="B2554" s="6">
        <v>13038</v>
      </c>
      <c r="C2554" s="6" t="s">
        <v>7854</v>
      </c>
      <c r="D2554" s="7" t="s">
        <v>6066</v>
      </c>
      <c r="E2554" s="6" t="s">
        <v>446</v>
      </c>
      <c r="F2554" s="6" t="s">
        <v>139</v>
      </c>
      <c r="G2554" s="8">
        <v>45674</v>
      </c>
      <c r="H2554" s="6">
        <v>4.54</v>
      </c>
      <c r="I2554" s="6" cm="1">
        <f t="array" ref="I2554">IFERROR(VALUE(TRIM(LEFT(E2554,MIN(FIND({" ";"g";"k";"m";"o"},E2554&amp;" gkmo"))-1))),0)</f>
        <v>450</v>
      </c>
      <c r="J2554" s="6" t="str" cm="1">
        <f t="array" ref="J2554">IFERROR(TRIM(MID(E2554,MIN(FIND({" ";"g";"k";"m";"o"},E2554&amp;" gkmo")),10)),"unknown")</f>
        <v>g</v>
      </c>
      <c r="K2554" s="6" t="str">
        <f t="shared" si="156"/>
        <v>g</v>
      </c>
      <c r="L2554" s="6" t="str">
        <f t="shared" si="157"/>
        <v>U, U Saveurs</v>
      </c>
      <c r="M2554" s="6" t="str">
        <f t="shared" si="158"/>
        <v>Gà¢Che Tranchée Pur Beurre 450G</v>
      </c>
      <c r="N2554" s="6" t="str">
        <f t="shared" si="159"/>
        <v>France</v>
      </c>
    </row>
    <row r="2555" spans="1:14" x14ac:dyDescent="0.25">
      <c r="A2555" s="6" t="s">
        <v>6067</v>
      </c>
      <c r="B2555" s="6">
        <v>5855</v>
      </c>
      <c r="C2555" s="6" t="s">
        <v>7855</v>
      </c>
      <c r="D2555" s="7" t="s">
        <v>1872</v>
      </c>
      <c r="E2555" s="6" t="s">
        <v>6068</v>
      </c>
      <c r="F2555" s="6" t="s">
        <v>139</v>
      </c>
      <c r="G2555" s="8">
        <v>45482</v>
      </c>
      <c r="H2555" s="6">
        <v>9.18</v>
      </c>
      <c r="I2555" s="6" cm="1">
        <f t="array" ref="I2555">IFERROR(VALUE(TRIM(LEFT(E2555,MIN(FIND({" ";"g";"k";"m";"o"},E2555&amp;" gkmo"))-1))),0)</f>
        <v>150</v>
      </c>
      <c r="J2555" s="6" t="str" cm="1">
        <f t="array" ref="J2555">IFERROR(TRIM(MID(E2555,MIN(FIND({" ";"g";"k";"m";"o"},E2555&amp;" gkmo")),10)),"unknown")</f>
        <v>g, 2 sach</v>
      </c>
      <c r="K2555" s="6" t="str">
        <f t="shared" si="156"/>
        <v>g</v>
      </c>
      <c r="L2555" s="6" t="str">
        <f t="shared" si="157"/>
        <v>Le Pain Des Fleurs</v>
      </c>
      <c r="M2555" s="6" t="str">
        <f t="shared" si="158"/>
        <v>Tartines Craquantes Bio Au Maà¯S</v>
      </c>
      <c r="N2555" s="6" t="str">
        <f t="shared" si="159"/>
        <v>France</v>
      </c>
    </row>
    <row r="2556" spans="1:14" x14ac:dyDescent="0.25">
      <c r="A2556" s="6" t="s">
        <v>6069</v>
      </c>
      <c r="B2556" s="6">
        <v>11864</v>
      </c>
      <c r="C2556" s="6" t="s">
        <v>6070</v>
      </c>
      <c r="D2556" s="7" t="s">
        <v>7075</v>
      </c>
      <c r="E2556" s="6" t="s">
        <v>39</v>
      </c>
      <c r="F2556" s="6" t="s">
        <v>139</v>
      </c>
      <c r="G2556" s="8">
        <v>45981</v>
      </c>
      <c r="H2556" s="6">
        <v>19.670000000000002</v>
      </c>
      <c r="I2556" s="6" cm="1">
        <f t="array" ref="I2556">IFERROR(VALUE(TRIM(LEFT(E2556,MIN(FIND({" ";"g";"k";"m";"o"},E2556&amp;" gkmo"))-1))),0)</f>
        <v>150</v>
      </c>
      <c r="J2556" s="6" t="str" cm="1">
        <f t="array" ref="J2556">IFERROR(TRIM(MID(E2556,MIN(FIND({" ";"g";"k";"m";"o"},E2556&amp;" gkmo")),10)),"unknown")</f>
        <v>g</v>
      </c>
      <c r="K2556" s="6" t="str">
        <f t="shared" si="156"/>
        <v>g</v>
      </c>
      <c r="L2556" s="6" t="str">
        <f t="shared" si="157"/>
        <v>Jardin Bio, Léa Nature</v>
      </c>
      <c r="M2556" s="6" t="str">
        <f t="shared" si="158"/>
        <v>Sables Noix De Coco Et Citron</v>
      </c>
      <c r="N2556" s="6" t="str">
        <f t="shared" si="159"/>
        <v>France</v>
      </c>
    </row>
    <row r="2557" spans="1:14" x14ac:dyDescent="0.25">
      <c r="A2557" s="6" t="s">
        <v>6071</v>
      </c>
      <c r="B2557" s="6">
        <v>6638</v>
      </c>
      <c r="C2557" s="6" t="s">
        <v>6072</v>
      </c>
      <c r="D2557" s="7" t="s">
        <v>624</v>
      </c>
      <c r="E2557" s="6" t="s">
        <v>797</v>
      </c>
      <c r="F2557" s="6" t="s">
        <v>139</v>
      </c>
      <c r="G2557" s="8">
        <v>45789</v>
      </c>
      <c r="H2557" s="6">
        <v>15.04</v>
      </c>
      <c r="I2557" s="6" cm="1">
        <f t="array" ref="I2557">IFERROR(VALUE(TRIM(LEFT(E2557,MIN(FIND({" ";"g";"k";"m";"o"},E2557&amp;" gkmo"))-1))),0)</f>
        <v>6</v>
      </c>
      <c r="J2557" s="6" t="str" cm="1">
        <f t="array" ref="J2557">IFERROR(TRIM(MID(E2557,MIN(FIND({" ";"g";"k";"m";"o"},E2557&amp;" gkmo")),10)),"unknown")</f>
        <v>x 25g</v>
      </c>
      <c r="K2557" s="6" t="str">
        <f t="shared" si="156"/>
        <v>g</v>
      </c>
      <c r="L2557" s="6" t="str">
        <f t="shared" si="157"/>
        <v>Brets</v>
      </c>
      <c r="M2557" s="6" t="str">
        <f t="shared" si="158"/>
        <v>Chips Brets La Craquante</v>
      </c>
      <c r="N2557" s="6" t="str">
        <f t="shared" si="159"/>
        <v>France</v>
      </c>
    </row>
    <row r="2558" spans="1:14" x14ac:dyDescent="0.25">
      <c r="A2558" s="6" t="s">
        <v>6073</v>
      </c>
      <c r="B2558" s="6">
        <v>9236</v>
      </c>
      <c r="C2558" s="6" t="s">
        <v>6074</v>
      </c>
      <c r="D2558" s="7" t="s">
        <v>854</v>
      </c>
      <c r="E2558" s="6" t="s">
        <v>151</v>
      </c>
      <c r="F2558" s="6" t="s">
        <v>8167</v>
      </c>
      <c r="G2558" s="8">
        <v>45929</v>
      </c>
      <c r="H2558" s="6">
        <v>23.77</v>
      </c>
      <c r="I2558" s="6" cm="1">
        <f t="array" ref="I2558">IFERROR(VALUE(TRIM(LEFT(E2558,MIN(FIND({" ";"g";"k";"m";"o"},E2558&amp;" gkmo"))-1))),0)</f>
        <v>200</v>
      </c>
      <c r="J2558" s="6" t="str" cm="1">
        <f t="array" ref="J2558">IFERROR(TRIM(MID(E2558,MIN(FIND({" ";"g";"k";"m";"o"},E2558&amp;" gkmo")),10)),"unknown")</f>
        <v>g</v>
      </c>
      <c r="K2558" s="6" t="str">
        <f t="shared" si="156"/>
        <v>g</v>
      </c>
      <c r="L2558" s="6" t="str">
        <f t="shared" si="157"/>
        <v>Carrefour</v>
      </c>
      <c r="M2558" s="6" t="str">
        <f t="shared" si="158"/>
        <v>Cookie Avell Choc</v>
      </c>
      <c r="N2558" s="6" t="str">
        <f t="shared" si="159"/>
        <v>France, Italy, Spain</v>
      </c>
    </row>
    <row r="2559" spans="1:14" x14ac:dyDescent="0.25">
      <c r="A2559" s="6" t="s">
        <v>6075</v>
      </c>
      <c r="B2559" s="6">
        <v>13794</v>
      </c>
      <c r="C2559" s="6" t="s">
        <v>7384</v>
      </c>
      <c r="D2559" s="7" t="s">
        <v>7017</v>
      </c>
      <c r="E2559" s="6" t="s">
        <v>423</v>
      </c>
      <c r="F2559" s="6" t="s">
        <v>6076</v>
      </c>
      <c r="G2559" s="8">
        <v>45787</v>
      </c>
      <c r="H2559" s="6">
        <v>7.21</v>
      </c>
      <c r="I2559" s="6" cm="1">
        <f t="array" ref="I2559">IFERROR(VALUE(TRIM(LEFT(E2559,MIN(FIND({" ";"g";"k";"m";"o"},E2559&amp;" gkmo"))-1))),0)</f>
        <v>125</v>
      </c>
      <c r="J2559" s="6" t="str" cm="1">
        <f t="array" ref="J2559">IFERROR(TRIM(MID(E2559,MIN(FIND({" ";"g";"k";"m";"o"},E2559&amp;" gkmo")),10)),"unknown")</f>
        <v>g</v>
      </c>
      <c r="K2559" s="6" t="str">
        <f t="shared" si="156"/>
        <v>g</v>
      </c>
      <c r="L2559" s="6" t="str">
        <f t="shared" si="157"/>
        <v>Unknown</v>
      </c>
      <c r="M2559" s="6" t="str">
        <f t="shared" si="158"/>
        <v>Grissini Sésame Et Huile D'Olive 7%</v>
      </c>
      <c r="N2559" s="6" t="str">
        <f t="shared" si="159"/>
        <v>France, Roumanie</v>
      </c>
    </row>
    <row r="2560" spans="1:14" x14ac:dyDescent="0.25">
      <c r="A2560" s="6" t="s">
        <v>6077</v>
      </c>
      <c r="B2560" s="6">
        <v>5948</v>
      </c>
      <c r="C2560" s="6" t="s">
        <v>6078</v>
      </c>
      <c r="D2560" s="7" t="s">
        <v>7161</v>
      </c>
      <c r="E2560" s="6" t="s">
        <v>14</v>
      </c>
      <c r="F2560" s="6" t="s">
        <v>139</v>
      </c>
      <c r="G2560" s="8">
        <v>45902</v>
      </c>
      <c r="H2560" s="6">
        <v>2</v>
      </c>
      <c r="I2560" s="6" cm="1">
        <f t="array" ref="I2560">IFERROR(VALUE(TRIM(LEFT(E2560,MIN(FIND({" ";"g";"k";"m";"o"},E2560&amp;" gkmo"))-1))),0)</f>
        <v>300</v>
      </c>
      <c r="J2560" s="6" t="str" cm="1">
        <f t="array" ref="J2560">IFERROR(TRIM(MID(E2560,MIN(FIND({" ";"g";"k";"m";"o"},E2560&amp;" gkmo")),10)),"unknown")</f>
        <v>g</v>
      </c>
      <c r="K2560" s="6" t="str">
        <f t="shared" si="156"/>
        <v>g</v>
      </c>
      <c r="L2560" s="6" t="str">
        <f t="shared" si="157"/>
        <v>La Fournée Dorée</v>
      </c>
      <c r="M2560" s="6" t="str">
        <f t="shared" si="158"/>
        <v>6 Petits Chinois</v>
      </c>
      <c r="N2560" s="6" t="str">
        <f t="shared" si="159"/>
        <v>France</v>
      </c>
    </row>
    <row r="2561" spans="1:14" x14ac:dyDescent="0.25">
      <c r="A2561" s="6" t="s">
        <v>6079</v>
      </c>
      <c r="B2561" s="6">
        <v>7070</v>
      </c>
      <c r="C2561" s="6" t="s">
        <v>7385</v>
      </c>
      <c r="D2561" s="7" t="s">
        <v>555</v>
      </c>
      <c r="E2561" s="6" t="s">
        <v>10</v>
      </c>
      <c r="F2561" s="6" t="s">
        <v>139</v>
      </c>
      <c r="G2561" s="8">
        <v>45783</v>
      </c>
      <c r="H2561" s="6">
        <v>2.77</v>
      </c>
      <c r="I2561" s="6" cm="1">
        <f t="array" ref="I2561">IFERROR(VALUE(TRIM(LEFT(E2561,MIN(FIND({" ";"g";"k";"m";"o"},E2561&amp;" gkmo"))-1))),0)</f>
        <v>100</v>
      </c>
      <c r="J2561" s="6" t="str" cm="1">
        <f t="array" ref="J2561">IFERROR(TRIM(MID(E2561,MIN(FIND({" ";"g";"k";"m";"o"},E2561&amp;" gkmo")),10)),"unknown")</f>
        <v>g</v>
      </c>
      <c r="K2561" s="6" t="str">
        <f t="shared" si="156"/>
        <v>g</v>
      </c>
      <c r="L2561" s="6" t="str">
        <f t="shared" si="157"/>
        <v>Alter Eco</v>
      </c>
      <c r="M2561" s="6" t="str">
        <f t="shared" si="158"/>
        <v>Noir Pérou Éclats De Menthe</v>
      </c>
      <c r="N2561" s="6" t="str">
        <f t="shared" si="159"/>
        <v>France</v>
      </c>
    </row>
    <row r="2562" spans="1:14" x14ac:dyDescent="0.25">
      <c r="A2562" s="6" t="s">
        <v>6080</v>
      </c>
      <c r="B2562" s="6">
        <v>13035</v>
      </c>
      <c r="C2562" s="6" t="s">
        <v>7386</v>
      </c>
      <c r="D2562" s="7" t="s">
        <v>1551</v>
      </c>
      <c r="E2562" s="6"/>
      <c r="F2562" s="6" t="s">
        <v>1181</v>
      </c>
      <c r="G2562" s="8">
        <v>45881</v>
      </c>
      <c r="H2562" s="6">
        <v>23.98</v>
      </c>
      <c r="I2562" s="6" cm="1">
        <f t="array" ref="I2562">IFERROR(VALUE(TRIM(LEFT(E2562,MIN(FIND({" ";"g";"k";"m";"o"},E2562&amp;" gkmo"))-1))),0)</f>
        <v>0</v>
      </c>
      <c r="J2562" s="6" t="str" cm="1">
        <f t="array" ref="J2562">IFERROR(TRIM(MID(E2562,MIN(FIND({" ";"g";"k";"m";"o"},E2562&amp;" gkmo")),10)),"unknown")</f>
        <v/>
      </c>
      <c r="K2562" s="6" t="str">
        <f t="shared" ref="K2562:K2625" si="160">IF(E2562="","unknown",IF(OR(J2562="g",LEFT(J2562,1)="g"),"g",IF(OR(LEFT(J2562,2)="kg",LEFT(J2562,2)="ki"),"kg",IF(OR(LEFT(J2562,2)="ml",LEFT(J2562,1)="m"),"ml",IF(LEFT(J2562,1)="l","l",IF(ISNUMBER(SEARCH("g",E2562)),"g",IF(ISNUMBER(SEARCH("kg",E2562)),"kg",IF(ISNUMBER(SEARCH("ml",E2562)),"ml","unknown"))))))))</f>
        <v>unknown</v>
      </c>
      <c r="L2562" s="6" t="str">
        <f t="shared" ref="L2562:L2625" si="161">IF(D2562="","Unknown",PROPER(TRIM(D2562)))</f>
        <v>Biocoop</v>
      </c>
      <c r="M2562" s="6" t="str">
        <f t="shared" ref="M2562:M2625" si="162">IF(C2562="Unknown","Unknown",PROPER(TRIM(C2562)))</f>
        <v>Biscuits Petit Épeautre Sésame</v>
      </c>
      <c r="N2562" s="6" t="str">
        <f t="shared" si="159"/>
        <v>France,Switzerland</v>
      </c>
    </row>
    <row r="2563" spans="1:14" x14ac:dyDescent="0.25">
      <c r="A2563" s="6" t="s">
        <v>6081</v>
      </c>
      <c r="B2563" s="6">
        <v>5834</v>
      </c>
      <c r="C2563" s="6" t="s">
        <v>7387</v>
      </c>
      <c r="D2563" s="7" t="s">
        <v>5470</v>
      </c>
      <c r="E2563" s="6"/>
      <c r="F2563" s="6" t="s">
        <v>139</v>
      </c>
      <c r="G2563" s="8">
        <v>45432</v>
      </c>
      <c r="H2563" s="6">
        <v>1.26</v>
      </c>
      <c r="I2563" s="6" cm="1">
        <f t="array" ref="I2563">IFERROR(VALUE(TRIM(LEFT(E2563,MIN(FIND({" ";"g";"k";"m";"o"},E2563&amp;" gkmo"))-1))),0)</f>
        <v>0</v>
      </c>
      <c r="J2563" s="6" t="str" cm="1">
        <f t="array" ref="J2563">IFERROR(TRIM(MID(E2563,MIN(FIND({" ";"g";"k";"m";"o"},E2563&amp;" gkmo")),10)),"unknown")</f>
        <v/>
      </c>
      <c r="K2563" s="6" t="str">
        <f t="shared" si="160"/>
        <v>unknown</v>
      </c>
      <c r="L2563" s="6" t="str">
        <f t="shared" si="161"/>
        <v>Michel Et Augustin</v>
      </c>
      <c r="M2563" s="6" t="str">
        <f t="shared" si="162"/>
        <v>Sablés Apéritif Cantal Aop Et Pointe De Noix De Muscade</v>
      </c>
      <c r="N2563" s="6" t="str">
        <f t="shared" ref="N2563:N2626" si="163">IF(F2563="","Unknown",PROPER(TRIM(F2563)))</f>
        <v>France</v>
      </c>
    </row>
    <row r="2564" spans="1:14" x14ac:dyDescent="0.25">
      <c r="A2564" s="6" t="s">
        <v>6082</v>
      </c>
      <c r="B2564" s="6">
        <v>12407</v>
      </c>
      <c r="C2564" s="6" t="s">
        <v>5993</v>
      </c>
      <c r="D2564" s="7" t="s">
        <v>1985</v>
      </c>
      <c r="E2564" s="6" t="s">
        <v>840</v>
      </c>
      <c r="F2564" s="6" t="s">
        <v>241</v>
      </c>
      <c r="G2564" s="8">
        <v>45584</v>
      </c>
      <c r="H2564" s="6">
        <v>7.98</v>
      </c>
      <c r="I2564" s="6" cm="1">
        <f t="array" ref="I2564">IFERROR(VALUE(TRIM(LEFT(E2564,MIN(FIND({" ";"g";"k";"m";"o"},E2564&amp;" gkmo"))-1))),0)</f>
        <v>175</v>
      </c>
      <c r="J2564" s="6" t="str" cm="1">
        <f t="array" ref="J2564">IFERROR(TRIM(MID(E2564,MIN(FIND({" ";"g";"k";"m";"o"},E2564&amp;" gkmo")),10)),"unknown")</f>
        <v>g</v>
      </c>
      <c r="K2564" s="6" t="str">
        <f t="shared" si="160"/>
        <v>g</v>
      </c>
      <c r="L2564" s="6" t="str">
        <f t="shared" si="161"/>
        <v>Funny-Frisch</v>
      </c>
      <c r="M2564" s="6" t="str">
        <f t="shared" si="162"/>
        <v>Chipsfrisch Oriental</v>
      </c>
      <c r="N2564" s="6" t="str">
        <f t="shared" si="163"/>
        <v>Germany</v>
      </c>
    </row>
    <row r="2565" spans="1:14" x14ac:dyDescent="0.25">
      <c r="A2565" s="6" t="s">
        <v>6083</v>
      </c>
      <c r="B2565" s="6">
        <v>14481</v>
      </c>
      <c r="C2565" s="6" t="s">
        <v>7754</v>
      </c>
      <c r="D2565" s="7" t="s">
        <v>7017</v>
      </c>
      <c r="E2565" s="6" t="s">
        <v>1675</v>
      </c>
      <c r="F2565" s="6" t="s">
        <v>241</v>
      </c>
      <c r="G2565" s="8">
        <v>45606</v>
      </c>
      <c r="H2565" s="6">
        <v>13.89</v>
      </c>
      <c r="I2565" s="6" cm="1">
        <f t="array" ref="I2565">IFERROR(VALUE(TRIM(LEFT(E2565,MIN(FIND({" ";"g";"k";"m";"o"},E2565&amp;" gkmo"))-1))),0)</f>
        <v>600</v>
      </c>
      <c r="J2565" s="6" t="str" cm="1">
        <f t="array" ref="J2565">IFERROR(TRIM(MID(E2565,MIN(FIND({" ";"g";"k";"m";"o"},E2565&amp;" gkmo")),10)),"unknown")</f>
        <v>g</v>
      </c>
      <c r="K2565" s="6" t="str">
        <f t="shared" si="160"/>
        <v>g</v>
      </c>
      <c r="L2565" s="6" t="str">
        <f t="shared" si="161"/>
        <v>Unknown</v>
      </c>
      <c r="M2565" s="6" t="str">
        <f t="shared" si="162"/>
        <v>Gewà¼Rz-Spekulatius</v>
      </c>
      <c r="N2565" s="6" t="str">
        <f t="shared" si="163"/>
        <v>Germany</v>
      </c>
    </row>
    <row r="2566" spans="1:14" x14ac:dyDescent="0.25">
      <c r="A2566" s="6" t="s">
        <v>6084</v>
      </c>
      <c r="B2566" s="6">
        <v>5269</v>
      </c>
      <c r="C2566" s="6" t="s">
        <v>6085</v>
      </c>
      <c r="D2566" s="7" t="s">
        <v>287</v>
      </c>
      <c r="E2566" s="6" t="s">
        <v>6086</v>
      </c>
      <c r="F2566" s="6" t="s">
        <v>2037</v>
      </c>
      <c r="G2566" s="8">
        <v>45534</v>
      </c>
      <c r="H2566" s="6">
        <v>19.62</v>
      </c>
      <c r="I2566" s="6" cm="1">
        <f t="array" ref="I2566">IFERROR(VALUE(TRIM(LEFT(E2566,MIN(FIND({" ";"g";"k";"m";"o"},E2566&amp;" gkmo"))-1))),0)</f>
        <v>182</v>
      </c>
      <c r="J2566" s="6" t="str" cm="1">
        <f t="array" ref="J2566">IFERROR(TRIM(MID(E2566,MIN(FIND({" ";"g";"k";"m";"o"},E2566&amp;" gkmo")),10)),"unknown")</f>
        <v>g</v>
      </c>
      <c r="K2566" s="6" t="str">
        <f t="shared" si="160"/>
        <v>g</v>
      </c>
      <c r="L2566" s="6" t="str">
        <f t="shared" si="161"/>
        <v>Ferrero</v>
      </c>
      <c r="M2566" s="6" t="str">
        <f t="shared" si="162"/>
        <v>Duplo Riegel 10Er-Pack</v>
      </c>
      <c r="N2566" s="6" t="str">
        <f t="shared" si="163"/>
        <v>Frankreich,Deutschland,Schweiz</v>
      </c>
    </row>
    <row r="2567" spans="1:14" x14ac:dyDescent="0.25">
      <c r="A2567" s="6" t="s">
        <v>6087</v>
      </c>
      <c r="B2567" s="6">
        <v>11997</v>
      </c>
      <c r="C2567" s="6" t="s">
        <v>537</v>
      </c>
      <c r="D2567" s="7" t="s">
        <v>7017</v>
      </c>
      <c r="E2567" s="6" t="s">
        <v>6088</v>
      </c>
      <c r="F2567" s="6" t="s">
        <v>7856</v>
      </c>
      <c r="G2567" s="8">
        <v>45801</v>
      </c>
      <c r="H2567" s="6">
        <v>17.98</v>
      </c>
      <c r="I2567" s="6" cm="1">
        <f t="array" ref="I2567">IFERROR(VALUE(TRIM(LEFT(E2567,MIN(FIND({" ";"g";"k";"m";"o"},E2567&amp;" gkmo"))-1))),0)</f>
        <v>23.5</v>
      </c>
      <c r="J2567" s="6" t="str" cm="1">
        <f t="array" ref="J2567">IFERROR(TRIM(MID(E2567,MIN(FIND({" ";"g";"k";"m";"o"},E2567&amp;" gkmo")),10)),"unknown")</f>
        <v>g</v>
      </c>
      <c r="K2567" s="6" t="str">
        <f t="shared" si="160"/>
        <v>g</v>
      </c>
      <c r="L2567" s="6" t="str">
        <f t="shared" si="161"/>
        <v>Unknown</v>
      </c>
      <c r="M2567" s="6" t="str">
        <f t="shared" si="162"/>
        <v>Kinder Country</v>
      </c>
      <c r="N2567" s="6" t="str">
        <f t="shared" si="163"/>
        <v>À–Sterreich,Frankreich,Deutschland,Rumà¤Nien,Schweiz</v>
      </c>
    </row>
    <row r="2568" spans="1:14" x14ac:dyDescent="0.25">
      <c r="A2568" s="6" t="s">
        <v>6089</v>
      </c>
      <c r="B2568" s="6">
        <v>12311</v>
      </c>
      <c r="C2568" s="6" t="s">
        <v>6090</v>
      </c>
      <c r="D2568" s="7" t="s">
        <v>248</v>
      </c>
      <c r="E2568" s="6" t="s">
        <v>138</v>
      </c>
      <c r="F2568" s="6" t="s">
        <v>553</v>
      </c>
      <c r="G2568" s="8">
        <v>45989</v>
      </c>
      <c r="H2568" s="6">
        <v>13.16</v>
      </c>
      <c r="I2568" s="6" cm="1">
        <f t="array" ref="I2568">IFERROR(VALUE(TRIM(LEFT(E2568,MIN(FIND({" ";"g";"k";"m";"o"},E2568&amp;" gkmo"))-1))),0)</f>
        <v>400</v>
      </c>
      <c r="J2568" s="6" t="str" cm="1">
        <f t="array" ref="J2568">IFERROR(TRIM(MID(E2568,MIN(FIND({" ";"g";"k";"m";"o"},E2568&amp;" gkmo")),10)),"unknown")</f>
        <v>g</v>
      </c>
      <c r="K2568" s="6" t="str">
        <f t="shared" si="160"/>
        <v>g</v>
      </c>
      <c r="L2568" s="6" t="str">
        <f t="shared" si="161"/>
        <v>Tesco</v>
      </c>
      <c r="M2568" s="6" t="str">
        <f t="shared" si="162"/>
        <v>Custard Creams</v>
      </c>
      <c r="N2568" s="6" t="str">
        <f t="shared" si="163"/>
        <v>United Kingdom,Ireland</v>
      </c>
    </row>
    <row r="2569" spans="1:14" x14ac:dyDescent="0.25">
      <c r="A2569" s="6" t="s">
        <v>6091</v>
      </c>
      <c r="B2569" s="6">
        <v>13307</v>
      </c>
      <c r="C2569" s="6" t="s">
        <v>6092</v>
      </c>
      <c r="D2569" s="7" t="s">
        <v>1088</v>
      </c>
      <c r="E2569" s="6" t="s">
        <v>28</v>
      </c>
      <c r="F2569" s="6" t="s">
        <v>177</v>
      </c>
      <c r="G2569" s="8">
        <v>45979</v>
      </c>
      <c r="H2569" s="6">
        <v>17.47</v>
      </c>
      <c r="I2569" s="6" cm="1">
        <f t="array" ref="I2569">IFERROR(VALUE(TRIM(LEFT(E2569,MIN(FIND({" ";"g";"k";"m";"o"},E2569&amp;" gkmo"))-1))),0)</f>
        <v>125</v>
      </c>
      <c r="J2569" s="6" t="str" cm="1">
        <f t="array" ref="J2569">IFERROR(TRIM(MID(E2569,MIN(FIND({" ";"g";"k";"m";"o"},E2569&amp;" gkmo")),10)),"unknown")</f>
        <v>g</v>
      </c>
      <c r="K2569" s="6" t="str">
        <f t="shared" si="160"/>
        <v>g</v>
      </c>
      <c r="L2569" s="6" t="str">
        <f t="shared" si="161"/>
        <v>Waitrose</v>
      </c>
      <c r="M2569" s="6" t="str">
        <f t="shared" si="162"/>
        <v>Cheddar Twists</v>
      </c>
      <c r="N2569" s="6" t="str">
        <f t="shared" si="163"/>
        <v>United Kingdom</v>
      </c>
    </row>
    <row r="2570" spans="1:14" x14ac:dyDescent="0.25">
      <c r="A2570" s="6" t="s">
        <v>6093</v>
      </c>
      <c r="B2570" s="6">
        <v>11000</v>
      </c>
      <c r="C2570" s="6" t="s">
        <v>6094</v>
      </c>
      <c r="D2570" s="7" t="s">
        <v>1348</v>
      </c>
      <c r="E2570" s="6" t="s">
        <v>616</v>
      </c>
      <c r="F2570" s="6" t="s">
        <v>1456</v>
      </c>
      <c r="G2570" s="8">
        <v>45899</v>
      </c>
      <c r="H2570" s="6">
        <v>22.57</v>
      </c>
      <c r="I2570" s="6" cm="1">
        <f t="array" ref="I2570">IFERROR(VALUE(TRIM(LEFT(E2570,MIN(FIND({" ";"g";"k";"m";"o"},E2570&amp;" gkmo"))-1))),0)</f>
        <v>43</v>
      </c>
      <c r="J2570" s="6" t="str" cm="1">
        <f t="array" ref="J2570">IFERROR(TRIM(MID(E2570,MIN(FIND({" ";"g";"k";"m";"o"},E2570&amp;" gkmo")),10)),"unknown")</f>
        <v>g</v>
      </c>
      <c r="K2570" s="6" t="str">
        <f t="shared" si="160"/>
        <v>g</v>
      </c>
      <c r="L2570" s="6" t="str">
        <f t="shared" si="161"/>
        <v>Cadbury</v>
      </c>
      <c r="M2570" s="6" t="str">
        <f t="shared" si="162"/>
        <v>Twirl</v>
      </c>
      <c r="N2570" s="6" t="str">
        <f t="shared" si="163"/>
        <v>France,United Kingdom,United States</v>
      </c>
    </row>
    <row r="2571" spans="1:14" x14ac:dyDescent="0.25">
      <c r="A2571" s="6" t="s">
        <v>6095</v>
      </c>
      <c r="B2571" s="6">
        <v>9475</v>
      </c>
      <c r="C2571" s="6" t="s">
        <v>6096</v>
      </c>
      <c r="D2571" s="7" t="s">
        <v>726</v>
      </c>
      <c r="E2571" s="6" t="s">
        <v>64</v>
      </c>
      <c r="F2571" s="6" t="s">
        <v>400</v>
      </c>
      <c r="G2571" s="8">
        <v>45749</v>
      </c>
      <c r="H2571" s="6">
        <v>19.72</v>
      </c>
      <c r="I2571" s="6" cm="1">
        <f t="array" ref="I2571">IFERROR(VALUE(TRIM(LEFT(E2571,MIN(FIND({" ";"g";"k";"m";"o"},E2571&amp;" gkmo"))-1))),0)</f>
        <v>150</v>
      </c>
      <c r="J2571" s="6" t="str" cm="1">
        <f t="array" ref="J2571">IFERROR(TRIM(MID(E2571,MIN(FIND({" ";"g";"k";"m";"o"},E2571&amp;" gkmo")),10)),"unknown")</f>
        <v>g</v>
      </c>
      <c r="K2571" s="6" t="str">
        <f t="shared" si="160"/>
        <v>g</v>
      </c>
      <c r="L2571" s="6" t="str">
        <f t="shared" si="161"/>
        <v>Walkers</v>
      </c>
      <c r="M2571" s="6" t="str">
        <f t="shared" si="162"/>
        <v>Sensations Roasted Chicken &amp; Thyme Flavour Potato Crisps</v>
      </c>
      <c r="N2571" s="6" t="str">
        <f t="shared" si="163"/>
        <v>France,United Kingdom</v>
      </c>
    </row>
    <row r="2572" spans="1:14" x14ac:dyDescent="0.25">
      <c r="A2572" s="6" t="s">
        <v>6097</v>
      </c>
      <c r="B2572" s="6">
        <v>8040</v>
      </c>
      <c r="C2572" s="6" t="s">
        <v>6098</v>
      </c>
      <c r="D2572" s="7" t="s">
        <v>6099</v>
      </c>
      <c r="E2572" s="6" t="s">
        <v>6100</v>
      </c>
      <c r="F2572" s="6" t="s">
        <v>7857</v>
      </c>
      <c r="G2572" s="8">
        <v>45812</v>
      </c>
      <c r="H2572" s="6">
        <v>12.55</v>
      </c>
      <c r="I2572" s="6" cm="1">
        <f t="array" ref="I2572">IFERROR(VALUE(TRIM(LEFT(E2572,MIN(FIND({" ";"g";"k";"m";"o"},E2572&amp;" gkmo"))-1))),0)</f>
        <v>135</v>
      </c>
      <c r="J2572" s="6" t="str" cm="1">
        <f t="array" ref="J2572">IFERROR(TRIM(MID(E2572,MIN(FIND({" ";"g";"k";"m";"o"},E2572&amp;" gkmo")),10)),"unknown")</f>
        <v>g e</v>
      </c>
      <c r="K2572" s="6" t="str">
        <f t="shared" si="160"/>
        <v>g</v>
      </c>
      <c r="L2572" s="6" t="str">
        <f t="shared" si="161"/>
        <v>Hartley'S</v>
      </c>
      <c r="M2572" s="6" t="str">
        <f t="shared" si="162"/>
        <v>Raspberry Flavour Jelly</v>
      </c>
      <c r="N2572" s="6" t="str">
        <f t="shared" si="163"/>
        <v>Frankreich, Vereinigtes Kà¶Nigreich, Germany</v>
      </c>
    </row>
    <row r="2573" spans="1:14" x14ac:dyDescent="0.25">
      <c r="A2573" s="6" t="s">
        <v>6101</v>
      </c>
      <c r="B2573" s="6">
        <v>6525</v>
      </c>
      <c r="C2573" s="6" t="s">
        <v>6102</v>
      </c>
      <c r="D2573" s="7" t="s">
        <v>112</v>
      </c>
      <c r="E2573" s="6" t="s">
        <v>262</v>
      </c>
      <c r="F2573" s="6" t="s">
        <v>7919</v>
      </c>
      <c r="G2573" s="8">
        <v>45645</v>
      </c>
      <c r="H2573" s="6">
        <v>15.64</v>
      </c>
      <c r="I2573" s="6" cm="1">
        <f t="array" ref="I2573">IFERROR(VALUE(TRIM(LEFT(E2573,MIN(FIND({" ";"g";"k";"m";"o"},E2573&amp;" gkmo"))-1))),0)</f>
        <v>165</v>
      </c>
      <c r="J2573" s="6" t="str" cm="1">
        <f t="array" ref="J2573">IFERROR(TRIM(MID(E2573,MIN(FIND({" ";"g";"k";"m";"o"},E2573&amp;" gkmo")),10)),"unknown")</f>
        <v>g</v>
      </c>
      <c r="K2573" s="6" t="str">
        <f t="shared" si="160"/>
        <v>g</v>
      </c>
      <c r="L2573" s="6" t="str">
        <f t="shared" si="161"/>
        <v>Pringles</v>
      </c>
      <c r="M2573" s="6" t="str">
        <f t="shared" si="162"/>
        <v>Pringles Potatoes Chips Ketchup</v>
      </c>
      <c r="N2573" s="6" t="str">
        <f t="shared" si="163"/>
        <v>France, Morocco</v>
      </c>
    </row>
    <row r="2574" spans="1:14" x14ac:dyDescent="0.25">
      <c r="A2574" s="6" t="s">
        <v>6103</v>
      </c>
      <c r="B2574" s="6">
        <v>7143</v>
      </c>
      <c r="C2574" s="6" t="s">
        <v>6104</v>
      </c>
      <c r="D2574" s="7" t="s">
        <v>1595</v>
      </c>
      <c r="E2574" s="6" t="s">
        <v>476</v>
      </c>
      <c r="F2574" s="6" t="s">
        <v>7926</v>
      </c>
      <c r="G2574" s="8">
        <v>45377</v>
      </c>
      <c r="H2574" s="6">
        <v>4.88</v>
      </c>
      <c r="I2574" s="6" cm="1">
        <f t="array" ref="I2574">IFERROR(VALUE(TRIM(LEFT(E2574,MIN(FIND({" ";"g";"k";"m";"o"},E2574&amp;" gkmo"))-1))),0)</f>
        <v>45</v>
      </c>
      <c r="J2574" s="6" t="str" cm="1">
        <f t="array" ref="J2574">IFERROR(TRIM(MID(E2574,MIN(FIND({" ";"g";"k";"m";"o"},E2574&amp;" gkmo")),10)),"unknown")</f>
        <v>g</v>
      </c>
      <c r="K2574" s="6" t="str">
        <f t="shared" si="160"/>
        <v>g</v>
      </c>
      <c r="L2574" s="6" t="str">
        <f t="shared" si="161"/>
        <v>Love Corn</v>
      </c>
      <c r="M2574" s="6" t="str">
        <f t="shared" si="162"/>
        <v>Delicious Crunchy Corn</v>
      </c>
      <c r="N2574" s="6" t="str">
        <f t="shared" si="163"/>
        <v>France, United-Kingdom</v>
      </c>
    </row>
    <row r="2575" spans="1:14" x14ac:dyDescent="0.25">
      <c r="A2575" s="6" t="s">
        <v>6105</v>
      </c>
      <c r="B2575" s="6">
        <v>7068</v>
      </c>
      <c r="C2575" s="6" t="s">
        <v>6106</v>
      </c>
      <c r="D2575" s="7" t="s">
        <v>6107</v>
      </c>
      <c r="E2575" s="6" t="s">
        <v>18</v>
      </c>
      <c r="F2575" s="6" t="s">
        <v>6108</v>
      </c>
      <c r="G2575" s="8">
        <v>45651</v>
      </c>
      <c r="H2575" s="6">
        <v>14.24</v>
      </c>
      <c r="I2575" s="6" cm="1">
        <f t="array" ref="I2575">IFERROR(VALUE(TRIM(LEFT(E2575,MIN(FIND({" ";"g";"k";"m";"o"},E2575&amp;" gkmo"))-1))),0)</f>
        <v>100</v>
      </c>
      <c r="J2575" s="6" t="str" cm="1">
        <f t="array" ref="J2575">IFERROR(TRIM(MID(E2575,MIN(FIND({" ";"g";"k";"m";"o"},E2575&amp;" gkmo")),10)),"unknown")</f>
        <v>g</v>
      </c>
      <c r="K2575" s="6" t="str">
        <f t="shared" si="160"/>
        <v>g</v>
      </c>
      <c r="L2575" s="6" t="str">
        <f t="shared" si="161"/>
        <v>Mondelez International, Tuc</v>
      </c>
      <c r="M2575" s="6" t="str">
        <f t="shared" si="162"/>
        <v>Tuc Paprika</v>
      </c>
      <c r="N2575" s="6" t="str">
        <f t="shared" si="163"/>
        <v>Ð¤Ñ€Ð°Ð½Ñ†Ð¸Ñ,Ð£Ðºñ€Ð°Ð¹Ð½Ð°,Ð‘Ñšð»Ð³Ð°Ñ€Ð¸Ñ</v>
      </c>
    </row>
    <row r="2576" spans="1:14" x14ac:dyDescent="0.25">
      <c r="A2576" s="6" t="s">
        <v>6109</v>
      </c>
      <c r="B2576" s="6">
        <v>13339</v>
      </c>
      <c r="C2576" s="6" t="s">
        <v>6110</v>
      </c>
      <c r="D2576" s="7" t="s">
        <v>6111</v>
      </c>
      <c r="E2576" s="6" t="s">
        <v>6112</v>
      </c>
      <c r="F2576" s="6" t="s">
        <v>8150</v>
      </c>
      <c r="G2576" s="8">
        <v>45678</v>
      </c>
      <c r="H2576" s="6">
        <v>1.54</v>
      </c>
      <c r="I2576" s="6" cm="1">
        <f t="array" ref="I2576">IFERROR(VALUE(TRIM(LEFT(E2576,MIN(FIND({" ";"g";"k";"m";"o"},E2576&amp;" gkmo"))-1))),0)</f>
        <v>0</v>
      </c>
      <c r="J2576" s="6" t="str" cm="1">
        <f t="array" ref="J2576">IFERROR(TRIM(MID(E2576,MIN(FIND({" ";"g";"k";"m";"o"},E2576&amp;" gkmo")),10)),"unknown")</f>
        <v>g</v>
      </c>
      <c r="K2576" s="6" t="str">
        <f t="shared" si="160"/>
        <v>g</v>
      </c>
      <c r="L2576" s="6" t="str">
        <f t="shared" si="161"/>
        <v>Frisk</v>
      </c>
      <c r="M2576" s="6" t="str">
        <f t="shared" si="162"/>
        <v>Peppermint Frisk</v>
      </c>
      <c r="N2576" s="6" t="str">
        <f t="shared" si="163"/>
        <v>Belgium, France, Italy</v>
      </c>
    </row>
    <row r="2577" spans="1:14" x14ac:dyDescent="0.25">
      <c r="A2577" s="6" t="s">
        <v>6113</v>
      </c>
      <c r="B2577" s="6">
        <v>7675</v>
      </c>
      <c r="C2577" s="6" t="s">
        <v>6114</v>
      </c>
      <c r="D2577" s="7" t="s">
        <v>6115</v>
      </c>
      <c r="E2577" s="6" t="s">
        <v>10</v>
      </c>
      <c r="F2577" s="6" t="s">
        <v>8216</v>
      </c>
      <c r="G2577" s="8">
        <v>45772</v>
      </c>
      <c r="H2577" s="6">
        <v>22.77</v>
      </c>
      <c r="I2577" s="6" cm="1">
        <f t="array" ref="I2577">IFERROR(VALUE(TRIM(LEFT(E2577,MIN(FIND({" ";"g";"k";"m";"o"},E2577&amp;" gkmo"))-1))),0)</f>
        <v>100</v>
      </c>
      <c r="J2577" s="6" t="str" cm="1">
        <f t="array" ref="J2577">IFERROR(TRIM(MID(E2577,MIN(FIND({" ";"g";"k";"m";"o"},E2577&amp;" gkmo")),10)),"unknown")</f>
        <v>g</v>
      </c>
      <c r="K2577" s="6" t="str">
        <f t="shared" si="160"/>
        <v>g</v>
      </c>
      <c r="L2577" s="6" t="str">
        <f t="shared" si="161"/>
        <v>Bifa, Fzf 30Da</v>
      </c>
      <c r="M2577" s="6" t="str">
        <f t="shared" si="162"/>
        <v>Brino</v>
      </c>
      <c r="N2577" s="6" t="str">
        <f t="shared" si="163"/>
        <v>Algeria,Algeria</v>
      </c>
    </row>
    <row r="2578" spans="1:14" x14ac:dyDescent="0.25">
      <c r="A2578" s="6" t="s">
        <v>6116</v>
      </c>
      <c r="B2578" s="6">
        <v>14849</v>
      </c>
      <c r="C2578" s="6" t="s">
        <v>7388</v>
      </c>
      <c r="D2578" s="7" t="s">
        <v>1800</v>
      </c>
      <c r="E2578" s="6" t="s">
        <v>10</v>
      </c>
      <c r="F2578" s="6" t="s">
        <v>1181</v>
      </c>
      <c r="G2578" s="8">
        <v>45989</v>
      </c>
      <c r="H2578" s="6">
        <v>7.09</v>
      </c>
      <c r="I2578" s="6" cm="1">
        <f t="array" ref="I2578">IFERROR(VALUE(TRIM(LEFT(E2578,MIN(FIND({" ";"g";"k";"m";"o"},E2578&amp;" gkmo"))-1))),0)</f>
        <v>100</v>
      </c>
      <c r="J2578" s="6" t="str" cm="1">
        <f t="array" ref="J2578">IFERROR(TRIM(MID(E2578,MIN(FIND({" ";"g";"k";"m";"o"},E2578&amp;" gkmo")),10)),"unknown")</f>
        <v>g</v>
      </c>
      <c r="K2578" s="6" t="str">
        <f t="shared" si="160"/>
        <v>g</v>
      </c>
      <c r="L2578" s="6" t="str">
        <f t="shared" si="161"/>
        <v>Villars</v>
      </c>
      <c r="M2578" s="6" t="str">
        <f t="shared" si="162"/>
        <v>Noir Aux Pépites De Café</v>
      </c>
      <c r="N2578" s="6" t="str">
        <f t="shared" si="163"/>
        <v>France,Switzerland</v>
      </c>
    </row>
    <row r="2579" spans="1:14" x14ac:dyDescent="0.25">
      <c r="A2579" s="6" t="s">
        <v>6117</v>
      </c>
      <c r="B2579" s="6">
        <v>5532</v>
      </c>
      <c r="C2579" s="6" t="s">
        <v>6118</v>
      </c>
      <c r="D2579" s="7" t="s">
        <v>2538</v>
      </c>
      <c r="E2579" s="6" t="s">
        <v>423</v>
      </c>
      <c r="F2579" s="6" t="s">
        <v>139</v>
      </c>
      <c r="G2579" s="8">
        <v>45460</v>
      </c>
      <c r="H2579" s="6">
        <v>18.579999999999998</v>
      </c>
      <c r="I2579" s="6" cm="1">
        <f t="array" ref="I2579">IFERROR(VALUE(TRIM(LEFT(E2579,MIN(FIND({" ";"g";"k";"m";"o"},E2579&amp;" gkmo"))-1))),0)</f>
        <v>125</v>
      </c>
      <c r="J2579" s="6" t="str" cm="1">
        <f t="array" ref="J2579">IFERROR(TRIM(MID(E2579,MIN(FIND({" ";"g";"k";"m";"o"},E2579&amp;" gkmo")),10)),"unknown")</f>
        <v>g</v>
      </c>
      <c r="K2579" s="6" t="str">
        <f t="shared" si="160"/>
        <v>g</v>
      </c>
      <c r="L2579" s="6" t="str">
        <f t="shared" si="161"/>
        <v>Kambly</v>
      </c>
      <c r="M2579" s="6" t="str">
        <f t="shared" si="162"/>
        <v>Flutes Sesame 125G - Kambly - 125G</v>
      </c>
      <c r="N2579" s="6" t="str">
        <f t="shared" si="163"/>
        <v>France</v>
      </c>
    </row>
    <row r="2580" spans="1:14" x14ac:dyDescent="0.25">
      <c r="A2580" s="6" t="s">
        <v>6119</v>
      </c>
      <c r="B2580" s="6">
        <v>5573</v>
      </c>
      <c r="C2580" s="6" t="s">
        <v>7389</v>
      </c>
      <c r="D2580" s="7" t="s">
        <v>7017</v>
      </c>
      <c r="E2580" s="6" t="s">
        <v>352</v>
      </c>
      <c r="F2580" s="6" t="s">
        <v>139</v>
      </c>
      <c r="G2580" s="8">
        <v>45758</v>
      </c>
      <c r="H2580" s="6">
        <v>22.97</v>
      </c>
      <c r="I2580" s="6" cm="1">
        <f t="array" ref="I2580">IFERROR(VALUE(TRIM(LEFT(E2580,MIN(FIND({" ";"g";"k";"m";"o"},E2580&amp;" gkmo"))-1))),0)</f>
        <v>170</v>
      </c>
      <c r="J2580" s="6" t="str" cm="1">
        <f t="array" ref="J2580">IFERROR(TRIM(MID(E2580,MIN(FIND({" ";"g";"k";"m";"o"},E2580&amp;" gkmo")),10)),"unknown")</f>
        <v>g</v>
      </c>
      <c r="K2580" s="6" t="str">
        <f t="shared" si="160"/>
        <v>g</v>
      </c>
      <c r="L2580" s="6" t="str">
        <f t="shared" si="161"/>
        <v>Unknown</v>
      </c>
      <c r="M2580" s="6" t="str">
        <f t="shared" si="162"/>
        <v>Nestle Dessert Praliné</v>
      </c>
      <c r="N2580" s="6" t="str">
        <f t="shared" si="163"/>
        <v>France</v>
      </c>
    </row>
    <row r="2581" spans="1:14" x14ac:dyDescent="0.25">
      <c r="A2581" s="6" t="s">
        <v>6120</v>
      </c>
      <c r="B2581" s="6">
        <v>10342</v>
      </c>
      <c r="C2581" s="6" t="s">
        <v>6121</v>
      </c>
      <c r="D2581" s="7" t="s">
        <v>167</v>
      </c>
      <c r="E2581" s="6" t="s">
        <v>99</v>
      </c>
      <c r="F2581" s="6" t="s">
        <v>139</v>
      </c>
      <c r="G2581" s="8">
        <v>45978</v>
      </c>
      <c r="H2581" s="6">
        <v>13.16</v>
      </c>
      <c r="I2581" s="6" cm="1">
        <f t="array" ref="I2581">IFERROR(VALUE(TRIM(LEFT(E2581,MIN(FIND({" ";"g";"k";"m";"o"},E2581&amp;" gkmo"))-1))),0)</f>
        <v>160</v>
      </c>
      <c r="J2581" s="6" t="str" cm="1">
        <f t="array" ref="J2581">IFERROR(TRIM(MID(E2581,MIN(FIND({" ";"g";"k";"m";"o"},E2581&amp;" gkmo")),10)),"unknown")</f>
        <v>g</v>
      </c>
      <c r="K2581" s="6" t="str">
        <f t="shared" si="160"/>
        <v>g</v>
      </c>
      <c r="L2581" s="6" t="str">
        <f t="shared" si="161"/>
        <v>Lu, Mondelez International</v>
      </c>
      <c r="M2581" s="6" t="str">
        <f t="shared" si="162"/>
        <v>Mini Granola L'Original</v>
      </c>
      <c r="N2581" s="6" t="str">
        <f t="shared" si="163"/>
        <v>France</v>
      </c>
    </row>
    <row r="2582" spans="1:14" x14ac:dyDescent="0.25">
      <c r="A2582" s="6" t="s">
        <v>6122</v>
      </c>
      <c r="B2582" s="6">
        <v>7398</v>
      </c>
      <c r="C2582" s="6" t="s">
        <v>458</v>
      </c>
      <c r="D2582" s="7" t="s">
        <v>6123</v>
      </c>
      <c r="E2582" s="6" t="s">
        <v>5311</v>
      </c>
      <c r="F2582" s="6" t="s">
        <v>8471</v>
      </c>
      <c r="G2582" s="8">
        <v>45859</v>
      </c>
      <c r="H2582" s="6">
        <v>16.32</v>
      </c>
      <c r="I2582" s="6" cm="1">
        <f t="array" ref="I2582">IFERROR(VALUE(TRIM(LEFT(E2582,MIN(FIND({" ";"g";"k";"m";"o"},E2582&amp;" gkmo"))-1))),0)</f>
        <v>150</v>
      </c>
      <c r="J2582" s="6" t="str" cm="1">
        <f t="array" ref="J2582">IFERROR(TRIM(MID(E2582,MIN(FIND({" ";"g";"k";"m";"o"},E2582&amp;" gkmo")),10)),"unknown")</f>
        <v>g e</v>
      </c>
      <c r="K2582" s="6" t="str">
        <f t="shared" si="160"/>
        <v>g</v>
      </c>
      <c r="L2582" s="6" t="str">
        <f t="shared" si="161"/>
        <v>Mondelez, Mondelez International</v>
      </c>
      <c r="M2582" s="6" t="str">
        <f t="shared" si="162"/>
        <v>Petit Brun Extra</v>
      </c>
      <c r="N2582" s="6" t="str">
        <f t="shared" si="163"/>
        <v>France,Martinique,La Reunion, New-Caledonia</v>
      </c>
    </row>
    <row r="2583" spans="1:14" x14ac:dyDescent="0.25">
      <c r="A2583" s="6" t="s">
        <v>6124</v>
      </c>
      <c r="B2583" s="6">
        <v>13706</v>
      </c>
      <c r="C2583" s="6" t="s">
        <v>6125</v>
      </c>
      <c r="D2583" s="7" t="s">
        <v>7772</v>
      </c>
      <c r="E2583" s="6" t="s">
        <v>6126</v>
      </c>
      <c r="F2583" s="6" t="s">
        <v>139</v>
      </c>
      <c r="G2583" s="8">
        <v>45749</v>
      </c>
      <c r="H2583" s="6">
        <v>13.85</v>
      </c>
      <c r="I2583" s="6" cm="1">
        <f t="array" ref="I2583">IFERROR(VALUE(TRIM(LEFT(E2583,MIN(FIND({" ";"g";"k";"m";"o"},E2583&amp;" gkmo"))-1))),0)</f>
        <v>337</v>
      </c>
      <c r="J2583" s="6" t="str" cm="1">
        <f t="array" ref="J2583">IFERROR(TRIM(MID(E2583,MIN(FIND({" ";"g";"k";"m";"o"},E2583&amp;" gkmo")),10)),"unknown")</f>
        <v>g e</v>
      </c>
      <c r="K2583" s="6" t="str">
        <f t="shared" si="160"/>
        <v>g</v>
      </c>
      <c r="L2583" s="6" t="str">
        <f t="shared" si="161"/>
        <v>Lindt, Lindt &amp; Sprà¼Ngli</v>
      </c>
      <c r="M2583" s="6" t="str">
        <f t="shared" si="162"/>
        <v>Assortiment Lindor</v>
      </c>
      <c r="N2583" s="6" t="str">
        <f t="shared" si="163"/>
        <v>France</v>
      </c>
    </row>
    <row r="2584" spans="1:14" x14ac:dyDescent="0.25">
      <c r="A2584" s="6" t="s">
        <v>6127</v>
      </c>
      <c r="B2584" s="6">
        <v>14433</v>
      </c>
      <c r="C2584" s="6" t="s">
        <v>6128</v>
      </c>
      <c r="D2584" s="7" t="s">
        <v>6129</v>
      </c>
      <c r="E2584" s="6" t="s">
        <v>6130</v>
      </c>
      <c r="F2584" s="6" t="s">
        <v>8247</v>
      </c>
      <c r="G2584" s="8">
        <v>45671</v>
      </c>
      <c r="H2584" s="6">
        <v>13.65</v>
      </c>
      <c r="I2584" s="6" cm="1">
        <f t="array" ref="I2584">IFERROR(VALUE(TRIM(LEFT(E2584,MIN(FIND({" ";"g";"k";"m";"o"},E2584&amp;" gkmo"))-1))),0)</f>
        <v>400</v>
      </c>
      <c r="J2584" s="6" t="str" cm="1">
        <f t="array" ref="J2584">IFERROR(TRIM(MID(E2584,MIN(FIND({" ";"g";"k";"m";"o"},E2584&amp;" gkmo")),10)),"unknown")</f>
        <v>g - 14.11</v>
      </c>
      <c r="K2584" s="6" t="str">
        <f t="shared" si="160"/>
        <v>g</v>
      </c>
      <c r="L2584" s="6" t="str">
        <f t="shared" si="161"/>
        <v>Divella, Fantasie Del Mattino, Ottimini</v>
      </c>
      <c r="M2584" s="6" t="str">
        <f t="shared" si="162"/>
        <v>Ottimini Integrali</v>
      </c>
      <c r="N2584" s="6" t="str">
        <f t="shared" si="163"/>
        <v>Bolivia,France,Italia</v>
      </c>
    </row>
    <row r="2585" spans="1:14" x14ac:dyDescent="0.25">
      <c r="A2585" s="6" t="s">
        <v>6131</v>
      </c>
      <c r="B2585" s="6">
        <v>7794</v>
      </c>
      <c r="C2585" s="6" t="s">
        <v>6132</v>
      </c>
      <c r="D2585" s="7" t="s">
        <v>7578</v>
      </c>
      <c r="E2585" s="6" t="s">
        <v>1845</v>
      </c>
      <c r="F2585" s="6" t="s">
        <v>8231</v>
      </c>
      <c r="G2585" s="8">
        <v>45387</v>
      </c>
      <c r="H2585" s="6">
        <v>13.16</v>
      </c>
      <c r="I2585" s="6" cm="1">
        <f t="array" ref="I2585">IFERROR(VALUE(TRIM(LEFT(E2585,MIN(FIND({" ";"g";"k";"m";"o"},E2585&amp;" gkmo"))-1))),0)</f>
        <v>800</v>
      </c>
      <c r="J2585" s="6" t="str" cm="1">
        <f t="array" ref="J2585">IFERROR(TRIM(MID(E2585,MIN(FIND({" ";"g";"k";"m";"o"},E2585&amp;" gkmo")),10)),"unknown")</f>
        <v>g</v>
      </c>
      <c r="K2585" s="6" t="str">
        <f t="shared" si="160"/>
        <v>g</v>
      </c>
      <c r="L2585" s="6" t="str">
        <f t="shared" si="161"/>
        <v>Gullà³N</v>
      </c>
      <c r="M2585" s="6" t="str">
        <f t="shared" si="162"/>
        <v>Creme Tropical</v>
      </c>
      <c r="N2585" s="6" t="str">
        <f t="shared" si="163"/>
        <v>France,Espaà±A</v>
      </c>
    </row>
    <row r="2586" spans="1:14" x14ac:dyDescent="0.25">
      <c r="A2586" s="6" t="s">
        <v>6133</v>
      </c>
      <c r="B2586" s="6">
        <v>11287</v>
      </c>
      <c r="C2586" s="6" t="s">
        <v>6134</v>
      </c>
      <c r="D2586" s="7" t="s">
        <v>7598</v>
      </c>
      <c r="E2586" s="6" t="s">
        <v>4094</v>
      </c>
      <c r="F2586" s="6" t="s">
        <v>8231</v>
      </c>
      <c r="G2586" s="8">
        <v>45985</v>
      </c>
      <c r="H2586" s="6">
        <v>13.16</v>
      </c>
      <c r="I2586" s="6" cm="1">
        <f t="array" ref="I2586">IFERROR(VALUE(TRIM(LEFT(E2586,MIN(FIND({" ";"g";"k";"m";"o"},E2586&amp;" gkmo"))-1))),0)</f>
        <v>340</v>
      </c>
      <c r="J2586" s="6" t="str" cm="1">
        <f t="array" ref="J2586">IFERROR(TRIM(MID(E2586,MIN(FIND({" ";"g";"k";"m";"o"},E2586&amp;" gkmo")),10)),"unknown")</f>
        <v>g</v>
      </c>
      <c r="K2586" s="6" t="str">
        <f t="shared" si="160"/>
        <v>g</v>
      </c>
      <c r="L2586" s="6" t="str">
        <f t="shared" si="161"/>
        <v>Florbàº</v>
      </c>
      <c r="M2586" s="6" t="str">
        <f t="shared" si="162"/>
        <v>Breakfast 5 Cereales Chocolate</v>
      </c>
      <c r="N2586" s="6" t="str">
        <f t="shared" si="163"/>
        <v>France,Espaà±A</v>
      </c>
    </row>
    <row r="2587" spans="1:14" x14ac:dyDescent="0.25">
      <c r="A2587" s="6" t="s">
        <v>6135</v>
      </c>
      <c r="B2587" s="6">
        <v>5134</v>
      </c>
      <c r="C2587" s="6" t="s">
        <v>6136</v>
      </c>
      <c r="D2587" s="7" t="s">
        <v>7017</v>
      </c>
      <c r="E2587" s="6" t="s">
        <v>6137</v>
      </c>
      <c r="F2587" s="6" t="s">
        <v>6138</v>
      </c>
      <c r="G2587" s="8">
        <v>45764</v>
      </c>
      <c r="H2587" s="6">
        <v>5.19</v>
      </c>
      <c r="I2587" s="6" cm="1">
        <f t="array" ref="I2587">IFERROR(VALUE(TRIM(LEFT(E2587,MIN(FIND({" ";"g";"k";"m";"o"},E2587&amp;" gkmo"))-1))),0)</f>
        <v>3</v>
      </c>
      <c r="J2587" s="6" t="str" cm="1">
        <f t="array" ref="J2587">IFERROR(TRIM(MID(E2587,MIN(FIND({" ";"g";"k";"m";"o"},E2587&amp;" gkmo")),10)),"unknown")</f>
        <v>X 100 g</v>
      </c>
      <c r="K2587" s="6" t="str">
        <f t="shared" si="160"/>
        <v>g</v>
      </c>
      <c r="L2587" s="6" t="str">
        <f t="shared" si="161"/>
        <v>Unknown</v>
      </c>
      <c r="M2587" s="6" t="str">
        <f t="shared" si="162"/>
        <v>Pop Corn Doux</v>
      </c>
      <c r="N2587" s="6" t="str">
        <f t="shared" si="163"/>
        <v>Belgien, Frankreich, Germany</v>
      </c>
    </row>
    <row r="2588" spans="1:14" x14ac:dyDescent="0.25">
      <c r="A2588" s="6" t="s">
        <v>6139</v>
      </c>
      <c r="B2588" s="6">
        <v>14021</v>
      </c>
      <c r="C2588" s="6" t="s">
        <v>6140</v>
      </c>
      <c r="D2588" s="7" t="s">
        <v>6141</v>
      </c>
      <c r="E2588" s="6" t="s">
        <v>3137</v>
      </c>
      <c r="F2588" s="6" t="s">
        <v>4456</v>
      </c>
      <c r="G2588" s="8">
        <v>45944</v>
      </c>
      <c r="H2588" s="6">
        <v>6.98</v>
      </c>
      <c r="I2588" s="6" cm="1">
        <f t="array" ref="I2588">IFERROR(VALUE(TRIM(LEFT(E2588,MIN(FIND({" ";"g";"k";"m";"o"},E2588&amp;" gkmo"))-1))),0)</f>
        <v>55</v>
      </c>
      <c r="J2588" s="6" t="str" cm="1">
        <f t="array" ref="J2588">IFERROR(TRIM(MID(E2588,MIN(FIND({" ";"g";"k";"m";"o"},E2588&amp;" gkmo")),10)),"unknown")</f>
        <v>g</v>
      </c>
      <c r="K2588" s="6" t="str">
        <f t="shared" si="160"/>
        <v>g</v>
      </c>
      <c r="L2588" s="6" t="str">
        <f t="shared" si="161"/>
        <v>Pepsico,Lay'S</v>
      </c>
      <c r="M2588" s="6" t="str">
        <f t="shared" si="162"/>
        <v>Lays 20Rs</v>
      </c>
      <c r="N2588" s="6" t="str">
        <f t="shared" si="163"/>
        <v>Inde</v>
      </c>
    </row>
    <row r="2589" spans="1:14" x14ac:dyDescent="0.25">
      <c r="A2589" s="6" t="s">
        <v>6142</v>
      </c>
      <c r="B2589" s="6">
        <v>11597</v>
      </c>
      <c r="C2589" s="6" t="s">
        <v>6143</v>
      </c>
      <c r="D2589" s="7" t="s">
        <v>6144</v>
      </c>
      <c r="E2589" s="6"/>
      <c r="F2589" s="6" t="s">
        <v>8280</v>
      </c>
      <c r="G2589" s="8">
        <v>45596</v>
      </c>
      <c r="H2589" s="6">
        <v>12.16</v>
      </c>
      <c r="I2589" s="6" cm="1">
        <f t="array" ref="I2589">IFERROR(VALUE(TRIM(LEFT(E2589,MIN(FIND({" ";"g";"k";"m";"o"},E2589&amp;" gkmo"))-1))),0)</f>
        <v>0</v>
      </c>
      <c r="J2589" s="6" t="str" cm="1">
        <f t="array" ref="J2589">IFERROR(TRIM(MID(E2589,MIN(FIND({" ";"g";"k";"m";"o"},E2589&amp;" gkmo")),10)),"unknown")</f>
        <v/>
      </c>
      <c r="K2589" s="6" t="str">
        <f t="shared" si="160"/>
        <v>unknown</v>
      </c>
      <c r="L2589" s="6" t="str">
        <f t="shared" si="161"/>
        <v>Carrefour, Carrefour Selection</v>
      </c>
      <c r="M2589" s="6" t="str">
        <f t="shared" si="162"/>
        <v>85% Cacao Noir Tanzanie</v>
      </c>
      <c r="N2589" s="6" t="str">
        <f t="shared" si="163"/>
        <v>France,Italie,Spain</v>
      </c>
    </row>
    <row r="2590" spans="1:14" x14ac:dyDescent="0.25">
      <c r="A2590" s="6" t="s">
        <v>6145</v>
      </c>
      <c r="B2590" s="6">
        <v>6131</v>
      </c>
      <c r="C2590" s="6" t="s">
        <v>6146</v>
      </c>
      <c r="D2590" s="7" t="s">
        <v>3635</v>
      </c>
      <c r="E2590" s="6" t="s">
        <v>5734</v>
      </c>
      <c r="F2590" s="6" t="s">
        <v>8168</v>
      </c>
      <c r="G2590" s="8">
        <v>45962</v>
      </c>
      <c r="H2590" s="6">
        <v>11.07</v>
      </c>
      <c r="I2590" s="6" cm="1">
        <f t="array" ref="I2590">IFERROR(VALUE(TRIM(LEFT(E2590,MIN(FIND({" ";"g";"k";"m";"o"},E2590&amp;" gkmo"))-1))),0)</f>
        <v>17</v>
      </c>
      <c r="J2590" s="6" t="str" cm="1">
        <f t="array" ref="J2590">IFERROR(TRIM(MID(E2590,MIN(FIND({" ";"g";"k";"m";"o"},E2590&amp;" gkmo")),10)),"unknown")</f>
        <v>g</v>
      </c>
      <c r="K2590" s="6" t="str">
        <f t="shared" si="160"/>
        <v>g</v>
      </c>
      <c r="L2590" s="6" t="str">
        <f t="shared" si="161"/>
        <v>Kirkland Signature</v>
      </c>
      <c r="M2590" s="6" t="str">
        <f t="shared" si="162"/>
        <v>Organic Roasted Seaweed Snack</v>
      </c>
      <c r="N2590" s="6" t="str">
        <f t="shared" si="163"/>
        <v>France, United-States</v>
      </c>
    </row>
    <row r="2591" spans="1:14" x14ac:dyDescent="0.25">
      <c r="A2591" s="6" t="s">
        <v>6147</v>
      </c>
      <c r="B2591" s="6">
        <v>13283</v>
      </c>
      <c r="C2591" s="6" t="s">
        <v>6148</v>
      </c>
      <c r="D2591" s="7" t="s">
        <v>6149</v>
      </c>
      <c r="E2591" s="6" t="s">
        <v>6150</v>
      </c>
      <c r="F2591" s="6" t="s">
        <v>4163</v>
      </c>
      <c r="G2591" s="8">
        <v>45914</v>
      </c>
      <c r="H2591" s="6">
        <v>13.16</v>
      </c>
      <c r="I2591" s="6" cm="1">
        <f t="array" ref="I2591">IFERROR(VALUE(TRIM(LEFT(E2591,MIN(FIND({" ";"g";"k";"m";"o"},E2591&amp;" gkmo"))-1))),0)</f>
        <v>7</v>
      </c>
      <c r="J2591" s="6" t="str" cm="1">
        <f t="array" ref="J2591">IFERROR(TRIM(MID(E2591,MIN(FIND({" ";"g";"k";"m";"o"},E2591&amp;" gkmo")),10)),"unknown")</f>
        <v>oz (198.4</v>
      </c>
      <c r="K2591" s="6" t="str">
        <f t="shared" si="160"/>
        <v>g</v>
      </c>
      <c r="L2591" s="6" t="str">
        <f t="shared" si="161"/>
        <v>Sun Chips</v>
      </c>
      <c r="M2591" s="6" t="str">
        <f t="shared" si="162"/>
        <v>Harvest Cheddar</v>
      </c>
      <c r="N2591" s="6" t="str">
        <f t="shared" si="163"/>
        <v>Bolivia,Estados Unidos</v>
      </c>
    </row>
    <row r="2592" spans="1:14" x14ac:dyDescent="0.25">
      <c r="A2592" s="6" t="s">
        <v>6151</v>
      </c>
      <c r="B2592" s="6">
        <v>14172</v>
      </c>
      <c r="C2592" s="6" t="s">
        <v>6152</v>
      </c>
      <c r="D2592" s="7" t="s">
        <v>3547</v>
      </c>
      <c r="E2592" s="6"/>
      <c r="F2592" s="6" t="s">
        <v>139</v>
      </c>
      <c r="G2592" s="8">
        <v>45720</v>
      </c>
      <c r="H2592" s="6">
        <v>19.309999999999999</v>
      </c>
      <c r="I2592" s="6" cm="1">
        <f t="array" ref="I2592">IFERROR(VALUE(TRIM(LEFT(E2592,MIN(FIND({" ";"g";"k";"m";"o"},E2592&amp;" gkmo"))-1))),0)</f>
        <v>0</v>
      </c>
      <c r="J2592" s="6" t="str" cm="1">
        <f t="array" ref="J2592">IFERROR(TRIM(MID(E2592,MIN(FIND({" ";"g";"k";"m";"o"},E2592&amp;" gkmo")),10)),"unknown")</f>
        <v/>
      </c>
      <c r="K2592" s="6" t="str">
        <f t="shared" si="160"/>
        <v>unknown</v>
      </c>
      <c r="L2592" s="6" t="str">
        <f t="shared" si="161"/>
        <v>Kellogg'S</v>
      </c>
      <c r="M2592" s="6" t="str">
        <f t="shared" si="162"/>
        <v>Extra Barre Kellogg'S</v>
      </c>
      <c r="N2592" s="6" t="str">
        <f t="shared" si="163"/>
        <v>France</v>
      </c>
    </row>
    <row r="2593" spans="1:14" x14ac:dyDescent="0.25">
      <c r="A2593" s="6" t="s">
        <v>6153</v>
      </c>
      <c r="B2593" s="6">
        <v>7002</v>
      </c>
      <c r="C2593" s="6" t="s">
        <v>6154</v>
      </c>
      <c r="D2593" s="7" t="s">
        <v>961</v>
      </c>
      <c r="E2593" s="6" t="s">
        <v>39</v>
      </c>
      <c r="F2593" s="6" t="s">
        <v>139</v>
      </c>
      <c r="G2593" s="8">
        <v>45759</v>
      </c>
      <c r="H2593" s="6">
        <v>23.55</v>
      </c>
      <c r="I2593" s="6" cm="1">
        <f t="array" ref="I2593">IFERROR(VALUE(TRIM(LEFT(E2593,MIN(FIND({" ";"g";"k";"m";"o"},E2593&amp;" gkmo"))-1))),0)</f>
        <v>150</v>
      </c>
      <c r="J2593" s="6" t="str" cm="1">
        <f t="array" ref="J2593">IFERROR(TRIM(MID(E2593,MIN(FIND({" ";"g";"k";"m";"o"},E2593&amp;" gkmo")),10)),"unknown")</f>
        <v>g</v>
      </c>
      <c r="K2593" s="6" t="str">
        <f t="shared" si="160"/>
        <v>g</v>
      </c>
      <c r="L2593" s="6" t="str">
        <f t="shared" si="161"/>
        <v>Sondey</v>
      </c>
      <c r="M2593" s="6" t="str">
        <f t="shared" si="162"/>
        <v>Financiers Aux Amandes Bio</v>
      </c>
      <c r="N2593" s="6" t="str">
        <f t="shared" si="163"/>
        <v>France</v>
      </c>
    </row>
    <row r="2594" spans="1:14" x14ac:dyDescent="0.25">
      <c r="A2594" s="6" t="s">
        <v>6155</v>
      </c>
      <c r="B2594" s="6">
        <v>13999</v>
      </c>
      <c r="C2594" s="6" t="s">
        <v>6156</v>
      </c>
      <c r="D2594" s="7" t="s">
        <v>4028</v>
      </c>
      <c r="E2594" s="6" t="s">
        <v>5593</v>
      </c>
      <c r="F2594" s="6" t="s">
        <v>6157</v>
      </c>
      <c r="G2594" s="8">
        <v>45881</v>
      </c>
      <c r="H2594" s="6">
        <v>22.68</v>
      </c>
      <c r="I2594" s="6" cm="1">
        <f t="array" ref="I2594">IFERROR(VALUE(TRIM(LEFT(E2594,MIN(FIND({" ";"g";"k";"m";"o"},E2594&amp;" gkmo"))-1))),0)</f>
        <v>0</v>
      </c>
      <c r="J2594" s="6" t="str" cm="1">
        <f t="array" ref="J2594">IFERROR(TRIM(MID(E2594,MIN(FIND({" ";"g";"k";"m";"o"},E2594&amp;" gkmo")),10)),"unknown")</f>
        <v>g</v>
      </c>
      <c r="K2594" s="6" t="str">
        <f t="shared" si="160"/>
        <v>g</v>
      </c>
      <c r="L2594" s="6" t="str">
        <f t="shared" si="161"/>
        <v>Snack Day</v>
      </c>
      <c r="M2594" s="6" t="str">
        <f t="shared" si="162"/>
        <v>Palomitas Saladas</v>
      </c>
      <c r="N2594" s="6" t="str">
        <f t="shared" si="163"/>
        <v>Spanien, Germany</v>
      </c>
    </row>
    <row r="2595" spans="1:14" x14ac:dyDescent="0.25">
      <c r="A2595" s="6" t="s">
        <v>6158</v>
      </c>
      <c r="B2595" s="6">
        <v>14480</v>
      </c>
      <c r="C2595" s="6" t="s">
        <v>6159</v>
      </c>
      <c r="D2595" s="7" t="s">
        <v>1176</v>
      </c>
      <c r="E2595" s="6"/>
      <c r="F2595" s="6" t="s">
        <v>6160</v>
      </c>
      <c r="G2595" s="8">
        <v>45942</v>
      </c>
      <c r="H2595" s="6">
        <v>16.850000000000001</v>
      </c>
      <c r="I2595" s="6" cm="1">
        <f t="array" ref="I2595">IFERROR(VALUE(TRIM(LEFT(E2595,MIN(FIND({" ";"g";"k";"m";"o"},E2595&amp;" gkmo"))-1))),0)</f>
        <v>0</v>
      </c>
      <c r="J2595" s="6" t="str" cm="1">
        <f t="array" ref="J2595">IFERROR(TRIM(MID(E2595,MIN(FIND({" ";"g";"k";"m";"o"},E2595&amp;" gkmo")),10)),"unknown")</f>
        <v/>
      </c>
      <c r="K2595" s="6" t="str">
        <f t="shared" si="160"/>
        <v>unknown</v>
      </c>
      <c r="L2595" s="6" t="str">
        <f t="shared" si="161"/>
        <v>Snack Day</v>
      </c>
      <c r="M2595" s="6" t="str">
        <f t="shared" si="162"/>
        <v>Salt Chips</v>
      </c>
      <c r="N2595" s="6" t="str">
        <f t="shared" si="163"/>
        <v>European Union,Romania</v>
      </c>
    </row>
    <row r="2596" spans="1:14" x14ac:dyDescent="0.25">
      <c r="A2596" s="6" t="s">
        <v>6161</v>
      </c>
      <c r="B2596" s="6">
        <v>6814</v>
      </c>
      <c r="C2596" s="6" t="s">
        <v>6162</v>
      </c>
      <c r="D2596" s="7" t="s">
        <v>6163</v>
      </c>
      <c r="E2596" s="6" t="s">
        <v>276</v>
      </c>
      <c r="F2596" s="6" t="s">
        <v>7858</v>
      </c>
      <c r="G2596" s="8">
        <v>45884</v>
      </c>
      <c r="H2596" s="6">
        <v>22.7</v>
      </c>
      <c r="I2596" s="6" cm="1">
        <f t="array" ref="I2596">IFERROR(VALUE(TRIM(LEFT(E2596,MIN(FIND({" ";"g";"k";"m";"o"},E2596&amp;" gkmo"))-1))),0)</f>
        <v>40</v>
      </c>
      <c r="J2596" s="6" t="str" cm="1">
        <f t="array" ref="J2596">IFERROR(TRIM(MID(E2596,MIN(FIND({" ";"g";"k";"m";"o"},E2596&amp;" gkmo")),10)),"unknown")</f>
        <v>g</v>
      </c>
      <c r="K2596" s="6" t="str">
        <f t="shared" si="160"/>
        <v>g</v>
      </c>
      <c r="L2596" s="6" t="str">
        <f t="shared" si="161"/>
        <v>Fulfil</v>
      </c>
      <c r="M2596" s="6" t="str">
        <f t="shared" si="162"/>
        <v>Chocolate Salted Caramel Flavour Vitamin &amp; Protein Bar</v>
      </c>
      <c r="N2596" s="6" t="str">
        <f t="shared" si="163"/>
        <v>Spanien, Vereinigtes Kà¶Nigreich, Germany</v>
      </c>
    </row>
    <row r="2597" spans="1:14" x14ac:dyDescent="0.25">
      <c r="A2597" s="6" t="s">
        <v>6164</v>
      </c>
      <c r="B2597" s="6">
        <v>14136</v>
      </c>
      <c r="C2597" s="6" t="s">
        <v>6165</v>
      </c>
      <c r="D2597" s="7" t="s">
        <v>1918</v>
      </c>
      <c r="E2597" s="6" t="s">
        <v>840</v>
      </c>
      <c r="F2597" s="6" t="s">
        <v>7960</v>
      </c>
      <c r="G2597" s="8">
        <v>45587</v>
      </c>
      <c r="H2597" s="6">
        <v>18.3</v>
      </c>
      <c r="I2597" s="6" cm="1">
        <f t="array" ref="I2597">IFERROR(VALUE(TRIM(LEFT(E2597,MIN(FIND({" ";"g";"k";"m";"o"},E2597&amp;" gkmo"))-1))),0)</f>
        <v>175</v>
      </c>
      <c r="J2597" s="6" t="str" cm="1">
        <f t="array" ref="J2597">IFERROR(TRIM(MID(E2597,MIN(FIND({" ";"g";"k";"m";"o"},E2597&amp;" gkmo")),10)),"unknown")</f>
        <v>g</v>
      </c>
      <c r="K2597" s="6" t="str">
        <f t="shared" si="160"/>
        <v>g</v>
      </c>
      <c r="L2597" s="6" t="str">
        <f t="shared" si="161"/>
        <v>Trapa</v>
      </c>
      <c r="M2597" s="6" t="str">
        <f t="shared" si="162"/>
        <v>Intenso 80% Noir</v>
      </c>
      <c r="N2597" s="6" t="str">
        <f t="shared" si="163"/>
        <v>Spain, Morocco</v>
      </c>
    </row>
    <row r="2598" spans="1:14" x14ac:dyDescent="0.25">
      <c r="A2598" s="6" t="s">
        <v>6166</v>
      </c>
      <c r="B2598" s="6">
        <v>10659</v>
      </c>
      <c r="C2598" s="6" t="s">
        <v>6167</v>
      </c>
      <c r="D2598" s="7" t="s">
        <v>5541</v>
      </c>
      <c r="E2598" s="6" t="s">
        <v>643</v>
      </c>
      <c r="F2598" s="6" t="s">
        <v>177</v>
      </c>
      <c r="G2598" s="8">
        <v>45829</v>
      </c>
      <c r="H2598" s="6">
        <v>9.77</v>
      </c>
      <c r="I2598" s="6" cm="1">
        <f t="array" ref="I2598">IFERROR(VALUE(TRIM(LEFT(E2598,MIN(FIND({" ";"g";"k";"m";"o"},E2598&amp;" gkmo"))-1))),0)</f>
        <v>25</v>
      </c>
      <c r="J2598" s="6" t="str" cm="1">
        <f t="array" ref="J2598">IFERROR(TRIM(MID(E2598,MIN(FIND({" ";"g";"k";"m";"o"},E2598&amp;" gkmo")),10)),"unknown")</f>
        <v>g</v>
      </c>
      <c r="K2598" s="6" t="str">
        <f t="shared" si="160"/>
        <v>g</v>
      </c>
      <c r="L2598" s="6" t="str">
        <f t="shared" si="161"/>
        <v>Mccoy'S</v>
      </c>
      <c r="M2598" s="6" t="str">
        <f t="shared" si="162"/>
        <v>Salt &amp; Malt Vinegar Crisps</v>
      </c>
      <c r="N2598" s="6" t="str">
        <f t="shared" si="163"/>
        <v>United Kingdom</v>
      </c>
    </row>
    <row r="2599" spans="1:14" x14ac:dyDescent="0.25">
      <c r="A2599" s="6" t="s">
        <v>6168</v>
      </c>
      <c r="B2599" s="6">
        <v>14045</v>
      </c>
      <c r="C2599" s="6" t="s">
        <v>4081</v>
      </c>
      <c r="D2599" s="7" t="s">
        <v>2398</v>
      </c>
      <c r="E2599" s="6" t="s">
        <v>228</v>
      </c>
      <c r="F2599" s="6" t="s">
        <v>997</v>
      </c>
      <c r="G2599" s="8">
        <v>45331</v>
      </c>
      <c r="H2599" s="6">
        <v>1.74</v>
      </c>
      <c r="I2599" s="6" cm="1">
        <f t="array" ref="I2599">IFERROR(VALUE(TRIM(LEFT(E2599,MIN(FIND({" ";"g";"k";"m";"o"},E2599&amp;" gkmo"))-1))),0)</f>
        <v>350</v>
      </c>
      <c r="J2599" s="6" t="str" cm="1">
        <f t="array" ref="J2599">IFERROR(TRIM(MID(E2599,MIN(FIND({" ";"g";"k";"m";"o"},E2599&amp;" gkmo")),10)),"unknown")</f>
        <v>g</v>
      </c>
      <c r="K2599" s="6" t="str">
        <f t="shared" si="160"/>
        <v>g</v>
      </c>
      <c r="L2599" s="6" t="str">
        <f t="shared" si="161"/>
        <v>Galbusera</v>
      </c>
      <c r="M2599" s="6" t="str">
        <f t="shared" si="162"/>
        <v>Magretti</v>
      </c>
      <c r="N2599" s="6" t="str">
        <f t="shared" si="163"/>
        <v>Italy</v>
      </c>
    </row>
    <row r="2600" spans="1:14" x14ac:dyDescent="0.25">
      <c r="A2600" s="6" t="s">
        <v>6169</v>
      </c>
      <c r="B2600" s="6">
        <v>5697</v>
      </c>
      <c r="C2600" s="6" t="s">
        <v>6170</v>
      </c>
      <c r="D2600" s="7" t="s">
        <v>1345</v>
      </c>
      <c r="E2600" s="6" t="s">
        <v>4672</v>
      </c>
      <c r="F2600" s="6" t="s">
        <v>139</v>
      </c>
      <c r="G2600" s="8">
        <v>45635</v>
      </c>
      <c r="H2600" s="6">
        <v>13.09</v>
      </c>
      <c r="I2600" s="6" cm="1">
        <f t="array" ref="I2600">IFERROR(VALUE(TRIM(LEFT(E2600,MIN(FIND({" ";"g";"k";"m";"o"},E2600&amp;" gkmo"))-1))),0)</f>
        <v>750</v>
      </c>
      <c r="J2600" s="6" t="str" cm="1">
        <f t="array" ref="J2600">IFERROR(TRIM(MID(E2600,MIN(FIND({" ";"g";"k";"m";"o"},E2600&amp;" gkmo")),10)),"unknown")</f>
        <v>g</v>
      </c>
      <c r="K2600" s="6" t="str">
        <f t="shared" si="160"/>
        <v>g</v>
      </c>
      <c r="L2600" s="6" t="str">
        <f t="shared" si="161"/>
        <v>Haribo</v>
      </c>
      <c r="M2600" s="6" t="str">
        <f t="shared" si="162"/>
        <v>750G Tirlibibi Box Haribo</v>
      </c>
      <c r="N2600" s="6" t="str">
        <f t="shared" si="163"/>
        <v>France</v>
      </c>
    </row>
    <row r="2601" spans="1:14" x14ac:dyDescent="0.25">
      <c r="A2601" s="6" t="s">
        <v>6171</v>
      </c>
      <c r="B2601" s="6">
        <v>14274</v>
      </c>
      <c r="C2601" s="6" t="s">
        <v>6172</v>
      </c>
      <c r="D2601" s="7" t="s">
        <v>7017</v>
      </c>
      <c r="E2601" s="6" t="s">
        <v>1265</v>
      </c>
      <c r="F2601" s="6" t="s">
        <v>7595</v>
      </c>
      <c r="G2601" s="8">
        <v>45893</v>
      </c>
      <c r="H2601" s="6">
        <v>19.350000000000001</v>
      </c>
      <c r="I2601" s="6" cm="1">
        <f t="array" ref="I2601">IFERROR(VALUE(TRIM(LEFT(E2601,MIN(FIND({" ";"g";"k";"m";"o"},E2601&amp;" gkmo"))-1))),0)</f>
        <v>185</v>
      </c>
      <c r="J2601" s="6" t="str" cm="1">
        <f t="array" ref="J2601">IFERROR(TRIM(MID(E2601,MIN(FIND({" ";"g";"k";"m";"o"},E2601&amp;" gkmo")),10)),"unknown")</f>
        <v>g</v>
      </c>
      <c r="K2601" s="6" t="str">
        <f t="shared" si="160"/>
        <v>g</v>
      </c>
      <c r="L2601" s="6" t="str">
        <f t="shared" si="161"/>
        <v>Unknown</v>
      </c>
      <c r="M2601" s="6" t="str">
        <f t="shared" si="162"/>
        <v>Fibra 75% Trigo</v>
      </c>
      <c r="N2601" s="6" t="str">
        <f t="shared" si="163"/>
        <v>Espaà±A</v>
      </c>
    </row>
    <row r="2602" spans="1:14" x14ac:dyDescent="0.25">
      <c r="A2602" s="6" t="s">
        <v>6173</v>
      </c>
      <c r="B2602" s="6">
        <v>8736</v>
      </c>
      <c r="C2602" s="6" t="s">
        <v>7859</v>
      </c>
      <c r="D2602" s="7" t="s">
        <v>6174</v>
      </c>
      <c r="E2602" s="6" t="s">
        <v>1977</v>
      </c>
      <c r="F2602" s="6" t="s">
        <v>8169</v>
      </c>
      <c r="G2602" s="8">
        <v>45835</v>
      </c>
      <c r="H2602" s="6">
        <v>9.19</v>
      </c>
      <c r="I2602" s="6" cm="1">
        <f t="array" ref="I2602">IFERROR(VALUE(TRIM(LEFT(E2602,MIN(FIND({" ";"g";"k";"m";"o"},E2602&amp;" gkmo"))-1))),0)</f>
        <v>170</v>
      </c>
      <c r="J2602" s="6" t="str" cm="1">
        <f t="array" ref="J2602">IFERROR(TRIM(MID(E2602,MIN(FIND({" ";"g";"k";"m";"o"},E2602&amp;" gkmo")),10)),"unknown")</f>
        <v>g</v>
      </c>
      <c r="K2602" s="6" t="str">
        <f t="shared" si="160"/>
        <v>g</v>
      </c>
      <c r="L2602" s="6" t="str">
        <f t="shared" si="161"/>
        <v>Schar</v>
      </c>
      <c r="M2602" s="6" t="str">
        <f t="shared" si="162"/>
        <v>Schà¤R Curvies Bbq</v>
      </c>
      <c r="N2602" s="6" t="str">
        <f t="shared" si="163"/>
        <v>Spain, United Kingdom, Morocco</v>
      </c>
    </row>
    <row r="2603" spans="1:14" x14ac:dyDescent="0.25">
      <c r="A2603" s="6" t="s">
        <v>6175</v>
      </c>
      <c r="B2603" s="6">
        <v>10904</v>
      </c>
      <c r="C2603" s="6" t="s">
        <v>6176</v>
      </c>
      <c r="D2603" s="7" t="s">
        <v>6177</v>
      </c>
      <c r="E2603" s="6" t="s">
        <v>6178</v>
      </c>
      <c r="F2603" s="6" t="s">
        <v>8170</v>
      </c>
      <c r="G2603" s="8">
        <v>45979</v>
      </c>
      <c r="H2603" s="6">
        <v>5.38</v>
      </c>
      <c r="I2603" s="6" cm="1">
        <f t="array" ref="I2603">IFERROR(VALUE(TRIM(LEFT(E2603,MIN(FIND({" ";"g";"k";"m";"o"},E2603&amp;" gkmo"))-1))),0)</f>
        <v>255</v>
      </c>
      <c r="J2603" s="6" t="str" cm="1">
        <f t="array" ref="J2603">IFERROR(TRIM(MID(E2603,MIN(FIND({" ";"g";"k";"m";"o"},E2603&amp;" gkmo")),10)),"unknown")</f>
        <v>g</v>
      </c>
      <c r="K2603" s="6" t="str">
        <f t="shared" si="160"/>
        <v>g</v>
      </c>
      <c r="L2603" s="6" t="str">
        <f t="shared" si="161"/>
        <v>Trader Joe'S</v>
      </c>
      <c r="M2603" s="6" t="str">
        <f t="shared" si="162"/>
        <v>Kumato</v>
      </c>
      <c r="N2603" s="6" t="str">
        <f t="shared" si="163"/>
        <v>Jersey, United-Kingdom</v>
      </c>
    </row>
    <row r="2604" spans="1:14" x14ac:dyDescent="0.25">
      <c r="A2604" s="6" t="s">
        <v>6179</v>
      </c>
      <c r="B2604" s="6">
        <v>6456</v>
      </c>
      <c r="C2604" s="6" t="s">
        <v>6180</v>
      </c>
      <c r="D2604" s="7" t="s">
        <v>2199</v>
      </c>
      <c r="E2604" s="6" t="s">
        <v>10</v>
      </c>
      <c r="F2604" s="6" t="s">
        <v>139</v>
      </c>
      <c r="G2604" s="8">
        <v>45419</v>
      </c>
      <c r="H2604" s="6">
        <v>5.5</v>
      </c>
      <c r="I2604" s="6" cm="1">
        <f t="array" ref="I2604">IFERROR(VALUE(TRIM(LEFT(E2604,MIN(FIND({" ";"g";"k";"m";"o"},E2604&amp;" gkmo"))-1))),0)</f>
        <v>100</v>
      </c>
      <c r="J2604" s="6" t="str" cm="1">
        <f t="array" ref="J2604">IFERROR(TRIM(MID(E2604,MIN(FIND({" ";"g";"k";"m";"o"},E2604&amp;" gkmo")),10)),"unknown")</f>
        <v>g</v>
      </c>
      <c r="K2604" s="6" t="str">
        <f t="shared" si="160"/>
        <v>g</v>
      </c>
      <c r="L2604" s="6" t="str">
        <f t="shared" si="161"/>
        <v>U, U Bio</v>
      </c>
      <c r="M2604" s="6" t="str">
        <f t="shared" si="162"/>
        <v>Chocolat Noir 85%</v>
      </c>
      <c r="N2604" s="6" t="str">
        <f t="shared" si="163"/>
        <v>France</v>
      </c>
    </row>
    <row r="2605" spans="1:14" x14ac:dyDescent="0.25">
      <c r="A2605" s="6" t="s">
        <v>6181</v>
      </c>
      <c r="B2605" s="6">
        <v>11870</v>
      </c>
      <c r="C2605" s="6" t="s">
        <v>6182</v>
      </c>
      <c r="D2605" s="7" t="s">
        <v>4190</v>
      </c>
      <c r="E2605" s="6" t="s">
        <v>18</v>
      </c>
      <c r="F2605" s="6" t="s">
        <v>1986</v>
      </c>
      <c r="G2605" s="8">
        <v>45734</v>
      </c>
      <c r="H2605" s="6">
        <v>18.73</v>
      </c>
      <c r="I2605" s="6" cm="1">
        <f t="array" ref="I2605">IFERROR(VALUE(TRIM(LEFT(E2605,MIN(FIND({" ";"g";"k";"m";"o"},E2605&amp;" gkmo"))-1))),0)</f>
        <v>100</v>
      </c>
      <c r="J2605" s="6" t="str" cm="1">
        <f t="array" ref="J2605">IFERROR(TRIM(MID(E2605,MIN(FIND({" ";"g";"k";"m";"o"},E2605&amp;" gkmo")),10)),"unknown")</f>
        <v>g</v>
      </c>
      <c r="K2605" s="6" t="str">
        <f t="shared" si="160"/>
        <v>g</v>
      </c>
      <c r="L2605" s="6" t="str">
        <f t="shared" si="161"/>
        <v>Lorenz</v>
      </c>
      <c r="M2605" s="6" t="str">
        <f t="shared" si="162"/>
        <v>Saltletts Pausen Cracker</v>
      </c>
      <c r="N2605" s="6" t="str">
        <f t="shared" si="163"/>
        <v>Deutschland</v>
      </c>
    </row>
    <row r="2606" spans="1:14" x14ac:dyDescent="0.25">
      <c r="A2606" s="6" t="s">
        <v>6183</v>
      </c>
      <c r="B2606" s="6">
        <v>6580</v>
      </c>
      <c r="C2606" s="6" t="s">
        <v>6184</v>
      </c>
      <c r="D2606" s="7" t="s">
        <v>3174</v>
      </c>
      <c r="E2606" s="6"/>
      <c r="F2606" s="6" t="s">
        <v>2173</v>
      </c>
      <c r="G2606" s="8">
        <v>46050</v>
      </c>
      <c r="H2606" s="6">
        <v>13.16</v>
      </c>
      <c r="I2606" s="6" cm="1">
        <f t="array" ref="I2606">IFERROR(VALUE(TRIM(LEFT(E2606,MIN(FIND({" ";"g";"k";"m";"o"},E2606&amp;" gkmo"))-1))),0)</f>
        <v>0</v>
      </c>
      <c r="J2606" s="6" t="str" cm="1">
        <f t="array" ref="J2606">IFERROR(TRIM(MID(E2606,MIN(FIND({" ";"g";"k";"m";"o"},E2606&amp;" gkmo")),10)),"unknown")</f>
        <v/>
      </c>
      <c r="K2606" s="6" t="str">
        <f t="shared" si="160"/>
        <v>unknown</v>
      </c>
      <c r="L2606" s="6" t="str">
        <f t="shared" si="161"/>
        <v>Tuc</v>
      </c>
      <c r="M2606" s="6" t="str">
        <f t="shared" si="162"/>
        <v>Tuc Au Fromage</v>
      </c>
      <c r="N2606" s="6" t="str">
        <f t="shared" si="163"/>
        <v>Romania</v>
      </c>
    </row>
    <row r="2607" spans="1:14" x14ac:dyDescent="0.25">
      <c r="A2607" s="6" t="s">
        <v>6185</v>
      </c>
      <c r="B2607" s="6">
        <v>12570</v>
      </c>
      <c r="C2607" s="6" t="s">
        <v>7390</v>
      </c>
      <c r="D2607" s="7" t="s">
        <v>4182</v>
      </c>
      <c r="E2607" s="6" t="s">
        <v>6186</v>
      </c>
      <c r="F2607" s="6" t="s">
        <v>139</v>
      </c>
      <c r="G2607" s="8">
        <v>45349</v>
      </c>
      <c r="H2607" s="6">
        <v>10.24</v>
      </c>
      <c r="I2607" s="6" cm="1">
        <f t="array" ref="I2607">IFERROR(VALUE(TRIM(LEFT(E2607,MIN(FIND({" ";"g";"k";"m";"o"},E2607&amp;" gkmo"))-1))),0)</f>
        <v>200</v>
      </c>
      <c r="J2607" s="6" t="str" cm="1">
        <f t="array" ref="J2607">IFERROR(TRIM(MID(E2607,MIN(FIND({" ";"g";"k";"m";"o"},E2607&amp;" gkmo")),10)),"unknown")</f>
        <v>g ( 20 x</v>
      </c>
      <c r="K2607" s="6" t="str">
        <f t="shared" si="160"/>
        <v>g</v>
      </c>
      <c r="L2607" s="6" t="str">
        <f t="shared" si="161"/>
        <v>Bisson</v>
      </c>
      <c r="M2607" s="6" t="str">
        <f t="shared" si="162"/>
        <v>Sablés Céréales Graines Chia Et Lin</v>
      </c>
      <c r="N2607" s="6" t="str">
        <f t="shared" si="163"/>
        <v>France</v>
      </c>
    </row>
    <row r="2608" spans="1:14" x14ac:dyDescent="0.25">
      <c r="A2608" s="6" t="s">
        <v>6187</v>
      </c>
      <c r="B2608" s="6">
        <v>8183</v>
      </c>
      <c r="C2608" s="6" t="s">
        <v>6188</v>
      </c>
      <c r="D2608" s="7" t="s">
        <v>7860</v>
      </c>
      <c r="E2608" s="6" t="s">
        <v>64</v>
      </c>
      <c r="F2608" s="6" t="s">
        <v>6189</v>
      </c>
      <c r="G2608" s="8">
        <v>45526</v>
      </c>
      <c r="H2608" s="6">
        <v>15.28</v>
      </c>
      <c r="I2608" s="6" cm="1">
        <f t="array" ref="I2608">IFERROR(VALUE(TRIM(LEFT(E2608,MIN(FIND({" ";"g";"k";"m";"o"},E2608&amp;" gkmo"))-1))),0)</f>
        <v>150</v>
      </c>
      <c r="J2608" s="6" t="str" cm="1">
        <f t="array" ref="J2608">IFERROR(TRIM(MID(E2608,MIN(FIND({" ";"g";"k";"m";"o"},E2608&amp;" gkmo")),10)),"unknown")</f>
        <v>g</v>
      </c>
      <c r="K2608" s="6" t="str">
        <f t="shared" si="160"/>
        <v>g</v>
      </c>
      <c r="L2608" s="6" t="str">
        <f t="shared" si="161"/>
        <v>Finn Crisp,Landmà¤Nnen</v>
      </c>
      <c r="M2608" s="6" t="str">
        <f t="shared" si="162"/>
        <v>Finn Crisp Snacks</v>
      </c>
      <c r="N2608" s="6" t="str">
        <f t="shared" si="163"/>
        <v>Germany,Italy,United Kingdom</v>
      </c>
    </row>
    <row r="2609" spans="1:14" x14ac:dyDescent="0.25">
      <c r="A2609" s="6" t="s">
        <v>6190</v>
      </c>
      <c r="B2609" s="6">
        <v>9642</v>
      </c>
      <c r="C2609" s="6" t="s">
        <v>6191</v>
      </c>
      <c r="D2609" s="7" t="s">
        <v>6192</v>
      </c>
      <c r="E2609" s="6" t="s">
        <v>10</v>
      </c>
      <c r="F2609" s="6" t="s">
        <v>6193</v>
      </c>
      <c r="G2609" s="8">
        <v>45957</v>
      </c>
      <c r="H2609" s="6">
        <v>6.95</v>
      </c>
      <c r="I2609" s="6" cm="1">
        <f t="array" ref="I2609">IFERROR(VALUE(TRIM(LEFT(E2609,MIN(FIND({" ";"g";"k";"m";"o"},E2609&amp;" gkmo"))-1))),0)</f>
        <v>100</v>
      </c>
      <c r="J2609" s="6" t="str" cm="1">
        <f t="array" ref="J2609">IFERROR(TRIM(MID(E2609,MIN(FIND({" ";"g";"k";"m";"o"},E2609&amp;" gkmo")),10)),"unknown")</f>
        <v>g</v>
      </c>
      <c r="K2609" s="6" t="str">
        <f t="shared" si="160"/>
        <v>g</v>
      </c>
      <c r="L2609" s="6" t="str">
        <f t="shared" si="161"/>
        <v>Alnatura, Alnatura Gmbh, Alnatura Bio</v>
      </c>
      <c r="M2609" s="6" t="str">
        <f t="shared" si="162"/>
        <v>Schoko Reiswaffeln Zartbitter</v>
      </c>
      <c r="N2609" s="6" t="str">
        <f t="shared" si="163"/>
        <v>Frankreich,Deutschland,Schweiz,Welt</v>
      </c>
    </row>
    <row r="2610" spans="1:14" x14ac:dyDescent="0.25">
      <c r="A2610" s="6" t="s">
        <v>6194</v>
      </c>
      <c r="B2610" s="6">
        <v>12649</v>
      </c>
      <c r="C2610" s="6" t="s">
        <v>6195</v>
      </c>
      <c r="D2610" s="7" t="s">
        <v>6196</v>
      </c>
      <c r="E2610" s="6" t="s">
        <v>855</v>
      </c>
      <c r="F2610" s="6" t="s">
        <v>2037</v>
      </c>
      <c r="G2610" s="8">
        <v>45795</v>
      </c>
      <c r="H2610" s="6">
        <v>4.45</v>
      </c>
      <c r="I2610" s="6" cm="1">
        <f t="array" ref="I2610">IFERROR(VALUE(TRIM(LEFT(E2610,MIN(FIND({" ";"g";"k";"m";"o"},E2610&amp;" gkmo"))-1))),0)</f>
        <v>80</v>
      </c>
      <c r="J2610" s="6" t="str" cm="1">
        <f t="array" ref="J2610">IFERROR(TRIM(MID(E2610,MIN(FIND({" ";"g";"k";"m";"o"},E2610&amp;" gkmo")),10)),"unknown")</f>
        <v>g</v>
      </c>
      <c r="K2610" s="6" t="str">
        <f t="shared" si="160"/>
        <v>g</v>
      </c>
      <c r="L2610" s="6" t="str">
        <f t="shared" si="161"/>
        <v>Vivani</v>
      </c>
      <c r="M2610" s="6" t="str">
        <f t="shared" si="162"/>
        <v>Edel Bitter 100% Cacao Nibs</v>
      </c>
      <c r="N2610" s="6" t="str">
        <f t="shared" si="163"/>
        <v>Frankreich,Deutschland,Schweiz</v>
      </c>
    </row>
    <row r="2611" spans="1:14" x14ac:dyDescent="0.25">
      <c r="A2611" s="6" t="s">
        <v>6197</v>
      </c>
      <c r="B2611" s="6">
        <v>13052</v>
      </c>
      <c r="C2611" s="6" t="s">
        <v>6198</v>
      </c>
      <c r="D2611" s="7" t="s">
        <v>6199</v>
      </c>
      <c r="E2611" s="6" t="s">
        <v>64</v>
      </c>
      <c r="F2611" s="6" t="s">
        <v>2973</v>
      </c>
      <c r="G2611" s="8">
        <v>46018</v>
      </c>
      <c r="H2611" s="6">
        <v>18.62</v>
      </c>
      <c r="I2611" s="6" cm="1">
        <f t="array" ref="I2611">IFERROR(VALUE(TRIM(LEFT(E2611,MIN(FIND({" ";"g";"k";"m";"o"},E2611&amp;" gkmo"))-1))),0)</f>
        <v>150</v>
      </c>
      <c r="J2611" s="6" t="str" cm="1">
        <f t="array" ref="J2611">IFERROR(TRIM(MID(E2611,MIN(FIND({" ";"g";"k";"m";"o"},E2611&amp;" gkmo")),10)),"unknown")</f>
        <v>g</v>
      </c>
      <c r="K2611" s="6" t="str">
        <f t="shared" si="160"/>
        <v>g</v>
      </c>
      <c r="L2611" s="6" t="str">
        <f t="shared" si="161"/>
        <v>Dettol</v>
      </c>
      <c r="M2611" s="6" t="str">
        <f t="shared" si="162"/>
        <v>Mature Cheddar &amp; Red Onion Hand Cooked Crisps</v>
      </c>
      <c r="N2611" s="6" t="str">
        <f t="shared" si="163"/>
        <v>Gb</v>
      </c>
    </row>
    <row r="2612" spans="1:14" x14ac:dyDescent="0.25">
      <c r="A2612" s="6" t="s">
        <v>6200</v>
      </c>
      <c r="B2612" s="6">
        <v>13063</v>
      </c>
      <c r="C2612" s="6" t="s">
        <v>7861</v>
      </c>
      <c r="D2612" s="7" t="s">
        <v>7172</v>
      </c>
      <c r="E2612" s="6" t="s">
        <v>504</v>
      </c>
      <c r="F2612" s="6" t="s">
        <v>139</v>
      </c>
      <c r="G2612" s="8">
        <v>45752</v>
      </c>
      <c r="H2612" s="6">
        <v>14.26</v>
      </c>
      <c r="I2612" s="6" cm="1">
        <f t="array" ref="I2612">IFERROR(VALUE(TRIM(LEFT(E2612,MIN(FIND({" ";"g";"k";"m";"o"},E2612&amp;" gkmo"))-1))),0)</f>
        <v>400</v>
      </c>
      <c r="J2612" s="6" t="str" cm="1">
        <f t="array" ref="J2612">IFERROR(TRIM(MID(E2612,MIN(FIND({" ";"g";"k";"m";"o"},E2612&amp;" gkmo")),10)),"unknown")</f>
        <v>g</v>
      </c>
      <c r="K2612" s="6" t="str">
        <f t="shared" si="160"/>
        <v>g</v>
      </c>
      <c r="L2612" s="6" t="str">
        <f t="shared" si="161"/>
        <v>La Fournée Dorée</v>
      </c>
      <c r="M2612" s="6" t="str">
        <f t="shared" si="162"/>
        <v>Gà¢Che Tranchrée Bio</v>
      </c>
      <c r="N2612" s="6" t="str">
        <f t="shared" si="163"/>
        <v>France</v>
      </c>
    </row>
    <row r="2613" spans="1:14" x14ac:dyDescent="0.25">
      <c r="A2613" s="6" t="s">
        <v>6201</v>
      </c>
      <c r="B2613" s="6">
        <v>6111</v>
      </c>
      <c r="C2613" s="6" t="s">
        <v>6202</v>
      </c>
      <c r="D2613" s="7" t="s">
        <v>452</v>
      </c>
      <c r="E2613" s="6" t="s">
        <v>335</v>
      </c>
      <c r="F2613" s="6" t="s">
        <v>2966</v>
      </c>
      <c r="G2613" s="8">
        <v>46041</v>
      </c>
      <c r="H2613" s="6">
        <v>6.72</v>
      </c>
      <c r="I2613" s="6" cm="1">
        <f t="array" ref="I2613">IFERROR(VALUE(TRIM(LEFT(E2613,MIN(FIND({" ";"g";"k";"m";"o"},E2613&amp;" gkmo"))-1))),0)</f>
        <v>250</v>
      </c>
      <c r="J2613" s="6" t="str" cm="1">
        <f t="array" ref="J2613">IFERROR(TRIM(MID(E2613,MIN(FIND({" ";"g";"k";"m";"o"},E2613&amp;" gkmo")),10)),"unknown")</f>
        <v>g</v>
      </c>
      <c r="K2613" s="6" t="str">
        <f t="shared" si="160"/>
        <v>g</v>
      </c>
      <c r="L2613" s="6" t="str">
        <f t="shared" si="161"/>
        <v>Hacendado</v>
      </c>
      <c r="M2613" s="6" t="str">
        <f t="shared" si="162"/>
        <v>Barquillos Avellana</v>
      </c>
      <c r="N2613" s="6" t="str">
        <f t="shared" si="163"/>
        <v>Portugal,Spain</v>
      </c>
    </row>
    <row r="2614" spans="1:14" x14ac:dyDescent="0.25">
      <c r="A2614" s="6" t="s">
        <v>6203</v>
      </c>
      <c r="B2614" s="6">
        <v>14397</v>
      </c>
      <c r="C2614" s="6" t="s">
        <v>6204</v>
      </c>
      <c r="D2614" s="7" t="s">
        <v>6205</v>
      </c>
      <c r="E2614" s="6" t="s">
        <v>14</v>
      </c>
      <c r="F2614" s="6" t="s">
        <v>113</v>
      </c>
      <c r="G2614" s="8">
        <v>45825</v>
      </c>
      <c r="H2614" s="6">
        <v>5.78</v>
      </c>
      <c r="I2614" s="6" cm="1">
        <f t="array" ref="I2614">IFERROR(VALUE(TRIM(LEFT(E2614,MIN(FIND({" ";"g";"k";"m";"o"},E2614&amp;" gkmo"))-1))),0)</f>
        <v>300</v>
      </c>
      <c r="J2614" s="6" t="str" cm="1">
        <f t="array" ref="J2614">IFERROR(TRIM(MID(E2614,MIN(FIND({" ";"g";"k";"m";"o"},E2614&amp;" gkmo")),10)),"unknown")</f>
        <v>g</v>
      </c>
      <c r="K2614" s="6" t="str">
        <f t="shared" si="160"/>
        <v>g</v>
      </c>
      <c r="L2614" s="6" t="str">
        <f t="shared" si="161"/>
        <v>Mulino Bianco, Barilla, Mulino Bianco</v>
      </c>
      <c r="M2614" s="6" t="str">
        <f t="shared" si="162"/>
        <v>Schiaccianoci</v>
      </c>
      <c r="N2614" s="6" t="str">
        <f t="shared" si="163"/>
        <v>Italia</v>
      </c>
    </row>
    <row r="2615" spans="1:14" x14ac:dyDescent="0.25">
      <c r="A2615" s="6" t="s">
        <v>6206</v>
      </c>
      <c r="B2615" s="6">
        <v>11730</v>
      </c>
      <c r="C2615" s="6" t="s">
        <v>7862</v>
      </c>
      <c r="D2615" s="7" t="s">
        <v>150</v>
      </c>
      <c r="E2615" s="6" t="s">
        <v>6207</v>
      </c>
      <c r="F2615" s="6" t="s">
        <v>6208</v>
      </c>
      <c r="G2615" s="8">
        <v>45887</v>
      </c>
      <c r="H2615" s="6">
        <v>14.28</v>
      </c>
      <c r="I2615" s="6" cm="1">
        <f t="array" ref="I2615">IFERROR(VALUE(TRIM(LEFT(E2615,MIN(FIND({" ";"g";"k";"m";"o"},E2615&amp;" gkmo"))-1))),0)</f>
        <v>1000</v>
      </c>
      <c r="J2615" s="6" t="str" cm="1">
        <f t="array" ref="J2615">IFERROR(TRIM(MID(E2615,MIN(FIND({" ";"g";"k";"m";"o"},E2615&amp;" gkmo")),10)),"unknown")</f>
        <v>g</v>
      </c>
      <c r="K2615" s="6" t="str">
        <f t="shared" si="160"/>
        <v>g</v>
      </c>
      <c r="L2615" s="6" t="str">
        <f t="shared" si="161"/>
        <v>Alesto</v>
      </c>
      <c r="M2615" s="6" t="str">
        <f t="shared" si="162"/>
        <v>Xxl Erdnà¼Sse</v>
      </c>
      <c r="N2615" s="6" t="str">
        <f t="shared" si="163"/>
        <v>Ð¤Ñ€Ð°Ð½Ñ†Ð¸Ñ,Ð“Ðµñ€Ð¼Ð°Ð½Ð¸Ñ,Ð¨Ð²Ðµñ†Ð¸Ñ,Ðžð±Ðµð´Ð¸Ð½Ðµð½Ð¾ Ðºñ€Ð°Ð»ÑÑ‚Ð²Ð¾ Ð’Ðµð»Ð¸Ðºð¾Ð±Ñ€Ð¸Ñ‚Ð°Ð½Ð¸Ñ Ð¸ Ð¡Ðµð²Ðµñ€Ð½Ð° Ð˜Ñ€Ð»Ð°Ð½Ð´Ð¸Ñ,Ð‘Ñšð»Ð³Ð°Ñ€Ð¸Ñ</v>
      </c>
    </row>
    <row r="2616" spans="1:14" x14ac:dyDescent="0.25">
      <c r="A2616" s="6" t="s">
        <v>6209</v>
      </c>
      <c r="B2616" s="6">
        <v>10348</v>
      </c>
      <c r="C2616" s="6" t="s">
        <v>5407</v>
      </c>
      <c r="D2616" s="7" t="s">
        <v>6210</v>
      </c>
      <c r="E2616" s="6" t="s">
        <v>99</v>
      </c>
      <c r="F2616" s="6" t="s">
        <v>7573</v>
      </c>
      <c r="G2616" s="8">
        <v>45917</v>
      </c>
      <c r="H2616" s="6">
        <v>13.16</v>
      </c>
      <c r="I2616" s="6" cm="1">
        <f t="array" ref="I2616">IFERROR(VALUE(TRIM(LEFT(E2616,MIN(FIND({" ";"g";"k";"m";"o"},E2616&amp;" gkmo"))-1))),0)</f>
        <v>160</v>
      </c>
      <c r="J2616" s="6" t="str" cm="1">
        <f t="array" ref="J2616">IFERROR(TRIM(MID(E2616,MIN(FIND({" ";"g";"k";"m";"o"},E2616&amp;" gkmo")),10)),"unknown")</f>
        <v>g</v>
      </c>
      <c r="K2616" s="6" t="str">
        <f t="shared" si="160"/>
        <v>g</v>
      </c>
      <c r="L2616" s="6" t="str">
        <f t="shared" si="161"/>
        <v>Ruffles,Pepsico</v>
      </c>
      <c r="M2616" s="6" t="str">
        <f t="shared" si="162"/>
        <v>Original</v>
      </c>
      <c r="N2616" s="6" t="str">
        <f t="shared" si="163"/>
        <v>Portugal,Espaà±A</v>
      </c>
    </row>
    <row r="2617" spans="1:14" x14ac:dyDescent="0.25">
      <c r="A2617" s="6" t="s">
        <v>6211</v>
      </c>
      <c r="B2617" s="6">
        <v>9366</v>
      </c>
      <c r="C2617" s="6" t="s">
        <v>7391</v>
      </c>
      <c r="D2617" s="7" t="s">
        <v>7017</v>
      </c>
      <c r="E2617" s="6" t="s">
        <v>6212</v>
      </c>
      <c r="F2617" s="6" t="s">
        <v>8052</v>
      </c>
      <c r="G2617" s="8">
        <v>45490</v>
      </c>
      <c r="H2617" s="6">
        <v>19.829999999999998</v>
      </c>
      <c r="I2617" s="6" cm="1">
        <f t="array" ref="I2617">IFERROR(VALUE(TRIM(LEFT(E2617,MIN(FIND({" ";"g";"k";"m";"o"},E2617&amp;" gkmo"))-1))),0)</f>
        <v>0</v>
      </c>
      <c r="J2617" s="6" t="str" cm="1">
        <f t="array" ref="J2617">IFERROR(TRIM(MID(E2617,MIN(FIND({" ";"g";"k";"m";"o"},E2617&amp;" gkmo")),10)),"unknown")</f>
        <v>g - 420g</v>
      </c>
      <c r="K2617" s="6" t="str">
        <f t="shared" si="160"/>
        <v>g</v>
      </c>
      <c r="L2617" s="6" t="str">
        <f t="shared" si="161"/>
        <v>Unknown</v>
      </c>
      <c r="M2617" s="6" t="str">
        <f t="shared" si="162"/>
        <v>Mini Fourrés Cå“Ur Chocolat</v>
      </c>
      <c r="N2617" s="6" t="str">
        <f t="shared" si="163"/>
        <v>France, Be</v>
      </c>
    </row>
    <row r="2618" spans="1:14" x14ac:dyDescent="0.25">
      <c r="A2618" s="6" t="s">
        <v>6213</v>
      </c>
      <c r="B2618" s="6">
        <v>5620</v>
      </c>
      <c r="C2618" s="6" t="s">
        <v>6214</v>
      </c>
      <c r="D2618" s="7" t="s">
        <v>7550</v>
      </c>
      <c r="E2618" s="6" t="s">
        <v>10</v>
      </c>
      <c r="F2618" s="6" t="s">
        <v>7863</v>
      </c>
      <c r="G2618" s="8">
        <v>45779</v>
      </c>
      <c r="H2618" s="6">
        <v>22.99</v>
      </c>
      <c r="I2618" s="6" cm="1">
        <f t="array" ref="I2618">IFERROR(VALUE(TRIM(LEFT(E2618,MIN(FIND({" ";"g";"k";"m";"o"},E2618&amp;" gkmo"))-1))),0)</f>
        <v>100</v>
      </c>
      <c r="J2618" s="6" t="str" cm="1">
        <f t="array" ref="J2618">IFERROR(TRIM(MID(E2618,MIN(FIND({" ";"g";"k";"m";"o"},E2618&amp;" gkmo")),10)),"unknown")</f>
        <v>g</v>
      </c>
      <c r="K2618" s="6" t="str">
        <f t="shared" si="160"/>
        <v>g</v>
      </c>
      <c r="L2618" s="6" t="str">
        <f t="shared" si="161"/>
        <v>Fin Carré,Lidl</v>
      </c>
      <c r="M2618" s="6" t="str">
        <f t="shared" si="162"/>
        <v>Chocolate Negro</v>
      </c>
      <c r="N2618" s="6" t="str">
        <f t="shared" si="163"/>
        <v>Bulgaria,Croacia,Portugal,Eslovaquia,Espaà±A</v>
      </c>
    </row>
    <row r="2619" spans="1:14" x14ac:dyDescent="0.25">
      <c r="A2619" s="6" t="s">
        <v>6215</v>
      </c>
      <c r="B2619" s="6">
        <v>10195</v>
      </c>
      <c r="C2619" s="6" t="s">
        <v>6216</v>
      </c>
      <c r="D2619" s="7" t="s">
        <v>60</v>
      </c>
      <c r="E2619" s="6" t="s">
        <v>10</v>
      </c>
      <c r="F2619" s="6" t="s">
        <v>139</v>
      </c>
      <c r="G2619" s="8">
        <v>45374</v>
      </c>
      <c r="H2619" s="6">
        <v>16.54</v>
      </c>
      <c r="I2619" s="6" cm="1">
        <f t="array" ref="I2619">IFERROR(VALUE(TRIM(LEFT(E2619,MIN(FIND({" ";"g";"k";"m";"o"},E2619&amp;" gkmo"))-1))),0)</f>
        <v>100</v>
      </c>
      <c r="J2619" s="6" t="str" cm="1">
        <f t="array" ref="J2619">IFERROR(TRIM(MID(E2619,MIN(FIND({" ";"g";"k";"m";"o"},E2619&amp;" gkmo")),10)),"unknown")</f>
        <v>g</v>
      </c>
      <c r="K2619" s="6" t="str">
        <f t="shared" si="160"/>
        <v>g</v>
      </c>
      <c r="L2619" s="6" t="str">
        <f t="shared" si="161"/>
        <v>Lindt</v>
      </c>
      <c r="M2619" s="6" t="str">
        <f t="shared" si="162"/>
        <v>Chocolat Noir 70% Cacao Sel Rose De L'Himalaya</v>
      </c>
      <c r="N2619" s="6" t="str">
        <f t="shared" si="163"/>
        <v>France</v>
      </c>
    </row>
    <row r="2620" spans="1:14" x14ac:dyDescent="0.25">
      <c r="A2620" s="6" t="s">
        <v>6217</v>
      </c>
      <c r="B2620" s="6">
        <v>6890</v>
      </c>
      <c r="C2620" s="6" t="s">
        <v>6218</v>
      </c>
      <c r="D2620" s="7" t="s">
        <v>488</v>
      </c>
      <c r="E2620" s="6" t="s">
        <v>14</v>
      </c>
      <c r="F2620" s="6" t="s">
        <v>139</v>
      </c>
      <c r="G2620" s="8">
        <v>45657</v>
      </c>
      <c r="H2620" s="6">
        <v>24.78</v>
      </c>
      <c r="I2620" s="6" cm="1">
        <f t="array" ref="I2620">IFERROR(VALUE(TRIM(LEFT(E2620,MIN(FIND({" ";"g";"k";"m";"o"},E2620&amp;" gkmo"))-1))),0)</f>
        <v>300</v>
      </c>
      <c r="J2620" s="6" t="str" cm="1">
        <f t="array" ref="J2620">IFERROR(TRIM(MID(E2620,MIN(FIND({" ";"g";"k";"m";"o"},E2620&amp;" gkmo")),10)),"unknown")</f>
        <v>g</v>
      </c>
      <c r="K2620" s="6" t="str">
        <f t="shared" si="160"/>
        <v>g</v>
      </c>
      <c r="L2620" s="6" t="str">
        <f t="shared" si="161"/>
        <v>Bonne Maman</v>
      </c>
      <c r="M2620" s="6" t="str">
        <f t="shared" si="162"/>
        <v>La Madeleine Coeur Myrtille</v>
      </c>
      <c r="N2620" s="6" t="str">
        <f t="shared" si="163"/>
        <v>France</v>
      </c>
    </row>
    <row r="2621" spans="1:14" x14ac:dyDescent="0.25">
      <c r="A2621" s="6" t="s">
        <v>6219</v>
      </c>
      <c r="B2621" s="6">
        <v>13249</v>
      </c>
      <c r="C2621" s="6" t="s">
        <v>5253</v>
      </c>
      <c r="D2621" s="7" t="s">
        <v>310</v>
      </c>
      <c r="E2621" s="6" t="s">
        <v>335</v>
      </c>
      <c r="F2621" s="6" t="s">
        <v>139</v>
      </c>
      <c r="G2621" s="8">
        <v>46014</v>
      </c>
      <c r="H2621" s="6">
        <v>6.15</v>
      </c>
      <c r="I2621" s="6" cm="1">
        <f t="array" ref="I2621">IFERROR(VALUE(TRIM(LEFT(E2621,MIN(FIND({" ";"g";"k";"m";"o"},E2621&amp;" gkmo"))-1))),0)</f>
        <v>250</v>
      </c>
      <c r="J2621" s="6" t="str" cm="1">
        <f t="array" ref="J2621">IFERROR(TRIM(MID(E2621,MIN(FIND({" ";"g";"k";"m";"o"},E2621&amp;" gkmo")),10)),"unknown")</f>
        <v>g</v>
      </c>
      <c r="K2621" s="6" t="str">
        <f t="shared" si="160"/>
        <v>g</v>
      </c>
      <c r="L2621" s="6" t="str">
        <f t="shared" si="161"/>
        <v>St Michel</v>
      </c>
      <c r="M2621" s="6" t="str">
        <f t="shared" si="162"/>
        <v>Madeleines Moelleuses</v>
      </c>
      <c r="N2621" s="6" t="str">
        <f t="shared" si="163"/>
        <v>France</v>
      </c>
    </row>
    <row r="2622" spans="1:14" x14ac:dyDescent="0.25">
      <c r="A2622" s="6" t="s">
        <v>6220</v>
      </c>
      <c r="B2622" s="6">
        <v>7560</v>
      </c>
      <c r="C2622" s="6" t="s">
        <v>6221</v>
      </c>
      <c r="D2622" s="7" t="s">
        <v>6222</v>
      </c>
      <c r="E2622" s="6" t="s">
        <v>10</v>
      </c>
      <c r="F2622" s="6" t="s">
        <v>1356</v>
      </c>
      <c r="G2622" s="8">
        <v>45726</v>
      </c>
      <c r="H2622" s="6">
        <v>13.16</v>
      </c>
      <c r="I2622" s="6" cm="1">
        <f t="array" ref="I2622">IFERROR(VALUE(TRIM(LEFT(E2622,MIN(FIND({" ";"g";"k";"m";"o"},E2622&amp;" gkmo"))-1))),0)</f>
        <v>100</v>
      </c>
      <c r="J2622" s="6" t="str" cm="1">
        <f t="array" ref="J2622">IFERROR(TRIM(MID(E2622,MIN(FIND({" ";"g";"k";"m";"o"},E2622&amp;" gkmo")),10)),"unknown")</f>
        <v>g</v>
      </c>
      <c r="K2622" s="6" t="str">
        <f t="shared" si="160"/>
        <v>g</v>
      </c>
      <c r="L2622" s="6" t="str">
        <f t="shared" si="161"/>
        <v>Alnatura</v>
      </c>
      <c r="M2622" s="6" t="str">
        <f t="shared" si="162"/>
        <v>Linsenwaffeln</v>
      </c>
      <c r="N2622" s="6" t="str">
        <f t="shared" si="163"/>
        <v>France,Germany</v>
      </c>
    </row>
    <row r="2623" spans="1:14" x14ac:dyDescent="0.25">
      <c r="A2623" s="6" t="s">
        <v>6223</v>
      </c>
      <c r="B2623" s="6">
        <v>7238</v>
      </c>
      <c r="C2623" s="6" t="s">
        <v>6224</v>
      </c>
      <c r="D2623" s="7" t="s">
        <v>5285</v>
      </c>
      <c r="E2623" s="6" t="s">
        <v>573</v>
      </c>
      <c r="F2623" s="6" t="s">
        <v>139</v>
      </c>
      <c r="G2623" s="8">
        <v>46044</v>
      </c>
      <c r="H2623" s="6">
        <v>17.88</v>
      </c>
      <c r="I2623" s="6" cm="1">
        <f t="array" ref="I2623">IFERROR(VALUE(TRIM(LEFT(E2623,MIN(FIND({" ";"g";"k";"m";"o"},E2623&amp;" gkmo"))-1))),0)</f>
        <v>280</v>
      </c>
      <c r="J2623" s="6" t="str" cm="1">
        <f t="array" ref="J2623">IFERROR(TRIM(MID(E2623,MIN(FIND({" ";"g";"k";"m";"o"},E2623&amp;" gkmo")),10)),"unknown")</f>
        <v>g</v>
      </c>
      <c r="K2623" s="6" t="str">
        <f t="shared" si="160"/>
        <v>g</v>
      </c>
      <c r="L2623" s="6" t="str">
        <f t="shared" si="161"/>
        <v>Bien</v>
      </c>
      <c r="M2623" s="6" t="str">
        <f t="shared" si="162"/>
        <v>Pain Lait Bio* Far Complet X8 280G</v>
      </c>
      <c r="N2623" s="6" t="str">
        <f t="shared" si="163"/>
        <v>France</v>
      </c>
    </row>
    <row r="2624" spans="1:14" x14ac:dyDescent="0.25">
      <c r="A2624" s="6" t="s">
        <v>6225</v>
      </c>
      <c r="B2624" s="6">
        <v>11481</v>
      </c>
      <c r="C2624" s="6" t="s">
        <v>6226</v>
      </c>
      <c r="D2624" s="7" t="s">
        <v>248</v>
      </c>
      <c r="E2624" s="6"/>
      <c r="F2624" s="6" t="s">
        <v>177</v>
      </c>
      <c r="G2624" s="8">
        <v>45494</v>
      </c>
      <c r="H2624" s="6">
        <v>22.33</v>
      </c>
      <c r="I2624" s="6" cm="1">
        <f t="array" ref="I2624">IFERROR(VALUE(TRIM(LEFT(E2624,MIN(FIND({" ";"g";"k";"m";"o"},E2624&amp;" gkmo"))-1))),0)</f>
        <v>0</v>
      </c>
      <c r="J2624" s="6" t="str" cm="1">
        <f t="array" ref="J2624">IFERROR(TRIM(MID(E2624,MIN(FIND({" ";"g";"k";"m";"o"},E2624&amp;" gkmo")),10)),"unknown")</f>
        <v/>
      </c>
      <c r="K2624" s="6" t="str">
        <f t="shared" si="160"/>
        <v>unknown</v>
      </c>
      <c r="L2624" s="6" t="str">
        <f t="shared" si="161"/>
        <v>Tesco</v>
      </c>
      <c r="M2624" s="6" t="str">
        <f t="shared" si="162"/>
        <v>Mini Breadsticks</v>
      </c>
      <c r="N2624" s="6" t="str">
        <f t="shared" si="163"/>
        <v>United Kingdom</v>
      </c>
    </row>
    <row r="2625" spans="1:14" x14ac:dyDescent="0.25">
      <c r="A2625" s="6" t="s">
        <v>6227</v>
      </c>
      <c r="B2625" s="6">
        <v>14652</v>
      </c>
      <c r="C2625" s="6" t="s">
        <v>6228</v>
      </c>
      <c r="D2625" s="7" t="s">
        <v>6229</v>
      </c>
      <c r="E2625" s="6" t="s">
        <v>6230</v>
      </c>
      <c r="F2625" s="6" t="s">
        <v>8280</v>
      </c>
      <c r="G2625" s="8">
        <v>45920</v>
      </c>
      <c r="H2625" s="6">
        <v>2.57</v>
      </c>
      <c r="I2625" s="6" cm="1">
        <f t="array" ref="I2625">IFERROR(VALUE(TRIM(LEFT(E2625,MIN(FIND({" ";"g";"k";"m";"o"},E2625&amp;" gkmo"))-1))),0)</f>
        <v>128</v>
      </c>
      <c r="J2625" s="6" t="str" cm="1">
        <f t="array" ref="J2625">IFERROR(TRIM(MID(E2625,MIN(FIND({" ";"g";"k";"m";"o"},E2625&amp;" gkmo")),10)),"unknown")</f>
        <v>g (4 x 32</v>
      </c>
      <c r="K2625" s="6" t="str">
        <f t="shared" si="160"/>
        <v>g</v>
      </c>
      <c r="L2625" s="6" t="str">
        <f t="shared" si="161"/>
        <v>Carrefour, Carrefourcarrefour Sensation</v>
      </c>
      <c r="M2625" s="6" t="str">
        <f t="shared" si="162"/>
        <v>Barre Protein Graines &amp; Fruits Rouges</v>
      </c>
      <c r="N2625" s="6" t="str">
        <f t="shared" si="163"/>
        <v>France,Italie,Spain</v>
      </c>
    </row>
    <row r="2626" spans="1:14" x14ac:dyDescent="0.25">
      <c r="A2626" s="6" t="s">
        <v>6231</v>
      </c>
      <c r="B2626" s="6">
        <v>9260</v>
      </c>
      <c r="C2626" s="6" t="s">
        <v>6232</v>
      </c>
      <c r="D2626" s="7" t="s">
        <v>1172</v>
      </c>
      <c r="E2626" s="6" t="s">
        <v>14</v>
      </c>
      <c r="F2626" s="6" t="s">
        <v>8171</v>
      </c>
      <c r="G2626" s="8">
        <v>45659</v>
      </c>
      <c r="H2626" s="6">
        <v>17.46</v>
      </c>
      <c r="I2626" s="6" cm="1">
        <f t="array" ref="I2626">IFERROR(VALUE(TRIM(LEFT(E2626,MIN(FIND({" ";"g";"k";"m";"o"},E2626&amp;" gkmo"))-1))),0)</f>
        <v>300</v>
      </c>
      <c r="J2626" s="6" t="str" cm="1">
        <f t="array" ref="J2626">IFERROR(TRIM(MID(E2626,MIN(FIND({" ";"g";"k";"m";"o"},E2626&amp;" gkmo")),10)),"unknown")</f>
        <v>g</v>
      </c>
      <c r="K2626" s="6" t="str">
        <f t="shared" ref="K2626:K2689" si="164">IF(E2626="","unknown",IF(OR(J2626="g",LEFT(J2626,1)="g"),"g",IF(OR(LEFT(J2626,2)="kg",LEFT(J2626,2)="ki"),"kg",IF(OR(LEFT(J2626,2)="ml",LEFT(J2626,1)="m"),"ml",IF(LEFT(J2626,1)="l","l",IF(ISNUMBER(SEARCH("g",E2626)),"g",IF(ISNUMBER(SEARCH("kg",E2626)),"kg",IF(ISNUMBER(SEARCH("ml",E2626)),"ml","unknown"))))))))</f>
        <v>g</v>
      </c>
      <c r="L2626" s="6" t="str">
        <f t="shared" ref="L2626:L2689" si="165">IF(D2626="","Unknown",PROPER(TRIM(D2626)))</f>
        <v>Barilla, Mulino Bianco</v>
      </c>
      <c r="M2626" s="6" t="str">
        <f t="shared" ref="M2626:M2689" si="166">IF(C2626="Unknown","Unknown",PROPER(TRIM(C2626)))</f>
        <v>Settembrini Mb 300G</v>
      </c>
      <c r="N2626" s="6" t="str">
        <f t="shared" si="163"/>
        <v>Italy, France</v>
      </c>
    </row>
    <row r="2627" spans="1:14" x14ac:dyDescent="0.25">
      <c r="A2627" s="6" t="s">
        <v>6233</v>
      </c>
      <c r="B2627" s="6">
        <v>11975</v>
      </c>
      <c r="C2627" s="6" t="s">
        <v>665</v>
      </c>
      <c r="D2627" s="7" t="s">
        <v>7017</v>
      </c>
      <c r="E2627" s="6"/>
      <c r="F2627" s="6" t="s">
        <v>860</v>
      </c>
      <c r="G2627" s="8">
        <v>45368</v>
      </c>
      <c r="H2627" s="6">
        <v>13.34</v>
      </c>
      <c r="I2627" s="6" cm="1">
        <f t="array" ref="I2627">IFERROR(VALUE(TRIM(LEFT(E2627,MIN(FIND({" ";"g";"k";"m";"o"},E2627&amp;" gkmo"))-1))),0)</f>
        <v>0</v>
      </c>
      <c r="J2627" s="6" t="str" cm="1">
        <f t="array" ref="J2627">IFERROR(TRIM(MID(E2627,MIN(FIND({" ";"g";"k";"m";"o"},E2627&amp;" gkmo")),10)),"unknown")</f>
        <v/>
      </c>
      <c r="K2627" s="6" t="str">
        <f t="shared" si="164"/>
        <v>unknown</v>
      </c>
      <c r="L2627" s="6" t="str">
        <f t="shared" si="165"/>
        <v>Unknown</v>
      </c>
      <c r="M2627" s="6" t="str">
        <f t="shared" si="166"/>
        <v>Flash</v>
      </c>
      <c r="N2627" s="6" t="str">
        <f t="shared" ref="N2627:N2690" si="167">IF(F2627="","Unknown",PROPER(TRIM(F2627)))</f>
        <v>Ma</v>
      </c>
    </row>
    <row r="2628" spans="1:14" x14ac:dyDescent="0.25">
      <c r="A2628" s="6" t="s">
        <v>6234</v>
      </c>
      <c r="B2628" s="6">
        <v>11334</v>
      </c>
      <c r="C2628" s="6" t="s">
        <v>6235</v>
      </c>
      <c r="D2628" s="7" t="s">
        <v>7017</v>
      </c>
      <c r="E2628" s="6"/>
      <c r="F2628" s="6" t="s">
        <v>8283</v>
      </c>
      <c r="G2628" s="8">
        <v>45989</v>
      </c>
      <c r="H2628" s="6">
        <v>11.29</v>
      </c>
      <c r="I2628" s="6" cm="1">
        <f t="array" ref="I2628">IFERROR(VALUE(TRIM(LEFT(E2628,MIN(FIND({" ";"g";"k";"m";"o"},E2628&amp;" gkmo"))-1))),0)</f>
        <v>0</v>
      </c>
      <c r="J2628" s="6" t="str" cm="1">
        <f t="array" ref="J2628">IFERROR(TRIM(MID(E2628,MIN(FIND({" ";"g";"k";"m";"o"},E2628&amp;" gkmo")),10)),"unknown")</f>
        <v/>
      </c>
      <c r="K2628" s="6" t="str">
        <f t="shared" si="164"/>
        <v>unknown</v>
      </c>
      <c r="L2628" s="6" t="str">
        <f t="shared" si="165"/>
        <v>Unknown</v>
      </c>
      <c r="M2628" s="6" t="str">
        <f t="shared" si="166"/>
        <v>Noir</v>
      </c>
      <c r="N2628" s="6" t="str">
        <f t="shared" si="167"/>
        <v>France, Italie, Spain</v>
      </c>
    </row>
    <row r="2629" spans="1:14" x14ac:dyDescent="0.25">
      <c r="A2629" s="6" t="s">
        <v>6236</v>
      </c>
      <c r="B2629" s="6">
        <v>14627</v>
      </c>
      <c r="C2629" s="6" t="s">
        <v>6237</v>
      </c>
      <c r="D2629" s="7" t="s">
        <v>6238</v>
      </c>
      <c r="E2629" s="6" t="s">
        <v>569</v>
      </c>
      <c r="F2629" s="6" t="s">
        <v>8248</v>
      </c>
      <c r="G2629" s="8">
        <v>45983</v>
      </c>
      <c r="H2629" s="6">
        <v>4.45</v>
      </c>
      <c r="I2629" s="6" cm="1">
        <f t="array" ref="I2629">IFERROR(VALUE(TRIM(LEFT(E2629,MIN(FIND({" ";"g";"k";"m";"o"},E2629&amp;" gkmo"))-1))),0)</f>
        <v>128</v>
      </c>
      <c r="J2629" s="6" t="str" cm="1">
        <f t="array" ref="J2629">IFERROR(TRIM(MID(E2629,MIN(FIND({" ";"g";"k";"m";"o"},E2629&amp;" gkmo")),10)),"unknown")</f>
        <v>g</v>
      </c>
      <c r="K2629" s="6" t="str">
        <f t="shared" si="164"/>
        <v>g</v>
      </c>
      <c r="L2629" s="6" t="str">
        <f t="shared" si="165"/>
        <v>Artiach,Filipinos</v>
      </c>
      <c r="M2629" s="6" t="str">
        <f t="shared" si="166"/>
        <v>Filipinos Chocolate Blanco</v>
      </c>
      <c r="N2629" s="6" t="str">
        <f t="shared" si="167"/>
        <v>Finlandia,France,Marruecos,Espaà±A</v>
      </c>
    </row>
    <row r="2630" spans="1:14" x14ac:dyDescent="0.25">
      <c r="A2630" s="6" t="s">
        <v>6239</v>
      </c>
      <c r="B2630" s="6">
        <v>11014</v>
      </c>
      <c r="C2630" s="6" t="s">
        <v>6240</v>
      </c>
      <c r="D2630" s="7" t="s">
        <v>1167</v>
      </c>
      <c r="E2630" s="6" t="s">
        <v>614</v>
      </c>
      <c r="F2630" s="6" t="s">
        <v>8172</v>
      </c>
      <c r="G2630" s="8">
        <v>45995</v>
      </c>
      <c r="H2630" s="6">
        <v>13.31</v>
      </c>
      <c r="I2630" s="6" cm="1">
        <f t="array" ref="I2630">IFERROR(VALUE(TRIM(LEFT(E2630,MIN(FIND({" ";"g";"k";"m";"o"},E2630&amp;" gkmo"))-1))),0)</f>
        <v>45</v>
      </c>
      <c r="J2630" s="6" t="str" cm="1">
        <f t="array" ref="J2630">IFERROR(TRIM(MID(E2630,MIN(FIND({" ";"g";"k";"m";"o"},E2630&amp;" gkmo")),10)),"unknown")</f>
        <v>g</v>
      </c>
      <c r="K2630" s="6" t="str">
        <f t="shared" si="164"/>
        <v>g</v>
      </c>
      <c r="L2630" s="6" t="str">
        <f t="shared" si="165"/>
        <v>Lidl</v>
      </c>
      <c r="M2630" s="6" t="str">
        <f t="shared" si="166"/>
        <v>High Protein Cookie</v>
      </c>
      <c r="N2630" s="6" t="str">
        <f t="shared" si="167"/>
        <v>France, Switzerland, Italy</v>
      </c>
    </row>
    <row r="2631" spans="1:14" x14ac:dyDescent="0.25">
      <c r="A2631" s="6" t="s">
        <v>6241</v>
      </c>
      <c r="B2631" s="6">
        <v>13573</v>
      </c>
      <c r="C2631" s="6" t="s">
        <v>6242</v>
      </c>
      <c r="D2631" s="7" t="s">
        <v>1689</v>
      </c>
      <c r="E2631" s="6"/>
      <c r="F2631" s="6" t="s">
        <v>5759</v>
      </c>
      <c r="G2631" s="8">
        <v>45644</v>
      </c>
      <c r="H2631" s="6">
        <v>4.38</v>
      </c>
      <c r="I2631" s="6" cm="1">
        <f t="array" ref="I2631">IFERROR(VALUE(TRIM(LEFT(E2631,MIN(FIND({" ";"g";"k";"m";"o"},E2631&amp;" gkmo"))-1))),0)</f>
        <v>0</v>
      </c>
      <c r="J2631" s="6" t="str" cm="1">
        <f t="array" ref="J2631">IFERROR(TRIM(MID(E2631,MIN(FIND({" ";"g";"k";"m";"o"},E2631&amp;" gkmo")),10)),"unknown")</f>
        <v/>
      </c>
      <c r="K2631" s="6" t="str">
        <f t="shared" si="164"/>
        <v>unknown</v>
      </c>
      <c r="L2631" s="6" t="str">
        <f t="shared" si="165"/>
        <v>Le Ster</v>
      </c>
      <c r="M2631" s="6" t="str">
        <f t="shared" si="166"/>
        <v>Madeleines Vanille Sorties Du Four</v>
      </c>
      <c r="N2631" s="6" t="str">
        <f t="shared" si="167"/>
        <v>Fr</v>
      </c>
    </row>
    <row r="2632" spans="1:14" x14ac:dyDescent="0.25">
      <c r="A2632" s="6" t="s">
        <v>6243</v>
      </c>
      <c r="B2632" s="6">
        <v>8813</v>
      </c>
      <c r="C2632" s="6" t="s">
        <v>6244</v>
      </c>
      <c r="D2632" s="7" t="s">
        <v>652</v>
      </c>
      <c r="E2632" s="6" t="s">
        <v>6245</v>
      </c>
      <c r="F2632" s="6" t="s">
        <v>139</v>
      </c>
      <c r="G2632" s="8">
        <v>45549</v>
      </c>
      <c r="H2632" s="6">
        <v>16.760000000000002</v>
      </c>
      <c r="I2632" s="6" cm="1">
        <f t="array" ref="I2632">IFERROR(VALUE(TRIM(LEFT(E2632,MIN(FIND({" ";"g";"k";"m";"o"},E2632&amp;" gkmo"))-1))),0)</f>
        <v>7</v>
      </c>
      <c r="J2632" s="6" t="str" cm="1">
        <f t="array" ref="J2632">IFERROR(TRIM(MID(E2632,MIN(FIND({" ";"g";"k";"m";"o"},E2632&amp;" gkmo")),10)),"unknown")</f>
        <v>x 30 g</v>
      </c>
      <c r="K2632" s="6" t="str">
        <f t="shared" si="164"/>
        <v>g</v>
      </c>
      <c r="L2632" s="6" t="str">
        <f t="shared" si="165"/>
        <v>Brossard</v>
      </c>
      <c r="M2632" s="6" t="str">
        <f t="shared" si="166"/>
        <v>Savane Max De Sensations</v>
      </c>
      <c r="N2632" s="6" t="str">
        <f t="shared" si="167"/>
        <v>France</v>
      </c>
    </row>
    <row r="2633" spans="1:14" x14ac:dyDescent="0.25">
      <c r="A2633" s="6" t="s">
        <v>6246</v>
      </c>
      <c r="B2633" s="6">
        <v>5262</v>
      </c>
      <c r="C2633" s="6" t="s">
        <v>2772</v>
      </c>
      <c r="D2633" s="7" t="s">
        <v>6247</v>
      </c>
      <c r="E2633" s="6" t="s">
        <v>151</v>
      </c>
      <c r="F2633" s="6" t="s">
        <v>139</v>
      </c>
      <c r="G2633" s="8">
        <v>45383</v>
      </c>
      <c r="H2633" s="6">
        <v>10.19</v>
      </c>
      <c r="I2633" s="6" cm="1">
        <f t="array" ref="I2633">IFERROR(VALUE(TRIM(LEFT(E2633,MIN(FIND({" ";"g";"k";"m";"o"},E2633&amp;" gkmo"))-1))),0)</f>
        <v>200</v>
      </c>
      <c r="J2633" s="6" t="str" cm="1">
        <f t="array" ref="J2633">IFERROR(TRIM(MID(E2633,MIN(FIND({" ";"g";"k";"m";"o"},E2633&amp;" gkmo")),10)),"unknown")</f>
        <v>g</v>
      </c>
      <c r="K2633" s="6" t="str">
        <f t="shared" si="164"/>
        <v>g</v>
      </c>
      <c r="L2633" s="6" t="str">
        <f t="shared" si="165"/>
        <v>Ritz Crackers</v>
      </c>
      <c r="M2633" s="6" t="str">
        <f t="shared" si="166"/>
        <v>Crackers</v>
      </c>
      <c r="N2633" s="6" t="str">
        <f t="shared" si="167"/>
        <v>France</v>
      </c>
    </row>
    <row r="2634" spans="1:14" x14ac:dyDescent="0.25">
      <c r="A2634" s="6" t="s">
        <v>6248</v>
      </c>
      <c r="B2634" s="6">
        <v>5259</v>
      </c>
      <c r="C2634" s="6" t="s">
        <v>6249</v>
      </c>
      <c r="D2634" s="7" t="s">
        <v>6250</v>
      </c>
      <c r="E2634" s="6" t="s">
        <v>151</v>
      </c>
      <c r="F2634" s="6" t="s">
        <v>8173</v>
      </c>
      <c r="G2634" s="8">
        <v>45756</v>
      </c>
      <c r="H2634" s="6">
        <v>13.16</v>
      </c>
      <c r="I2634" s="6" cm="1">
        <f t="array" ref="I2634">IFERROR(VALUE(TRIM(LEFT(E2634,MIN(FIND({" ";"g";"k";"m";"o"},E2634&amp;" gkmo"))-1))),0)</f>
        <v>200</v>
      </c>
      <c r="J2634" s="6" t="str" cm="1">
        <f t="array" ref="J2634">IFERROR(TRIM(MID(E2634,MIN(FIND({" ";"g";"k";"m";"o"},E2634&amp;" gkmo")),10)),"unknown")</f>
        <v>g</v>
      </c>
      <c r="K2634" s="6" t="str">
        <f t="shared" si="164"/>
        <v>g</v>
      </c>
      <c r="L2634" s="6" t="str">
        <f t="shared" si="165"/>
        <v>Bahlsen, Leibniz</v>
      </c>
      <c r="M2634" s="6" t="str">
        <f t="shared" si="166"/>
        <v>Leibniz Butterkeks - Kakao</v>
      </c>
      <c r="N2634" s="6" t="str">
        <f t="shared" si="167"/>
        <v>Germany, Romania</v>
      </c>
    </row>
    <row r="2635" spans="1:14" x14ac:dyDescent="0.25">
      <c r="A2635" s="6" t="s">
        <v>6251</v>
      </c>
      <c r="B2635" s="6">
        <v>14252</v>
      </c>
      <c r="C2635" s="6" t="s">
        <v>3354</v>
      </c>
      <c r="D2635" s="7" t="s">
        <v>6252</v>
      </c>
      <c r="E2635" s="6" t="s">
        <v>10</v>
      </c>
      <c r="F2635" s="6" t="s">
        <v>553</v>
      </c>
      <c r="G2635" s="8">
        <v>45940</v>
      </c>
      <c r="H2635" s="6">
        <v>20.97</v>
      </c>
      <c r="I2635" s="6" cm="1">
        <f t="array" ref="I2635">IFERROR(VALUE(TRIM(LEFT(E2635,MIN(FIND({" ";"g";"k";"m";"o"},E2635&amp;" gkmo"))-1))),0)</f>
        <v>100</v>
      </c>
      <c r="J2635" s="6" t="str" cm="1">
        <f t="array" ref="J2635">IFERROR(TRIM(MID(E2635,MIN(FIND({" ";"g";"k";"m";"o"},E2635&amp;" gkmo")),10)),"unknown")</f>
        <v>g</v>
      </c>
      <c r="K2635" s="6" t="str">
        <f t="shared" si="164"/>
        <v>g</v>
      </c>
      <c r="L2635" s="6" t="str">
        <f t="shared" si="165"/>
        <v>Asia Specialities</v>
      </c>
      <c r="M2635" s="6" t="str">
        <f t="shared" si="166"/>
        <v>Lightly Salted Rice Crackers</v>
      </c>
      <c r="N2635" s="6" t="str">
        <f t="shared" si="167"/>
        <v>United Kingdom,Ireland</v>
      </c>
    </row>
    <row r="2636" spans="1:14" x14ac:dyDescent="0.25">
      <c r="A2636" s="6" t="s">
        <v>6253</v>
      </c>
      <c r="B2636" s="6">
        <v>11327</v>
      </c>
      <c r="C2636" s="6" t="s">
        <v>6254</v>
      </c>
      <c r="D2636" s="7" t="s">
        <v>7017</v>
      </c>
      <c r="E2636" s="6"/>
      <c r="F2636" s="6" t="s">
        <v>7949</v>
      </c>
      <c r="G2636" s="8">
        <v>45665</v>
      </c>
      <c r="H2636" s="6">
        <v>4.08</v>
      </c>
      <c r="I2636" s="6" cm="1">
        <f t="array" ref="I2636">IFERROR(VALUE(TRIM(LEFT(E2636,MIN(FIND({" ";"g";"k";"m";"o"},E2636&amp;" gkmo"))-1))),0)</f>
        <v>0</v>
      </c>
      <c r="J2636" s="6" t="str" cm="1">
        <f t="array" ref="J2636">IFERROR(TRIM(MID(E2636,MIN(FIND({" ";"g";"k";"m";"o"},E2636&amp;" gkmo")),10)),"unknown")</f>
        <v/>
      </c>
      <c r="K2636" s="6" t="str">
        <f t="shared" si="164"/>
        <v>unknown</v>
      </c>
      <c r="L2636" s="6" t="str">
        <f t="shared" si="165"/>
        <v>Unknown</v>
      </c>
      <c r="M2636" s="6" t="str">
        <f t="shared" si="166"/>
        <v>Fornula</v>
      </c>
      <c r="N2636" s="6" t="str">
        <f t="shared" si="167"/>
        <v>Morocco</v>
      </c>
    </row>
    <row r="2637" spans="1:14" x14ac:dyDescent="0.25">
      <c r="A2637" s="6" t="s">
        <v>6255</v>
      </c>
      <c r="B2637" s="6">
        <v>11290</v>
      </c>
      <c r="C2637" s="6" t="s">
        <v>6256</v>
      </c>
      <c r="D2637" s="7" t="s">
        <v>514</v>
      </c>
      <c r="E2637" s="6" t="s">
        <v>123</v>
      </c>
      <c r="F2637" s="6" t="s">
        <v>2973</v>
      </c>
      <c r="G2637" s="8">
        <v>45647</v>
      </c>
      <c r="H2637" s="6">
        <v>6.79</v>
      </c>
      <c r="I2637" s="6" cm="1">
        <f t="array" ref="I2637">IFERROR(VALUE(TRIM(LEFT(E2637,MIN(FIND({" ";"g";"k";"m";"o"},E2637&amp;" gkmo"))-1))),0)</f>
        <v>50</v>
      </c>
      <c r="J2637" s="6" t="str" cm="1">
        <f t="array" ref="J2637">IFERROR(TRIM(MID(E2637,MIN(FIND({" ";"g";"k";"m";"o"},E2637&amp;" gkmo")),10)),"unknown")</f>
        <v>g</v>
      </c>
      <c r="K2637" s="6" t="str">
        <f t="shared" si="164"/>
        <v>g</v>
      </c>
      <c r="L2637" s="6" t="str">
        <f t="shared" si="165"/>
        <v>Deliciously Ella</v>
      </c>
      <c r="M2637" s="6" t="str">
        <f t="shared" si="166"/>
        <v>Hazelnut, Pecan &amp; Maple Oat Bar</v>
      </c>
      <c r="N2637" s="6" t="str">
        <f t="shared" si="167"/>
        <v>Gb</v>
      </c>
    </row>
    <row r="2638" spans="1:14" x14ac:dyDescent="0.25">
      <c r="A2638" s="6" t="s">
        <v>6257</v>
      </c>
      <c r="B2638" s="6">
        <v>5548</v>
      </c>
      <c r="C2638" s="6" t="s">
        <v>6258</v>
      </c>
      <c r="D2638" s="7" t="s">
        <v>150</v>
      </c>
      <c r="E2638" s="6" t="s">
        <v>39</v>
      </c>
      <c r="F2638" s="6" t="s">
        <v>2973</v>
      </c>
      <c r="G2638" s="8">
        <v>45921</v>
      </c>
      <c r="H2638" s="6">
        <v>16.600000000000001</v>
      </c>
      <c r="I2638" s="6" cm="1">
        <f t="array" ref="I2638">IFERROR(VALUE(TRIM(LEFT(E2638,MIN(FIND({" ";"g";"k";"m";"o"},E2638&amp;" gkmo"))-1))),0)</f>
        <v>150</v>
      </c>
      <c r="J2638" s="6" t="str" cm="1">
        <f t="array" ref="J2638">IFERROR(TRIM(MID(E2638,MIN(FIND({" ";"g";"k";"m";"o"},E2638&amp;" gkmo")),10)),"unknown")</f>
        <v>g</v>
      </c>
      <c r="K2638" s="6" t="str">
        <f t="shared" si="164"/>
        <v>g</v>
      </c>
      <c r="L2638" s="6" t="str">
        <f t="shared" si="165"/>
        <v>Alesto</v>
      </c>
      <c r="M2638" s="6" t="str">
        <f t="shared" si="166"/>
        <v>Salt And Peppers Cashews</v>
      </c>
      <c r="N2638" s="6" t="str">
        <f t="shared" si="167"/>
        <v>Gb</v>
      </c>
    </row>
    <row r="2639" spans="1:14" x14ac:dyDescent="0.25">
      <c r="A2639" s="6" t="s">
        <v>6259</v>
      </c>
      <c r="B2639" s="6">
        <v>9034</v>
      </c>
      <c r="C2639" s="6" t="s">
        <v>7017</v>
      </c>
      <c r="D2639" s="7" t="s">
        <v>7033</v>
      </c>
      <c r="E2639" s="6" t="s">
        <v>352</v>
      </c>
      <c r="F2639" s="6" t="s">
        <v>139</v>
      </c>
      <c r="G2639" s="8">
        <v>45972</v>
      </c>
      <c r="H2639" s="6">
        <v>13.16</v>
      </c>
      <c r="I2639" s="6" cm="1">
        <f t="array" ref="I2639">IFERROR(VALUE(TRIM(LEFT(E2639,MIN(FIND({" ";"g";"k";"m";"o"},E2639&amp;" gkmo"))-1))),0)</f>
        <v>170</v>
      </c>
      <c r="J2639" s="6" t="str" cm="1">
        <f t="array" ref="J2639">IFERROR(TRIM(MID(E2639,MIN(FIND({" ";"g";"k";"m";"o"},E2639&amp;" gkmo")),10)),"unknown")</f>
        <v>g</v>
      </c>
      <c r="K2639" s="6" t="str">
        <f t="shared" si="164"/>
        <v>g</v>
      </c>
      <c r="L2639" s="6" t="str">
        <f t="shared" si="165"/>
        <v>Nestlé</v>
      </c>
      <c r="M2639" s="6" t="str">
        <f t="shared" si="166"/>
        <v>Unknown</v>
      </c>
      <c r="N2639" s="6" t="str">
        <f t="shared" si="167"/>
        <v>France</v>
      </c>
    </row>
    <row r="2640" spans="1:14" x14ac:dyDescent="0.25">
      <c r="A2640" s="6" t="s">
        <v>6260</v>
      </c>
      <c r="B2640" s="6">
        <v>12478</v>
      </c>
      <c r="C2640" s="6" t="s">
        <v>3699</v>
      </c>
      <c r="D2640" s="7" t="s">
        <v>6261</v>
      </c>
      <c r="E2640" s="6" t="s">
        <v>1675</v>
      </c>
      <c r="F2640" s="6" t="s">
        <v>139</v>
      </c>
      <c r="G2640" s="8">
        <v>45881</v>
      </c>
      <c r="H2640" s="6">
        <v>2.16</v>
      </c>
      <c r="I2640" s="6" cm="1">
        <f t="array" ref="I2640">IFERROR(VALUE(TRIM(LEFT(E2640,MIN(FIND({" ";"g";"k";"m";"o"},E2640&amp;" gkmo"))-1))),0)</f>
        <v>600</v>
      </c>
      <c r="J2640" s="6" t="str" cm="1">
        <f t="array" ref="J2640">IFERROR(TRIM(MID(E2640,MIN(FIND({" ";"g";"k";"m";"o"},E2640&amp;" gkmo")),10)),"unknown")</f>
        <v>g</v>
      </c>
      <c r="K2640" s="6" t="str">
        <f t="shared" si="164"/>
        <v>g</v>
      </c>
      <c r="L2640" s="6" t="str">
        <f t="shared" si="165"/>
        <v>M&amp;M'S,Mars Inc</v>
      </c>
      <c r="M2640" s="6" t="str">
        <f t="shared" si="166"/>
        <v>M&amp;M'S</v>
      </c>
      <c r="N2640" s="6" t="str">
        <f t="shared" si="167"/>
        <v>France</v>
      </c>
    </row>
    <row r="2641" spans="1:14" x14ac:dyDescent="0.25">
      <c r="A2641" s="6" t="s">
        <v>6262</v>
      </c>
      <c r="B2641" s="6">
        <v>9141</v>
      </c>
      <c r="C2641" s="6" t="s">
        <v>6263</v>
      </c>
      <c r="D2641" s="7" t="s">
        <v>60</v>
      </c>
      <c r="E2641" s="6" t="s">
        <v>14</v>
      </c>
      <c r="F2641" s="6" t="s">
        <v>139</v>
      </c>
      <c r="G2641" s="8">
        <v>45570</v>
      </c>
      <c r="H2641" s="6">
        <v>13.09</v>
      </c>
      <c r="I2641" s="6" cm="1">
        <f t="array" ref="I2641">IFERROR(VALUE(TRIM(LEFT(E2641,MIN(FIND({" ";"g";"k";"m";"o"},E2641&amp;" gkmo"))-1))),0)</f>
        <v>300</v>
      </c>
      <c r="J2641" s="6" t="str" cm="1">
        <f t="array" ref="J2641">IFERROR(TRIM(MID(E2641,MIN(FIND({" ";"g";"k";"m";"o"},E2641&amp;" gkmo")),10)),"unknown")</f>
        <v>g</v>
      </c>
      <c r="K2641" s="6" t="str">
        <f t="shared" si="164"/>
        <v>g</v>
      </c>
      <c r="L2641" s="6" t="str">
        <f t="shared" si="165"/>
        <v>Lindt</v>
      </c>
      <c r="M2641" s="6" t="str">
        <f t="shared" si="166"/>
        <v>3X100G Maitre Chocolatier Lait</v>
      </c>
      <c r="N2641" s="6" t="str">
        <f t="shared" si="167"/>
        <v>France</v>
      </c>
    </row>
    <row r="2642" spans="1:14" x14ac:dyDescent="0.25">
      <c r="A2642" s="6" t="s">
        <v>6264</v>
      </c>
      <c r="B2642" s="6">
        <v>6608</v>
      </c>
      <c r="C2642" s="6" t="s">
        <v>7864</v>
      </c>
      <c r="D2642" s="7" t="s">
        <v>6265</v>
      </c>
      <c r="E2642" s="6" t="s">
        <v>373</v>
      </c>
      <c r="F2642" s="6" t="s">
        <v>139</v>
      </c>
      <c r="G2642" s="8">
        <v>45961</v>
      </c>
      <c r="H2642" s="6">
        <v>11.69</v>
      </c>
      <c r="I2642" s="6" cm="1">
        <f t="array" ref="I2642">IFERROR(VALUE(TRIM(LEFT(E2642,MIN(FIND({" ";"g";"k";"m";"o"},E2642&amp;" gkmo"))-1))),0)</f>
        <v>260</v>
      </c>
      <c r="J2642" s="6" t="str" cm="1">
        <f t="array" ref="J2642">IFERROR(TRIM(MID(E2642,MIN(FIND({" ";"g";"k";"m";"o"},E2642&amp;" gkmo")),10)),"unknown")</f>
        <v>g</v>
      </c>
      <c r="K2642" s="6" t="str">
        <f t="shared" si="164"/>
        <v>g</v>
      </c>
      <c r="L2642" s="6" t="str">
        <f t="shared" si="165"/>
        <v>Choco Moment</v>
      </c>
      <c r="M2642" s="6" t="str">
        <f t="shared" si="166"/>
        <v>Vollmilchschokolade Erdnà¼Sse</v>
      </c>
      <c r="N2642" s="6" t="str">
        <f t="shared" si="167"/>
        <v>France</v>
      </c>
    </row>
    <row r="2643" spans="1:14" x14ac:dyDescent="0.25">
      <c r="A2643" s="6" t="s">
        <v>6266</v>
      </c>
      <c r="B2643" s="6">
        <v>12567</v>
      </c>
      <c r="C2643" s="6" t="s">
        <v>7392</v>
      </c>
      <c r="D2643" s="7" t="s">
        <v>6267</v>
      </c>
      <c r="E2643" s="6"/>
      <c r="F2643" s="6" t="s">
        <v>8037</v>
      </c>
      <c r="G2643" s="8">
        <v>45779</v>
      </c>
      <c r="H2643" s="6">
        <v>15.1</v>
      </c>
      <c r="I2643" s="6" cm="1">
        <f t="array" ref="I2643">IFERROR(VALUE(TRIM(LEFT(E2643,MIN(FIND({" ";"g";"k";"m";"o"},E2643&amp;" gkmo"))-1))),0)</f>
        <v>0</v>
      </c>
      <c r="J2643" s="6" t="str" cm="1">
        <f t="array" ref="J2643">IFERROR(TRIM(MID(E2643,MIN(FIND({" ";"g";"k";"m";"o"},E2643&amp;" gkmo")),10)),"unknown")</f>
        <v/>
      </c>
      <c r="K2643" s="6" t="str">
        <f t="shared" si="164"/>
        <v>unknown</v>
      </c>
      <c r="L2643" s="6" t="str">
        <f t="shared" si="165"/>
        <v>Lidl, Mister Choc</v>
      </c>
      <c r="M2643" s="6" t="str">
        <f t="shared" si="166"/>
        <v>Barre Lait Et Céréales</v>
      </c>
      <c r="N2643" s="6" t="str">
        <f t="shared" si="167"/>
        <v>Germany, France</v>
      </c>
    </row>
    <row r="2644" spans="1:14" x14ac:dyDescent="0.25">
      <c r="A2644" s="6" t="s">
        <v>6268</v>
      </c>
      <c r="B2644" s="6">
        <v>7275</v>
      </c>
      <c r="C2644" s="6" t="s">
        <v>7393</v>
      </c>
      <c r="D2644" s="7" t="s">
        <v>1551</v>
      </c>
      <c r="E2644" s="6" t="s">
        <v>14</v>
      </c>
      <c r="F2644" s="6" t="s">
        <v>139</v>
      </c>
      <c r="G2644" s="8">
        <v>45712</v>
      </c>
      <c r="H2644" s="6">
        <v>8.3800000000000008</v>
      </c>
      <c r="I2644" s="6" cm="1">
        <f t="array" ref="I2644">IFERROR(VALUE(TRIM(LEFT(E2644,MIN(FIND({" ";"g";"k";"m";"o"},E2644&amp;" gkmo"))-1))),0)</f>
        <v>300</v>
      </c>
      <c r="J2644" s="6" t="str" cm="1">
        <f t="array" ref="J2644">IFERROR(TRIM(MID(E2644,MIN(FIND({" ";"g";"k";"m";"o"},E2644&amp;" gkmo")),10)),"unknown")</f>
        <v>g</v>
      </c>
      <c r="K2644" s="6" t="str">
        <f t="shared" si="164"/>
        <v>g</v>
      </c>
      <c r="L2644" s="6" t="str">
        <f t="shared" si="165"/>
        <v>Biocoop</v>
      </c>
      <c r="M2644" s="6" t="str">
        <f t="shared" si="166"/>
        <v>Fourrés Cacao</v>
      </c>
      <c r="N2644" s="6" t="str">
        <f t="shared" si="167"/>
        <v>France</v>
      </c>
    </row>
    <row r="2645" spans="1:14" x14ac:dyDescent="0.25">
      <c r="A2645" s="6" t="s">
        <v>6269</v>
      </c>
      <c r="B2645" s="6">
        <v>6610</v>
      </c>
      <c r="C2645" s="6" t="s">
        <v>6270</v>
      </c>
      <c r="D2645" s="7" t="s">
        <v>1430</v>
      </c>
      <c r="E2645" s="6" t="s">
        <v>276</v>
      </c>
      <c r="F2645" s="6" t="s">
        <v>177</v>
      </c>
      <c r="G2645" s="8">
        <v>45689</v>
      </c>
      <c r="H2645" s="6">
        <v>18.690000000000001</v>
      </c>
      <c r="I2645" s="6" cm="1">
        <f t="array" ref="I2645">IFERROR(VALUE(TRIM(LEFT(E2645,MIN(FIND({" ";"g";"k";"m";"o"},E2645&amp;" gkmo"))-1))),0)</f>
        <v>40</v>
      </c>
      <c r="J2645" s="6" t="str" cm="1">
        <f t="array" ref="J2645">IFERROR(TRIM(MID(E2645,MIN(FIND({" ";"g";"k";"m";"o"},E2645&amp;" gkmo")),10)),"unknown")</f>
        <v>g</v>
      </c>
      <c r="K2645" s="6" t="str">
        <f t="shared" si="164"/>
        <v>g</v>
      </c>
      <c r="L2645" s="6" t="str">
        <f t="shared" si="165"/>
        <v>Deliciously Ella</v>
      </c>
      <c r="M2645" s="6" t="str">
        <f t="shared" si="166"/>
        <v>Roasted Almond Trail Mix Bar</v>
      </c>
      <c r="N2645" s="6" t="str">
        <f t="shared" si="167"/>
        <v>United Kingdom</v>
      </c>
    </row>
    <row r="2646" spans="1:14" x14ac:dyDescent="0.25">
      <c r="A2646" s="6" t="s">
        <v>6271</v>
      </c>
      <c r="B2646" s="6">
        <v>6942</v>
      </c>
      <c r="C2646" s="6" t="s">
        <v>6272</v>
      </c>
      <c r="D2646" s="7" t="s">
        <v>135</v>
      </c>
      <c r="E2646" s="6" t="s">
        <v>6273</v>
      </c>
      <c r="F2646" s="6" t="s">
        <v>139</v>
      </c>
      <c r="G2646" s="8">
        <v>46018</v>
      </c>
      <c r="H2646" s="6">
        <v>12.97</v>
      </c>
      <c r="I2646" s="6" cm="1">
        <f t="array" ref="I2646">IFERROR(VALUE(TRIM(LEFT(E2646,MIN(FIND({" ";"g";"k";"m";"o"},E2646&amp;" gkmo"))-1))),0)</f>
        <v>208</v>
      </c>
      <c r="J2646" s="6" t="str" cm="1">
        <f t="array" ref="J2646">IFERROR(TRIM(MID(E2646,MIN(FIND({" ";"g";"k";"m";"o"},E2646&amp;" gkmo")),10)),"unknown")</f>
        <v>g et 8 bis</v>
      </c>
      <c r="K2646" s="6" t="str">
        <f t="shared" si="164"/>
        <v>g</v>
      </c>
      <c r="L2646" s="6" t="str">
        <f t="shared" si="165"/>
        <v>Milka</v>
      </c>
      <c r="M2646" s="6" t="str">
        <f t="shared" si="166"/>
        <v>Choco Sensations</v>
      </c>
      <c r="N2646" s="6" t="str">
        <f t="shared" si="167"/>
        <v>France</v>
      </c>
    </row>
    <row r="2647" spans="1:14" x14ac:dyDescent="0.25">
      <c r="A2647" s="6" t="s">
        <v>6274</v>
      </c>
      <c r="B2647" s="6">
        <v>6328</v>
      </c>
      <c r="C2647" s="6" t="s">
        <v>7394</v>
      </c>
      <c r="D2647" s="7" t="s">
        <v>6275</v>
      </c>
      <c r="E2647" s="6" t="s">
        <v>4965</v>
      </c>
      <c r="F2647" s="6" t="s">
        <v>6276</v>
      </c>
      <c r="G2647" s="8">
        <v>45525</v>
      </c>
      <c r="H2647" s="6">
        <v>5.12</v>
      </c>
      <c r="I2647" s="6" cm="1">
        <f t="array" ref="I2647">IFERROR(VALUE(TRIM(LEFT(E2647,MIN(FIND({" ";"g";"k";"m";"o"},E2647&amp;" gkmo"))-1))),0)</f>
        <v>450</v>
      </c>
      <c r="J2647" s="6" t="str" cm="1">
        <f t="array" ref="J2647">IFERROR(TRIM(MID(E2647,MIN(FIND({" ";"g";"k";"m";"o"},E2647&amp;" gkmo")),10)),"unknown")</f>
        <v>g</v>
      </c>
      <c r="K2647" s="6" t="str">
        <f t="shared" si="164"/>
        <v>g</v>
      </c>
      <c r="L2647" s="6" t="str">
        <f t="shared" si="165"/>
        <v>Mcennedy American Way</v>
      </c>
      <c r="M2647" s="6" t="str">
        <f t="shared" si="166"/>
        <v>Flips Géant Peanut</v>
      </c>
      <c r="N2647" s="6" t="str">
        <f t="shared" si="167"/>
        <v>Ð Ñƒð¼Ñšð½Ð¸Ñ,Ðžð±Ðµð´Ð¸Ð½Ðµð½Ð¾ Ðºñ€Ð°Ð»ÑÑ‚Ð²Ð¾ Ð’Ðµð»Ð¸Ðºð¾Ð±Ñ€Ð¸Ñ‚Ð°Ð½Ð¸Ñ Ð¸ Ð¡Ðµð²Ðµñ€Ð½Ð° Ð˜Ñ€Ð»Ð°Ð½Ð´Ð¸Ñ,Ð‘Ñšð»Ð³Ð°Ñ€Ð¸Ñ</v>
      </c>
    </row>
    <row r="2648" spans="1:14" x14ac:dyDescent="0.25">
      <c r="A2648" s="6" t="s">
        <v>6277</v>
      </c>
      <c r="B2648" s="6">
        <v>10459</v>
      </c>
      <c r="C2648" s="6" t="s">
        <v>6278</v>
      </c>
      <c r="D2648" s="7" t="s">
        <v>961</v>
      </c>
      <c r="E2648" s="6" t="s">
        <v>573</v>
      </c>
      <c r="F2648" s="6" t="s">
        <v>8057</v>
      </c>
      <c r="G2648" s="8">
        <v>45826</v>
      </c>
      <c r="H2648" s="6">
        <v>22.39</v>
      </c>
      <c r="I2648" s="6" cm="1">
        <f t="array" ref="I2648">IFERROR(VALUE(TRIM(LEFT(E2648,MIN(FIND({" ";"g";"k";"m";"o"},E2648&amp;" gkmo"))-1))),0)</f>
        <v>280</v>
      </c>
      <c r="J2648" s="6" t="str" cm="1">
        <f t="array" ref="J2648">IFERROR(TRIM(MID(E2648,MIN(FIND({" ";"g";"k";"m";"o"},E2648&amp;" gkmo")),10)),"unknown")</f>
        <v>g</v>
      </c>
      <c r="K2648" s="6" t="str">
        <f t="shared" si="164"/>
        <v>g</v>
      </c>
      <c r="L2648" s="6" t="str">
        <f t="shared" si="165"/>
        <v>Sondey</v>
      </c>
      <c r="M2648" s="6" t="str">
        <f t="shared" si="166"/>
        <v>Wafer</v>
      </c>
      <c r="N2648" s="6" t="str">
        <f t="shared" si="167"/>
        <v>Bulgaria, Romania</v>
      </c>
    </row>
    <row r="2649" spans="1:14" x14ac:dyDescent="0.25">
      <c r="A2649" s="6" t="s">
        <v>6279</v>
      </c>
      <c r="B2649" s="6">
        <v>14336</v>
      </c>
      <c r="C2649" s="6" t="s">
        <v>6280</v>
      </c>
      <c r="D2649" s="7" t="s">
        <v>204</v>
      </c>
      <c r="E2649" s="6" t="s">
        <v>6281</v>
      </c>
      <c r="F2649" s="6" t="s">
        <v>177</v>
      </c>
      <c r="G2649" s="8">
        <v>45877</v>
      </c>
      <c r="H2649" s="6">
        <v>13.16</v>
      </c>
      <c r="I2649" s="6" cm="1">
        <f t="array" ref="I2649">IFERROR(VALUE(TRIM(LEFT(E2649,MIN(FIND({" ";"g";"k";"m";"o"},E2649&amp;" gkmo"))-1))),0)</f>
        <v>20</v>
      </c>
      <c r="J2649" s="6" t="str" cm="1">
        <f t="array" ref="J2649">IFERROR(TRIM(MID(E2649,MIN(FIND({" ";"g";"k";"m";"o"},E2649&amp;" gkmo")),10)),"unknown")</f>
        <v>cakes</v>
      </c>
      <c r="K2649" s="6" t="str">
        <f t="shared" si="164"/>
        <v>unknown</v>
      </c>
      <c r="L2649" s="6" t="str">
        <f t="shared" si="165"/>
        <v>Mcvitie'S</v>
      </c>
      <c r="M2649" s="6" t="str">
        <f t="shared" si="166"/>
        <v>Jaffa Cakes The Original Twin Pack</v>
      </c>
      <c r="N2649" s="6" t="str">
        <f t="shared" si="167"/>
        <v>United Kingdom</v>
      </c>
    </row>
    <row r="2650" spans="1:14" x14ac:dyDescent="0.25">
      <c r="A2650" s="6" t="s">
        <v>6282</v>
      </c>
      <c r="B2650" s="6">
        <v>13777</v>
      </c>
      <c r="C2650" s="6" t="s">
        <v>6283</v>
      </c>
      <c r="D2650" s="7" t="s">
        <v>47</v>
      </c>
      <c r="E2650" s="6" t="s">
        <v>335</v>
      </c>
      <c r="F2650" s="6" t="s">
        <v>48</v>
      </c>
      <c r="G2650" s="8">
        <v>45734</v>
      </c>
      <c r="H2650" s="6">
        <v>8.34</v>
      </c>
      <c r="I2650" s="6" cm="1">
        <f t="array" ref="I2650">IFERROR(VALUE(TRIM(LEFT(E2650,MIN(FIND({" ";"g";"k";"m";"o"},E2650&amp;" gkmo"))-1))),0)</f>
        <v>250</v>
      </c>
      <c r="J2650" s="6" t="str" cm="1">
        <f t="array" ref="J2650">IFERROR(TRIM(MID(E2650,MIN(FIND({" ";"g";"k";"m";"o"},E2650&amp;" gkmo")),10)),"unknown")</f>
        <v>g</v>
      </c>
      <c r="K2650" s="6" t="str">
        <f t="shared" si="164"/>
        <v>g</v>
      </c>
      <c r="L2650" s="6" t="str">
        <f t="shared" si="165"/>
        <v>Excelo</v>
      </c>
      <c r="M2650" s="6" t="str">
        <f t="shared" si="166"/>
        <v>Sergio</v>
      </c>
      <c r="N2650" s="6" t="str">
        <f t="shared" si="167"/>
        <v>Morocco</v>
      </c>
    </row>
    <row r="2651" spans="1:14" x14ac:dyDescent="0.25">
      <c r="A2651" s="6" t="s">
        <v>6284</v>
      </c>
      <c r="B2651" s="6">
        <v>7525</v>
      </c>
      <c r="C2651" s="6" t="s">
        <v>6285</v>
      </c>
      <c r="D2651" s="7" t="s">
        <v>1355</v>
      </c>
      <c r="E2651" s="6" t="s">
        <v>6286</v>
      </c>
      <c r="F2651" s="6" t="s">
        <v>48</v>
      </c>
      <c r="G2651" s="8">
        <v>45455</v>
      </c>
      <c r="H2651" s="6">
        <v>1.74</v>
      </c>
      <c r="I2651" s="6" cm="1">
        <f t="array" ref="I2651">IFERROR(VALUE(TRIM(LEFT(E2651,MIN(FIND({" ";"g";"k";"m";"o"},E2651&amp;" gkmo"))-1))),0)</f>
        <v>97</v>
      </c>
      <c r="J2651" s="6" t="str" cm="1">
        <f t="array" ref="J2651">IFERROR(TRIM(MID(E2651,MIN(FIND({" ";"g";"k";"m";"o"},E2651&amp;" gkmo")),10)),"unknown")</f>
        <v>g</v>
      </c>
      <c r="K2651" s="6" t="str">
        <f t="shared" si="164"/>
        <v>g</v>
      </c>
      <c r="L2651" s="6" t="str">
        <f t="shared" si="165"/>
        <v>Lay'S</v>
      </c>
      <c r="M2651" s="6" t="str">
        <f t="shared" si="166"/>
        <v>Lays</v>
      </c>
      <c r="N2651" s="6" t="str">
        <f t="shared" si="167"/>
        <v>Morocco</v>
      </c>
    </row>
    <row r="2652" spans="1:14" x14ac:dyDescent="0.25">
      <c r="A2652" s="6" t="s">
        <v>6287</v>
      </c>
      <c r="B2652" s="6">
        <v>6980</v>
      </c>
      <c r="C2652" s="6" t="s">
        <v>6288</v>
      </c>
      <c r="D2652" s="7" t="s">
        <v>1551</v>
      </c>
      <c r="E2652" s="6" t="s">
        <v>436</v>
      </c>
      <c r="F2652" s="6" t="s">
        <v>139</v>
      </c>
      <c r="G2652" s="8">
        <v>45613</v>
      </c>
      <c r="H2652" s="6">
        <v>13.16</v>
      </c>
      <c r="I2652" s="6" cm="1">
        <f t="array" ref="I2652">IFERROR(VALUE(TRIM(LEFT(E2652,MIN(FIND({" ";"g";"k";"m";"o"},E2652&amp;" gkmo"))-1))),0)</f>
        <v>90</v>
      </c>
      <c r="J2652" s="6" t="str" cm="1">
        <f t="array" ref="J2652">IFERROR(TRIM(MID(E2652,MIN(FIND({" ";"g";"k";"m";"o"},E2652&amp;" gkmo")),10)),"unknown")</f>
        <v>g</v>
      </c>
      <c r="K2652" s="6" t="str">
        <f t="shared" si="164"/>
        <v>g</v>
      </c>
      <c r="L2652" s="6" t="str">
        <f t="shared" si="165"/>
        <v>Biocoop</v>
      </c>
      <c r="M2652" s="6" t="str">
        <f t="shared" si="166"/>
        <v>Chocolat Noir 99%</v>
      </c>
      <c r="N2652" s="6" t="str">
        <f t="shared" si="167"/>
        <v>France</v>
      </c>
    </row>
    <row r="2653" spans="1:14" x14ac:dyDescent="0.25">
      <c r="A2653" s="6" t="s">
        <v>6289</v>
      </c>
      <c r="B2653" s="6">
        <v>12189</v>
      </c>
      <c r="C2653" s="6" t="s">
        <v>6290</v>
      </c>
      <c r="D2653" s="7" t="s">
        <v>1328</v>
      </c>
      <c r="E2653" s="6"/>
      <c r="F2653" s="6" t="s">
        <v>177</v>
      </c>
      <c r="G2653" s="8">
        <v>45510</v>
      </c>
      <c r="H2653" s="6">
        <v>7.59</v>
      </c>
      <c r="I2653" s="6" cm="1">
        <f t="array" ref="I2653">IFERROR(VALUE(TRIM(LEFT(E2653,MIN(FIND({" ";"g";"k";"m";"o"},E2653&amp;" gkmo"))-1))),0)</f>
        <v>0</v>
      </c>
      <c r="J2653" s="6" t="str" cm="1">
        <f t="array" ref="J2653">IFERROR(TRIM(MID(E2653,MIN(FIND({" ";"g";"k";"m";"o"},E2653&amp;" gkmo")),10)),"unknown")</f>
        <v/>
      </c>
      <c r="K2653" s="6" t="str">
        <f t="shared" si="164"/>
        <v>unknown</v>
      </c>
      <c r="L2653" s="6" t="str">
        <f t="shared" si="165"/>
        <v>Dr. Oetker</v>
      </c>
      <c r="M2653" s="6" t="str">
        <f t="shared" si="166"/>
        <v>Extra Dark Chocolate Created For Bakers</v>
      </c>
      <c r="N2653" s="6" t="str">
        <f t="shared" si="167"/>
        <v>United Kingdom</v>
      </c>
    </row>
    <row r="2654" spans="1:14" x14ac:dyDescent="0.25">
      <c r="A2654" s="6" t="s">
        <v>6291</v>
      </c>
      <c r="B2654" s="6">
        <v>9197</v>
      </c>
      <c r="C2654" s="6" t="s">
        <v>7904</v>
      </c>
      <c r="D2654" s="7" t="s">
        <v>1101</v>
      </c>
      <c r="E2654" s="6"/>
      <c r="F2654" s="6" t="s">
        <v>139</v>
      </c>
      <c r="G2654" s="8">
        <v>45798</v>
      </c>
      <c r="H2654" s="6">
        <v>13.16</v>
      </c>
      <c r="I2654" s="6" cm="1">
        <f t="array" ref="I2654">IFERROR(VALUE(TRIM(LEFT(E2654,MIN(FIND({" ";"g";"k";"m";"o"},E2654&amp;" gkmo"))-1))),0)</f>
        <v>0</v>
      </c>
      <c r="J2654" s="6" t="str" cm="1">
        <f t="array" ref="J2654">IFERROR(TRIM(MID(E2654,MIN(FIND({" ";"g";"k";"m";"o"},E2654&amp;" gkmo")),10)),"unknown")</f>
        <v/>
      </c>
      <c r="K2654" s="6" t="str">
        <f t="shared" si="164"/>
        <v>unknown</v>
      </c>
      <c r="L2654" s="6" t="str">
        <f t="shared" si="165"/>
        <v>Lidl, Sondey</v>
      </c>
      <c r="M2654" s="6" t="str">
        <f t="shared" si="166"/>
        <v>Biscuits À  L'Avoine</v>
      </c>
      <c r="N2654" s="6" t="str">
        <f t="shared" si="167"/>
        <v>France</v>
      </c>
    </row>
    <row r="2655" spans="1:14" x14ac:dyDescent="0.25">
      <c r="A2655" s="6" t="s">
        <v>6292</v>
      </c>
      <c r="B2655" s="6">
        <v>8302</v>
      </c>
      <c r="C2655" s="6" t="s">
        <v>7017</v>
      </c>
      <c r="D2655" s="7" t="s">
        <v>7017</v>
      </c>
      <c r="E2655" s="6"/>
      <c r="F2655" s="6" t="s">
        <v>48</v>
      </c>
      <c r="G2655" s="8">
        <v>45785</v>
      </c>
      <c r="H2655" s="6">
        <v>13.16</v>
      </c>
      <c r="I2655" s="6" cm="1">
        <f t="array" ref="I2655">IFERROR(VALUE(TRIM(LEFT(E2655,MIN(FIND({" ";"g";"k";"m";"o"},E2655&amp;" gkmo"))-1))),0)</f>
        <v>0</v>
      </c>
      <c r="J2655" s="6" t="str" cm="1">
        <f t="array" ref="J2655">IFERROR(TRIM(MID(E2655,MIN(FIND({" ";"g";"k";"m";"o"},E2655&amp;" gkmo")),10)),"unknown")</f>
        <v/>
      </c>
      <c r="K2655" s="6" t="str">
        <f t="shared" si="164"/>
        <v>unknown</v>
      </c>
      <c r="L2655" s="6" t="str">
        <f t="shared" si="165"/>
        <v>Unknown</v>
      </c>
      <c r="M2655" s="6" t="str">
        <f t="shared" si="166"/>
        <v>Unknown</v>
      </c>
      <c r="N2655" s="6" t="str">
        <f t="shared" si="167"/>
        <v>Morocco</v>
      </c>
    </row>
    <row r="2656" spans="1:14" x14ac:dyDescent="0.25">
      <c r="A2656" s="6" t="s">
        <v>3596</v>
      </c>
      <c r="B2656" s="6">
        <v>14873</v>
      </c>
      <c r="C2656" s="6" t="s">
        <v>6293</v>
      </c>
      <c r="D2656" s="7" t="s">
        <v>2246</v>
      </c>
      <c r="E2656" s="6" t="s">
        <v>6294</v>
      </c>
      <c r="F2656" s="6" t="s">
        <v>177</v>
      </c>
      <c r="G2656" s="8">
        <v>45494</v>
      </c>
      <c r="H2656" s="6">
        <v>9.0500000000000007</v>
      </c>
      <c r="I2656" s="6" cm="1">
        <f t="array" ref="I2656">IFERROR(VALUE(TRIM(LEFT(E2656,MIN(FIND({" ";"g";"k";"m";"o"},E2656&amp;" gkmo"))-1))),0)</f>
        <v>44</v>
      </c>
      <c r="J2656" s="6" t="str" cm="1">
        <f t="array" ref="J2656">IFERROR(TRIM(MID(E2656,MIN(FIND({" ";"g";"k";"m";"o"},E2656&amp;" gkmo")),10)),"unknown")</f>
        <v>g x 3</v>
      </c>
      <c r="K2656" s="6" t="str">
        <f t="shared" si="164"/>
        <v>g</v>
      </c>
      <c r="L2656" s="6" t="str">
        <f t="shared" si="165"/>
        <v>NäKd</v>
      </c>
      <c r="M2656" s="6" t="str">
        <f t="shared" si="166"/>
        <v>Fruit &amp; Fibre Bars, Strawberry &amp; Raspberry</v>
      </c>
      <c r="N2656" s="6" t="str">
        <f t="shared" si="167"/>
        <v>United Kingdom</v>
      </c>
    </row>
    <row r="2657" spans="1:14" x14ac:dyDescent="0.25">
      <c r="A2657" s="6" t="s">
        <v>6295</v>
      </c>
      <c r="B2657" s="6">
        <v>12528</v>
      </c>
      <c r="C2657" s="6" t="s">
        <v>7551</v>
      </c>
      <c r="D2657" s="7" t="s">
        <v>7395</v>
      </c>
      <c r="E2657" s="6" t="s">
        <v>352</v>
      </c>
      <c r="F2657" s="6" t="s">
        <v>139</v>
      </c>
      <c r="G2657" s="8">
        <v>45493</v>
      </c>
      <c r="H2657" s="6">
        <v>15.13</v>
      </c>
      <c r="I2657" s="6" cm="1">
        <f t="array" ref="I2657">IFERROR(VALUE(TRIM(LEFT(E2657,MIN(FIND({" ";"g";"k";"m";"o"},E2657&amp;" gkmo"))-1))),0)</f>
        <v>170</v>
      </c>
      <c r="J2657" s="6" t="str" cm="1">
        <f t="array" ref="J2657">IFERROR(TRIM(MID(E2657,MIN(FIND({" ";"g";"k";"m";"o"},E2657&amp;" gkmo")),10)),"unknown")</f>
        <v>g</v>
      </c>
      <c r="K2657" s="6" t="str">
        <f t="shared" si="164"/>
        <v>g</v>
      </c>
      <c r="L2657" s="6" t="str">
        <f t="shared" si="165"/>
        <v>Nestlé, Dessert</v>
      </c>
      <c r="M2657" s="6" t="str">
        <f t="shared" si="166"/>
        <v>Nestlé Dessert 80% Puissant 170G</v>
      </c>
      <c r="N2657" s="6" t="str">
        <f t="shared" si="167"/>
        <v>France</v>
      </c>
    </row>
    <row r="2658" spans="1:14" x14ac:dyDescent="0.25">
      <c r="A2658" s="6" t="s">
        <v>5691</v>
      </c>
      <c r="B2658" s="6">
        <v>5585</v>
      </c>
      <c r="C2658" s="6" t="s">
        <v>6296</v>
      </c>
      <c r="D2658" s="7" t="s">
        <v>1402</v>
      </c>
      <c r="E2658" s="6" t="s">
        <v>5768</v>
      </c>
      <c r="F2658" s="6" t="s">
        <v>177</v>
      </c>
      <c r="G2658" s="8">
        <v>45839</v>
      </c>
      <c r="H2658" s="6">
        <v>21.59</v>
      </c>
      <c r="I2658" s="6" cm="1">
        <f t="array" ref="I2658">IFERROR(VALUE(TRIM(LEFT(E2658,MIN(FIND({" ";"g";"k";"m";"o"},E2658&amp;" gkmo"))-1))),0)</f>
        <v>40</v>
      </c>
      <c r="J2658" s="6" t="str" cm="1">
        <f t="array" ref="J2658">IFERROR(TRIM(MID(E2658,MIN(FIND({" ";"g";"k";"m";"o"},E2658&amp;" gkmo")),10)),"unknown")</f>
        <v>gram</v>
      </c>
      <c r="K2658" s="6" t="str">
        <f t="shared" si="164"/>
        <v>g</v>
      </c>
      <c r="L2658" s="6" t="str">
        <f t="shared" si="165"/>
        <v>Eat Natural</v>
      </c>
      <c r="M2658" s="6" t="str">
        <f t="shared" si="166"/>
        <v>Almond &amp; Apricot Fruit &amp; Nut Bars</v>
      </c>
      <c r="N2658" s="6" t="str">
        <f t="shared" si="167"/>
        <v>United Kingdom</v>
      </c>
    </row>
    <row r="2659" spans="1:14" x14ac:dyDescent="0.25">
      <c r="A2659" s="6" t="s">
        <v>6297</v>
      </c>
      <c r="B2659" s="6">
        <v>9822</v>
      </c>
      <c r="C2659" s="6" t="s">
        <v>6298</v>
      </c>
      <c r="D2659" s="7" t="s">
        <v>6299</v>
      </c>
      <c r="E2659" s="6" t="s">
        <v>476</v>
      </c>
      <c r="F2659" s="6" t="s">
        <v>48</v>
      </c>
      <c r="G2659" s="8">
        <v>45406</v>
      </c>
      <c r="H2659" s="6">
        <v>19.22</v>
      </c>
      <c r="I2659" s="6" cm="1">
        <f t="array" ref="I2659">IFERROR(VALUE(TRIM(LEFT(E2659,MIN(FIND({" ";"g";"k";"m";"o"},E2659&amp;" gkmo"))-1))),0)</f>
        <v>45</v>
      </c>
      <c r="J2659" s="6" t="str" cm="1">
        <f t="array" ref="J2659">IFERROR(TRIM(MID(E2659,MIN(FIND({" ";"g";"k";"m";"o"},E2659&amp;" gkmo")),10)),"unknown")</f>
        <v>g</v>
      </c>
      <c r="K2659" s="6" t="str">
        <f t="shared" si="164"/>
        <v>g</v>
      </c>
      <c r="L2659" s="6" t="str">
        <f t="shared" si="165"/>
        <v>Nooco</v>
      </c>
      <c r="M2659" s="6" t="str">
        <f t="shared" si="166"/>
        <v>Nooco</v>
      </c>
      <c r="N2659" s="6" t="str">
        <f t="shared" si="167"/>
        <v>Morocco</v>
      </c>
    </row>
    <row r="2660" spans="1:14" x14ac:dyDescent="0.25">
      <c r="A2660" s="6" t="s">
        <v>6300</v>
      </c>
      <c r="B2660" s="6">
        <v>6442</v>
      </c>
      <c r="C2660" s="6" t="s">
        <v>4366</v>
      </c>
      <c r="D2660" s="7" t="s">
        <v>6301</v>
      </c>
      <c r="E2660" s="6" t="s">
        <v>1309</v>
      </c>
      <c r="F2660" s="6" t="s">
        <v>8005</v>
      </c>
      <c r="G2660" s="8">
        <v>46007</v>
      </c>
      <c r="H2660" s="6">
        <v>21.83</v>
      </c>
      <c r="I2660" s="6" cm="1">
        <f t="array" ref="I2660">IFERROR(VALUE(TRIM(LEFT(E2660,MIN(FIND({" ";"g";"k";"m";"o"},E2660&amp;" gkmo"))-1))),0)</f>
        <v>300</v>
      </c>
      <c r="J2660" s="6" t="str" cm="1">
        <f t="array" ref="J2660">IFERROR(TRIM(MID(E2660,MIN(FIND({" ";"g";"k";"m";"o"},E2660&amp;" gkmo")),10)),"unknown")</f>
        <v>g</v>
      </c>
      <c r="K2660" s="6" t="str">
        <f t="shared" si="164"/>
        <v>g</v>
      </c>
      <c r="L2660" s="6" t="str">
        <f t="shared" si="165"/>
        <v>Simply M&amp;S</v>
      </c>
      <c r="M2660" s="6" t="str">
        <f t="shared" si="166"/>
        <v>Oatcakes</v>
      </c>
      <c r="N2660" s="6" t="str">
        <f t="shared" si="167"/>
        <v>France,United Kingdom,United-Kingdom</v>
      </c>
    </row>
    <row r="2661" spans="1:14" x14ac:dyDescent="0.25">
      <c r="A2661" s="6" t="s">
        <v>6302</v>
      </c>
      <c r="B2661" s="6">
        <v>14265</v>
      </c>
      <c r="C2661" s="6" t="s">
        <v>6303</v>
      </c>
      <c r="D2661" s="7" t="s">
        <v>6304</v>
      </c>
      <c r="E2661" s="6" t="s">
        <v>6305</v>
      </c>
      <c r="F2661" s="6" t="s">
        <v>7396</v>
      </c>
      <c r="G2661" s="8">
        <v>45891</v>
      </c>
      <c r="H2661" s="6">
        <v>10.59</v>
      </c>
      <c r="I2661" s="6" cm="1">
        <f t="array" ref="I2661">IFERROR(VALUE(TRIM(LEFT(E2661,MIN(FIND({" ";"g";"k";"m";"o"},E2661&amp;" gkmo"))-1))),0)</f>
        <v>4.53</v>
      </c>
      <c r="J2661" s="6" t="str" cm="1">
        <f t="array" ref="J2661">IFERROR(TRIM(MID(E2661,MIN(FIND({" ";"g";"k";"m";"o"},E2661&amp;" gkmo")),10)),"unknown")</f>
        <v>kg</v>
      </c>
      <c r="K2661" s="6" t="str">
        <f t="shared" si="164"/>
        <v>kg</v>
      </c>
      <c r="L2661" s="6" t="str">
        <f t="shared" si="165"/>
        <v>Krusteaz</v>
      </c>
      <c r="M2661" s="6" t="str">
        <f t="shared" si="166"/>
        <v>Harina Preparada Completamente Para Hacer Hot Cakes</v>
      </c>
      <c r="N2661" s="6" t="str">
        <f t="shared" si="167"/>
        <v>Estados Unidos,México</v>
      </c>
    </row>
    <row r="2662" spans="1:14" x14ac:dyDescent="0.25">
      <c r="A2662" s="6" t="s">
        <v>6306</v>
      </c>
      <c r="B2662" s="6">
        <v>7339</v>
      </c>
      <c r="C2662" s="6" t="s">
        <v>6307</v>
      </c>
      <c r="D2662" s="7" t="s">
        <v>6308</v>
      </c>
      <c r="E2662" s="6" t="s">
        <v>6309</v>
      </c>
      <c r="F2662" s="6" t="s">
        <v>5587</v>
      </c>
      <c r="G2662" s="8">
        <v>46024</v>
      </c>
      <c r="H2662" s="6">
        <v>8.98</v>
      </c>
      <c r="I2662" s="6" cm="1">
        <f t="array" ref="I2662">IFERROR(VALUE(TRIM(LEFT(E2662,MIN(FIND({" ";"g";"k";"m";"o"},E2662&amp;" gkmo"))-1))),0)</f>
        <v>2.4</v>
      </c>
      <c r="J2662" s="6" t="str" cm="1">
        <f t="array" ref="J2662">IFERROR(TRIM(MID(E2662,MIN(FIND({" ";"g";"k";"m";"o"},E2662&amp;" gkmo")),10)),"unknown")</f>
        <v>oz</v>
      </c>
      <c r="K2662" s="6" t="str">
        <f t="shared" si="164"/>
        <v>unknown</v>
      </c>
      <c r="L2662" s="6" t="str">
        <f t="shared" si="165"/>
        <v>Clif Bar</v>
      </c>
      <c r="M2662" s="6" t="str">
        <f t="shared" si="166"/>
        <v>Crunchy Peanut Butter</v>
      </c>
      <c r="N2662" s="6" t="str">
        <f t="shared" si="167"/>
        <v>Australia,United States</v>
      </c>
    </row>
    <row r="2663" spans="1:14" x14ac:dyDescent="0.25">
      <c r="A2663" s="6" t="s">
        <v>6310</v>
      </c>
      <c r="B2663" s="6">
        <v>9508</v>
      </c>
      <c r="C2663" s="6" t="s">
        <v>6311</v>
      </c>
      <c r="D2663" s="7" t="s">
        <v>4860</v>
      </c>
      <c r="E2663" s="6" t="s">
        <v>335</v>
      </c>
      <c r="F2663" s="6" t="s">
        <v>8174</v>
      </c>
      <c r="G2663" s="8">
        <v>45640</v>
      </c>
      <c r="H2663" s="6">
        <v>21.12</v>
      </c>
      <c r="I2663" s="6" cm="1">
        <f t="array" ref="I2663">IFERROR(VALUE(TRIM(LEFT(E2663,MIN(FIND({" ";"g";"k";"m";"o"},E2663&amp;" gkmo"))-1))),0)</f>
        <v>250</v>
      </c>
      <c r="J2663" s="6" t="str" cm="1">
        <f t="array" ref="J2663">IFERROR(TRIM(MID(E2663,MIN(FIND({" ";"g";"k";"m";"o"},E2663&amp;" gkmo")),10)),"unknown")</f>
        <v>g</v>
      </c>
      <c r="K2663" s="6" t="str">
        <f t="shared" si="164"/>
        <v>g</v>
      </c>
      <c r="L2663" s="6" t="str">
        <f t="shared" si="165"/>
        <v>Ikea</v>
      </c>
      <c r="M2663" s="6" t="str">
        <f t="shared" si="166"/>
        <v>Knackebrod Rag</v>
      </c>
      <c r="N2663" s="6" t="str">
        <f t="shared" si="167"/>
        <v>France, Germany, Netherlands, United-Kingdom</v>
      </c>
    </row>
    <row r="2664" spans="1:14" x14ac:dyDescent="0.25">
      <c r="A2664" s="6" t="s">
        <v>6312</v>
      </c>
      <c r="B2664" s="6">
        <v>12437</v>
      </c>
      <c r="C2664" s="6" t="s">
        <v>6313</v>
      </c>
      <c r="D2664" s="7" t="s">
        <v>1213</v>
      </c>
      <c r="E2664" s="6" t="s">
        <v>14</v>
      </c>
      <c r="F2664" s="6" t="s">
        <v>400</v>
      </c>
      <c r="G2664" s="8">
        <v>45986</v>
      </c>
      <c r="H2664" s="6">
        <v>21.79</v>
      </c>
      <c r="I2664" s="6" cm="1">
        <f t="array" ref="I2664">IFERROR(VALUE(TRIM(LEFT(E2664,MIN(FIND({" ";"g";"k";"m";"o"},E2664&amp;" gkmo"))-1))),0)</f>
        <v>300</v>
      </c>
      <c r="J2664" s="6" t="str" cm="1">
        <f t="array" ref="J2664">IFERROR(TRIM(MID(E2664,MIN(FIND({" ";"g";"k";"m";"o"},E2664&amp;" gkmo")),10)),"unknown")</f>
        <v>g</v>
      </c>
      <c r="K2664" s="6" t="str">
        <f t="shared" si="164"/>
        <v>g</v>
      </c>
      <c r="L2664" s="6" t="str">
        <f t="shared" si="165"/>
        <v>Tower Gate</v>
      </c>
      <c r="M2664" s="6" t="str">
        <f t="shared" si="166"/>
        <v>Ginger Nuts</v>
      </c>
      <c r="N2664" s="6" t="str">
        <f t="shared" si="167"/>
        <v>France,United Kingdom</v>
      </c>
    </row>
    <row r="2665" spans="1:14" x14ac:dyDescent="0.25">
      <c r="A2665" s="6" t="s">
        <v>6314</v>
      </c>
      <c r="B2665" s="6">
        <v>8131</v>
      </c>
      <c r="C2665" s="6" t="s">
        <v>6315</v>
      </c>
      <c r="D2665" s="7" t="s">
        <v>4657</v>
      </c>
      <c r="E2665" s="6" t="s">
        <v>151</v>
      </c>
      <c r="F2665" s="6" t="s">
        <v>6316</v>
      </c>
      <c r="G2665" s="8">
        <v>45386</v>
      </c>
      <c r="H2665" s="6">
        <v>19.350000000000001</v>
      </c>
      <c r="I2665" s="6" cm="1">
        <f t="array" ref="I2665">IFERROR(VALUE(TRIM(LEFT(E2665,MIN(FIND({" ";"g";"k";"m";"o"},E2665&amp;" gkmo"))-1))),0)</f>
        <v>200</v>
      </c>
      <c r="J2665" s="6" t="str" cm="1">
        <f t="array" ref="J2665">IFERROR(TRIM(MID(E2665,MIN(FIND({" ";"g";"k";"m";"o"},E2665&amp;" gkmo")),10)),"unknown")</f>
        <v>g</v>
      </c>
      <c r="K2665" s="6" t="str">
        <f t="shared" si="164"/>
        <v>g</v>
      </c>
      <c r="L2665" s="6" t="str">
        <f t="shared" si="165"/>
        <v>Crownfield, Lidl</v>
      </c>
      <c r="M2665" s="6" t="str">
        <f t="shared" si="166"/>
        <v>Muesli Bars Chocolate &amp; Banana</v>
      </c>
      <c r="N2665" s="6" t="str">
        <f t="shared" si="167"/>
        <v>Bulgaria,Denmark,France,Germany,Poland,United Kingdom</v>
      </c>
    </row>
    <row r="2666" spans="1:14" x14ac:dyDescent="0.25">
      <c r="A2666" s="6" t="s">
        <v>6317</v>
      </c>
      <c r="B2666" s="6">
        <v>9163</v>
      </c>
      <c r="C2666" s="6" t="s">
        <v>6318</v>
      </c>
      <c r="D2666" s="7" t="s">
        <v>961</v>
      </c>
      <c r="E2666" s="6" t="s">
        <v>5311</v>
      </c>
      <c r="F2666" s="6" t="s">
        <v>1181</v>
      </c>
      <c r="G2666" s="8">
        <v>45955</v>
      </c>
      <c r="H2666" s="6">
        <v>14.74</v>
      </c>
      <c r="I2666" s="6" cm="1">
        <f t="array" ref="I2666">IFERROR(VALUE(TRIM(LEFT(E2666,MIN(FIND({" ";"g";"k";"m";"o"},E2666&amp;" gkmo"))-1))),0)</f>
        <v>150</v>
      </c>
      <c r="J2666" s="6" t="str" cm="1">
        <f t="array" ref="J2666">IFERROR(TRIM(MID(E2666,MIN(FIND({" ";"g";"k";"m";"o"},E2666&amp;" gkmo")),10)),"unknown")</f>
        <v>g e</v>
      </c>
      <c r="K2666" s="6" t="str">
        <f t="shared" si="164"/>
        <v>g</v>
      </c>
      <c r="L2666" s="6" t="str">
        <f t="shared" si="165"/>
        <v>Sondey</v>
      </c>
      <c r="M2666" s="6" t="str">
        <f t="shared" si="166"/>
        <v>Petit Beurre Tablette Chocolat Au Lait</v>
      </c>
      <c r="N2666" s="6" t="str">
        <f t="shared" si="167"/>
        <v>France,Switzerland</v>
      </c>
    </row>
    <row r="2667" spans="1:14" x14ac:dyDescent="0.25">
      <c r="A2667" s="6" t="s">
        <v>6319</v>
      </c>
      <c r="B2667" s="6">
        <v>7731</v>
      </c>
      <c r="C2667" s="6" t="s">
        <v>7017</v>
      </c>
      <c r="D2667" s="7" t="s">
        <v>6320</v>
      </c>
      <c r="E2667" s="6" t="s">
        <v>39</v>
      </c>
      <c r="F2667" s="6" t="s">
        <v>3924</v>
      </c>
      <c r="G2667" s="8">
        <v>45508</v>
      </c>
      <c r="H2667" s="6">
        <v>13.16</v>
      </c>
      <c r="I2667" s="6" cm="1">
        <f t="array" ref="I2667">IFERROR(VALUE(TRIM(LEFT(E2667,MIN(FIND({" ";"g";"k";"m";"o"},E2667&amp;" gkmo"))-1))),0)</f>
        <v>150</v>
      </c>
      <c r="J2667" s="6" t="str" cm="1">
        <f t="array" ref="J2667">IFERROR(TRIM(MID(E2667,MIN(FIND({" ";"g";"k";"m";"o"},E2667&amp;" gkmo")),10)),"unknown")</f>
        <v>g</v>
      </c>
      <c r="K2667" s="6" t="str">
        <f t="shared" si="164"/>
        <v>g</v>
      </c>
      <c r="L2667" s="6" t="str">
        <f t="shared" si="165"/>
        <v>Lightly Sea Salted Hand Cooked Potato Crisps</v>
      </c>
      <c r="M2667" s="6" t="str">
        <f t="shared" si="166"/>
        <v>Unknown</v>
      </c>
      <c r="N2667" s="6" t="str">
        <f t="shared" si="167"/>
        <v>France,Netherlands</v>
      </c>
    </row>
    <row r="2668" spans="1:14" x14ac:dyDescent="0.25">
      <c r="A2668" s="6" t="s">
        <v>6321</v>
      </c>
      <c r="B2668" s="6">
        <v>13328</v>
      </c>
      <c r="C2668" s="6" t="s">
        <v>6322</v>
      </c>
      <c r="D2668" s="7" t="s">
        <v>3191</v>
      </c>
      <c r="E2668" s="6" t="s">
        <v>6323</v>
      </c>
      <c r="F2668" s="6" t="s">
        <v>601</v>
      </c>
      <c r="G2668" s="8">
        <v>45370</v>
      </c>
      <c r="H2668" s="6">
        <v>11.64</v>
      </c>
      <c r="I2668" s="6" cm="1">
        <f t="array" ref="I2668">IFERROR(VALUE(TRIM(LEFT(E2668,MIN(FIND({" ";"g";"k";"m";"o"},E2668&amp;" gkmo"))-1))),0)</f>
        <v>400</v>
      </c>
      <c r="J2668" s="6" t="str" cm="1">
        <f t="array" ref="J2668">IFERROR(TRIM(MID(E2668,MIN(FIND({" ";"g";"k";"m";"o"},E2668&amp;" gkmo")),10)),"unknown")</f>
        <v>g â„®</v>
      </c>
      <c r="K2668" s="6" t="str">
        <f t="shared" si="164"/>
        <v>g</v>
      </c>
      <c r="L2668" s="6" t="str">
        <f t="shared" si="165"/>
        <v>Italiamo</v>
      </c>
      <c r="M2668" s="6" t="str">
        <f t="shared" si="166"/>
        <v>Fior Di Panna</v>
      </c>
      <c r="N2668" s="6" t="str">
        <f t="shared" si="167"/>
        <v>France,Spain</v>
      </c>
    </row>
    <row r="2669" spans="1:14" x14ac:dyDescent="0.25">
      <c r="A2669" s="6" t="s">
        <v>6324</v>
      </c>
      <c r="B2669" s="6">
        <v>9233</v>
      </c>
      <c r="C2669" s="6" t="s">
        <v>6325</v>
      </c>
      <c r="D2669" s="7" t="s">
        <v>6035</v>
      </c>
      <c r="E2669" s="6" t="s">
        <v>446</v>
      </c>
      <c r="F2669" s="6" t="s">
        <v>6326</v>
      </c>
      <c r="G2669" s="8">
        <v>45352</v>
      </c>
      <c r="H2669" s="6">
        <v>11.13</v>
      </c>
      <c r="I2669" s="6" cm="1">
        <f t="array" ref="I2669">IFERROR(VALUE(TRIM(LEFT(E2669,MIN(FIND({" ";"g";"k";"m";"o"},E2669&amp;" gkmo"))-1))),0)</f>
        <v>450</v>
      </c>
      <c r="J2669" s="6" t="str" cm="1">
        <f t="array" ref="J2669">IFERROR(TRIM(MID(E2669,MIN(FIND({" ";"g";"k";"m";"o"},E2669&amp;" gkmo")),10)),"unknown")</f>
        <v>g</v>
      </c>
      <c r="K2669" s="6" t="str">
        <f t="shared" si="164"/>
        <v>g</v>
      </c>
      <c r="L2669" s="6" t="str">
        <f t="shared" si="165"/>
        <v>Tastino</v>
      </c>
      <c r="M2669" s="6" t="str">
        <f t="shared" si="166"/>
        <v>Tastino Biscuiti Petit Beurre</v>
      </c>
      <c r="N2669" s="6" t="str">
        <f t="shared" si="167"/>
        <v>Hungary,Romania</v>
      </c>
    </row>
    <row r="2670" spans="1:14" x14ac:dyDescent="0.25">
      <c r="A2670" s="6" t="s">
        <v>6327</v>
      </c>
      <c r="B2670" s="6">
        <v>5972</v>
      </c>
      <c r="C2670" s="6" t="s">
        <v>7397</v>
      </c>
      <c r="D2670" s="7" t="s">
        <v>961</v>
      </c>
      <c r="E2670" s="6" t="s">
        <v>6328</v>
      </c>
      <c r="F2670" s="6" t="s">
        <v>139</v>
      </c>
      <c r="G2670" s="8">
        <v>45399</v>
      </c>
      <c r="H2670" s="6">
        <v>4.2699999999999996</v>
      </c>
      <c r="I2670" s="6" cm="1">
        <f t="array" ref="I2670">IFERROR(VALUE(TRIM(LEFT(E2670,MIN(FIND({" ";"g";"k";"m";"o"},E2670&amp;" gkmo"))-1))),0)</f>
        <v>250</v>
      </c>
      <c r="J2670" s="6" t="str" cm="1">
        <f t="array" ref="J2670">IFERROR(TRIM(MID(E2670,MIN(FIND({" ";"g";"k";"m";"o"},E2670&amp;" gkmo")),10)),"unknown")</f>
        <v>g (10 sac</v>
      </c>
      <c r="K2670" s="6" t="str">
        <f t="shared" si="164"/>
        <v>g</v>
      </c>
      <c r="L2670" s="6" t="str">
        <f t="shared" si="165"/>
        <v>Sondey</v>
      </c>
      <c r="M2670" s="6" t="str">
        <f t="shared" si="166"/>
        <v>Carré Lait-Noisette</v>
      </c>
      <c r="N2670" s="6" t="str">
        <f t="shared" si="167"/>
        <v>France</v>
      </c>
    </row>
    <row r="2671" spans="1:14" x14ac:dyDescent="0.25">
      <c r="A2671" s="6" t="s">
        <v>6329</v>
      </c>
      <c r="B2671" s="6">
        <v>9932</v>
      </c>
      <c r="C2671" s="6" t="s">
        <v>6330</v>
      </c>
      <c r="D2671" s="7" t="s">
        <v>7865</v>
      </c>
      <c r="E2671" s="6" t="s">
        <v>1675</v>
      </c>
      <c r="F2671" s="6" t="s">
        <v>8249</v>
      </c>
      <c r="G2671" s="8">
        <v>45417</v>
      </c>
      <c r="H2671" s="6">
        <v>11.94</v>
      </c>
      <c r="I2671" s="6" cm="1">
        <f t="array" ref="I2671">IFERROR(VALUE(TRIM(LEFT(E2671,MIN(FIND({" ";"g";"k";"m";"o"},E2671&amp;" gkmo"))-1))),0)</f>
        <v>600</v>
      </c>
      <c r="J2671" s="6" t="str" cm="1">
        <f t="array" ref="J2671">IFERROR(TRIM(MID(E2671,MIN(FIND({" ";"g";"k";"m";"o"},E2671&amp;" gkmo")),10)),"unknown")</f>
        <v>g</v>
      </c>
      <c r="K2671" s="6" t="str">
        <f t="shared" si="164"/>
        <v>g</v>
      </c>
      <c r="L2671" s="6" t="str">
        <f t="shared" si="165"/>
        <v>Maà®Tre Jean Pierre, Maà®Tre Jean-Pierre</v>
      </c>
      <c r="M2671" s="6" t="str">
        <f t="shared" si="166"/>
        <v>Brioche Zopf</v>
      </c>
      <c r="N2671" s="6" t="str">
        <f t="shared" si="167"/>
        <v>France,Germania</v>
      </c>
    </row>
    <row r="2672" spans="1:14" x14ac:dyDescent="0.25">
      <c r="A2672" s="6" t="s">
        <v>6331</v>
      </c>
      <c r="B2672" s="6">
        <v>9411</v>
      </c>
      <c r="C2672" s="6" t="s">
        <v>6332</v>
      </c>
      <c r="D2672" s="7" t="s">
        <v>961</v>
      </c>
      <c r="E2672" s="6" t="s">
        <v>151</v>
      </c>
      <c r="F2672" s="6" t="s">
        <v>8175</v>
      </c>
      <c r="G2672" s="8">
        <v>46003</v>
      </c>
      <c r="H2672" s="6">
        <v>16.100000000000001</v>
      </c>
      <c r="I2672" s="6" cm="1">
        <f t="array" ref="I2672">IFERROR(VALUE(TRIM(LEFT(E2672,MIN(FIND({" ";"g";"k";"m";"o"},E2672&amp;" gkmo"))-1))),0)</f>
        <v>200</v>
      </c>
      <c r="J2672" s="6" t="str" cm="1">
        <f t="array" ref="J2672">IFERROR(TRIM(MID(E2672,MIN(FIND({" ";"g";"k";"m";"o"},E2672&amp;" gkmo")),10)),"unknown")</f>
        <v>g</v>
      </c>
      <c r="K2672" s="6" t="str">
        <f t="shared" si="164"/>
        <v>g</v>
      </c>
      <c r="L2672" s="6" t="str">
        <f t="shared" si="165"/>
        <v>Sondey</v>
      </c>
      <c r="M2672" s="6" t="str">
        <f t="shared" si="166"/>
        <v>Bio Hafer Cookies</v>
      </c>
      <c r="N2672" s="6" t="str">
        <f t="shared" si="167"/>
        <v>Germany, Germany, France</v>
      </c>
    </row>
    <row r="2673" spans="1:14" x14ac:dyDescent="0.25">
      <c r="A2673" s="6" t="s">
        <v>6333</v>
      </c>
      <c r="B2673" s="6">
        <v>9073</v>
      </c>
      <c r="C2673" s="6" t="s">
        <v>6334</v>
      </c>
      <c r="D2673" s="7" t="s">
        <v>1167</v>
      </c>
      <c r="E2673" s="6" t="s">
        <v>335</v>
      </c>
      <c r="F2673" s="6" t="s">
        <v>139</v>
      </c>
      <c r="G2673" s="8">
        <v>45481</v>
      </c>
      <c r="H2673" s="6">
        <v>9.81</v>
      </c>
      <c r="I2673" s="6" cm="1">
        <f t="array" ref="I2673">IFERROR(VALUE(TRIM(LEFT(E2673,MIN(FIND({" ";"g";"k";"m";"o"},E2673&amp;" gkmo"))-1))),0)</f>
        <v>250</v>
      </c>
      <c r="J2673" s="6" t="str" cm="1">
        <f t="array" ref="J2673">IFERROR(TRIM(MID(E2673,MIN(FIND({" ";"g";"k";"m";"o"},E2673&amp;" gkmo")),10)),"unknown")</f>
        <v>g</v>
      </c>
      <c r="K2673" s="6" t="str">
        <f t="shared" si="164"/>
        <v>g</v>
      </c>
      <c r="L2673" s="6" t="str">
        <f t="shared" si="165"/>
        <v>Lidl</v>
      </c>
      <c r="M2673" s="6" t="str">
        <f t="shared" si="166"/>
        <v>Scottish Black Pepper Oatcakes</v>
      </c>
      <c r="N2673" s="6" t="str">
        <f t="shared" si="167"/>
        <v>France</v>
      </c>
    </row>
    <row r="2674" spans="1:14" x14ac:dyDescent="0.25">
      <c r="A2674" s="6" t="s">
        <v>6335</v>
      </c>
      <c r="B2674" s="6">
        <v>10868</v>
      </c>
      <c r="C2674" s="6" t="s">
        <v>6336</v>
      </c>
      <c r="D2674" s="7" t="s">
        <v>4657</v>
      </c>
      <c r="E2674" s="6" t="s">
        <v>1418</v>
      </c>
      <c r="F2674" s="6" t="s">
        <v>139</v>
      </c>
      <c r="G2674" s="8">
        <v>45863</v>
      </c>
      <c r="H2674" s="6">
        <v>10.58</v>
      </c>
      <c r="I2674" s="6" cm="1">
        <f t="array" ref="I2674">IFERROR(VALUE(TRIM(LEFT(E2674,MIN(FIND({" ";"g";"k";"m";"o"},E2674&amp;" gkmo"))-1))),0)</f>
        <v>4</v>
      </c>
      <c r="J2674" s="6" t="str" cm="1">
        <f t="array" ref="J2674">IFERROR(TRIM(MID(E2674,MIN(FIND({" ";"g";"k";"m";"o"},E2674&amp;" gkmo")),10)),"unknown")</f>
        <v>x 40 g</v>
      </c>
      <c r="K2674" s="6" t="str">
        <f t="shared" si="164"/>
        <v>g</v>
      </c>
      <c r="L2674" s="6" t="str">
        <f t="shared" si="165"/>
        <v>Crownfield, Lidl</v>
      </c>
      <c r="M2674" s="6" t="str">
        <f t="shared" si="166"/>
        <v>Barres Amandes Et Noix De Coco</v>
      </c>
      <c r="N2674" s="6" t="str">
        <f t="shared" si="167"/>
        <v>France</v>
      </c>
    </row>
    <row r="2675" spans="1:14" x14ac:dyDescent="0.25">
      <c r="A2675" s="6" t="s">
        <v>6337</v>
      </c>
      <c r="B2675" s="6">
        <v>9749</v>
      </c>
      <c r="C2675" s="6" t="s">
        <v>6338</v>
      </c>
      <c r="D2675" s="7" t="s">
        <v>6339</v>
      </c>
      <c r="E2675" s="6" t="s">
        <v>1188</v>
      </c>
      <c r="F2675" s="6" t="s">
        <v>1181</v>
      </c>
      <c r="G2675" s="8">
        <v>45815</v>
      </c>
      <c r="H2675" s="6">
        <v>12.72</v>
      </c>
      <c r="I2675" s="6" cm="1">
        <f t="array" ref="I2675">IFERROR(VALUE(TRIM(LEFT(E2675,MIN(FIND({" ";"g";"k";"m";"o"},E2675&amp;" gkmo"))-1))),0)</f>
        <v>120</v>
      </c>
      <c r="J2675" s="6" t="str" cm="1">
        <f t="array" ref="J2675">IFERROR(TRIM(MID(E2675,MIN(FIND({" ";"g";"k";"m";"o"},E2675&amp;" gkmo")),10)),"unknown")</f>
        <v>g e</v>
      </c>
      <c r="K2675" s="6" t="str">
        <f t="shared" si="164"/>
        <v>g</v>
      </c>
      <c r="L2675" s="6" t="str">
        <f t="shared" si="165"/>
        <v>Lu,Mondelez</v>
      </c>
      <c r="M2675" s="6" t="str">
        <f t="shared" si="166"/>
        <v>Lulu La Barquette Framboise</v>
      </c>
      <c r="N2675" s="6" t="str">
        <f t="shared" si="167"/>
        <v>France,Switzerland</v>
      </c>
    </row>
    <row r="2676" spans="1:14" x14ac:dyDescent="0.25">
      <c r="A2676" s="6" t="s">
        <v>6340</v>
      </c>
      <c r="B2676" s="6">
        <v>11128</v>
      </c>
      <c r="C2676" s="6" t="s">
        <v>7398</v>
      </c>
      <c r="D2676" s="7" t="s">
        <v>13</v>
      </c>
      <c r="E2676" s="6" t="s">
        <v>39</v>
      </c>
      <c r="F2676" s="6" t="s">
        <v>139</v>
      </c>
      <c r="G2676" s="8">
        <v>45972</v>
      </c>
      <c r="H2676" s="6">
        <v>12.38</v>
      </c>
      <c r="I2676" s="6" cm="1">
        <f t="array" ref="I2676">IFERROR(VALUE(TRIM(LEFT(E2676,MIN(FIND({" ";"g";"k";"m";"o"},E2676&amp;" gkmo"))-1))),0)</f>
        <v>150</v>
      </c>
      <c r="J2676" s="6" t="str" cm="1">
        <f t="array" ref="J2676">IFERROR(TRIM(MID(E2676,MIN(FIND({" ";"g";"k";"m";"o"},E2676&amp;" gkmo")),10)),"unknown")</f>
        <v>g</v>
      </c>
      <c r="K2676" s="6" t="str">
        <f t="shared" si="164"/>
        <v>g</v>
      </c>
      <c r="L2676" s="6" t="str">
        <f t="shared" si="165"/>
        <v>Lu</v>
      </c>
      <c r="M2676" s="6" t="str">
        <f t="shared" si="166"/>
        <v>Miniroulés L'Original Aux Fraises</v>
      </c>
      <c r="N2676" s="6" t="str">
        <f t="shared" si="167"/>
        <v>France</v>
      </c>
    </row>
    <row r="2677" spans="1:14" x14ac:dyDescent="0.25">
      <c r="A2677" s="6" t="s">
        <v>6341</v>
      </c>
      <c r="B2677" s="6">
        <v>8707</v>
      </c>
      <c r="C2677" s="6" t="s">
        <v>6342</v>
      </c>
      <c r="D2677" s="7" t="s">
        <v>310</v>
      </c>
      <c r="E2677" s="6" t="s">
        <v>1393</v>
      </c>
      <c r="F2677" s="6" t="s">
        <v>139</v>
      </c>
      <c r="G2677" s="8">
        <v>45730</v>
      </c>
      <c r="H2677" s="6">
        <v>7.52</v>
      </c>
      <c r="I2677" s="6" cm="1">
        <f t="array" ref="I2677">IFERROR(VALUE(TRIM(LEFT(E2677,MIN(FIND({" ";"g";"k";"m";"o"},E2677&amp;" gkmo"))-1))),0)</f>
        <v>220</v>
      </c>
      <c r="J2677" s="6" t="str" cm="1">
        <f t="array" ref="J2677">IFERROR(TRIM(MID(E2677,MIN(FIND({" ";"g";"k";"m";"o"},E2677&amp;" gkmo")),10)),"unknown")</f>
        <v>g</v>
      </c>
      <c r="K2677" s="6" t="str">
        <f t="shared" si="164"/>
        <v>g</v>
      </c>
      <c r="L2677" s="6" t="str">
        <f t="shared" si="165"/>
        <v>St Michel</v>
      </c>
      <c r="M2677" s="6" t="str">
        <f t="shared" si="166"/>
        <v>Savaroises Chocolat</v>
      </c>
      <c r="N2677" s="6" t="str">
        <f t="shared" si="167"/>
        <v>France</v>
      </c>
    </row>
    <row r="2678" spans="1:14" x14ac:dyDescent="0.25">
      <c r="A2678" s="6" t="s">
        <v>6343</v>
      </c>
      <c r="B2678" s="6">
        <v>6019</v>
      </c>
      <c r="C2678" s="6" t="s">
        <v>6344</v>
      </c>
      <c r="D2678" s="7" t="s">
        <v>7399</v>
      </c>
      <c r="E2678" s="6" t="s">
        <v>10</v>
      </c>
      <c r="F2678" s="6" t="s">
        <v>139</v>
      </c>
      <c r="G2678" s="8">
        <v>45517</v>
      </c>
      <c r="H2678" s="6">
        <v>10.48</v>
      </c>
      <c r="I2678" s="6" cm="1">
        <f t="array" ref="I2678">IFERROR(VALUE(TRIM(LEFT(E2678,MIN(FIND({" ";"g";"k";"m";"o"},E2678&amp;" gkmo"))-1))),0)</f>
        <v>100</v>
      </c>
      <c r="J2678" s="6" t="str" cm="1">
        <f t="array" ref="J2678">IFERROR(TRIM(MID(E2678,MIN(FIND({" ";"g";"k";"m";"o"},E2678&amp;" gkmo")),10)),"unknown")</f>
        <v>g</v>
      </c>
      <c r="K2678" s="6" t="str">
        <f t="shared" si="164"/>
        <v>g</v>
      </c>
      <c r="L2678" s="6" t="str">
        <f t="shared" si="165"/>
        <v>Nestlé, Galak</v>
      </c>
      <c r="M2678" s="6" t="str">
        <f t="shared" si="166"/>
        <v>Galak Chocolat Blanc</v>
      </c>
      <c r="N2678" s="6" t="str">
        <f t="shared" si="167"/>
        <v>France</v>
      </c>
    </row>
    <row r="2679" spans="1:14" x14ac:dyDescent="0.25">
      <c r="A2679" s="6" t="s">
        <v>6345</v>
      </c>
      <c r="B2679" s="6">
        <v>11656</v>
      </c>
      <c r="C2679" s="6" t="s">
        <v>7400</v>
      </c>
      <c r="D2679" s="7" t="s">
        <v>7772</v>
      </c>
      <c r="E2679" s="6" t="s">
        <v>73</v>
      </c>
      <c r="F2679" s="6" t="s">
        <v>8215</v>
      </c>
      <c r="G2679" s="8">
        <v>45331</v>
      </c>
      <c r="H2679" s="6">
        <v>24.44</v>
      </c>
      <c r="I2679" s="6" cm="1">
        <f t="array" ref="I2679">IFERROR(VALUE(TRIM(LEFT(E2679,MIN(FIND({" ";"g";"k";"m";"o"},E2679&amp;" gkmo"))-1))),0)</f>
        <v>225</v>
      </c>
      <c r="J2679" s="6" t="str" cm="1">
        <f t="array" ref="J2679">IFERROR(TRIM(MID(E2679,MIN(FIND({" ";"g";"k";"m";"o"},E2679&amp;" gkmo")),10)),"unknown")</f>
        <v>g</v>
      </c>
      <c r="K2679" s="6" t="str">
        <f t="shared" si="164"/>
        <v>g</v>
      </c>
      <c r="L2679" s="6" t="str">
        <f t="shared" si="165"/>
        <v>Lindt, Lindt &amp; Sprà¼Ngli</v>
      </c>
      <c r="M2679" s="6" t="str">
        <f t="shared" si="166"/>
        <v>Lindt Chocolat Au Lait Praliné Noisettes</v>
      </c>
      <c r="N2679" s="6" t="str">
        <f t="shared" si="167"/>
        <v>Algeria,France</v>
      </c>
    </row>
    <row r="2680" spans="1:14" x14ac:dyDescent="0.25">
      <c r="A2680" s="6" t="s">
        <v>6346</v>
      </c>
      <c r="B2680" s="6">
        <v>6684</v>
      </c>
      <c r="C2680" s="6" t="s">
        <v>7017</v>
      </c>
      <c r="D2680" s="7" t="s">
        <v>2209</v>
      </c>
      <c r="E2680" s="6" t="s">
        <v>10</v>
      </c>
      <c r="F2680" s="6" t="s">
        <v>8176</v>
      </c>
      <c r="G2680" s="8">
        <v>45965</v>
      </c>
      <c r="H2680" s="6">
        <v>13.16</v>
      </c>
      <c r="I2680" s="6" cm="1">
        <f t="array" ref="I2680">IFERROR(VALUE(TRIM(LEFT(E2680,MIN(FIND({" ";"g";"k";"m";"o"},E2680&amp;" gkmo"))-1))),0)</f>
        <v>100</v>
      </c>
      <c r="J2680" s="6" t="str" cm="1">
        <f t="array" ref="J2680">IFERROR(TRIM(MID(E2680,MIN(FIND({" ";"g";"k";"m";"o"},E2680&amp;" gkmo")),10)),"unknown")</f>
        <v>g</v>
      </c>
      <c r="K2680" s="6" t="str">
        <f t="shared" si="164"/>
        <v>g</v>
      </c>
      <c r="L2680" s="6" t="str">
        <f t="shared" si="165"/>
        <v>Lindt Excellence</v>
      </c>
      <c r="M2680" s="6" t="str">
        <f t="shared" si="166"/>
        <v>Unknown</v>
      </c>
      <c r="N2680" s="6" t="str">
        <f t="shared" si="167"/>
        <v>À…Land Islands, Australia, Denmark, Finland, France, Morocco, Netherlands, New Zealand, Singapore, Sweden, United Kingdom, Spain</v>
      </c>
    </row>
    <row r="2681" spans="1:14" x14ac:dyDescent="0.25">
      <c r="A2681" s="6" t="s">
        <v>6347</v>
      </c>
      <c r="B2681" s="6">
        <v>6562</v>
      </c>
      <c r="C2681" s="6" t="s">
        <v>6348</v>
      </c>
      <c r="D2681" s="7" t="s">
        <v>60</v>
      </c>
      <c r="E2681" s="6" t="s">
        <v>39</v>
      </c>
      <c r="F2681" s="6" t="s">
        <v>8449</v>
      </c>
      <c r="G2681" s="8">
        <v>45559</v>
      </c>
      <c r="H2681" s="6">
        <v>4.12</v>
      </c>
      <c r="I2681" s="6" cm="1">
        <f t="array" ref="I2681">IFERROR(VALUE(TRIM(LEFT(E2681,MIN(FIND({" ";"g";"k";"m";"o"},E2681&amp;" gkmo"))-1))),0)</f>
        <v>150</v>
      </c>
      <c r="J2681" s="6" t="str" cm="1">
        <f t="array" ref="J2681">IFERROR(TRIM(MID(E2681,MIN(FIND({" ";"g";"k";"m";"o"},E2681&amp;" gkmo")),10)),"unknown")</f>
        <v>g</v>
      </c>
      <c r="K2681" s="6" t="str">
        <f t="shared" si="164"/>
        <v>g</v>
      </c>
      <c r="L2681" s="6" t="str">
        <f t="shared" si="165"/>
        <v>Lindt</v>
      </c>
      <c r="M2681" s="6" t="str">
        <f t="shared" si="166"/>
        <v>Creation Lait Caramel</v>
      </c>
      <c r="N2681" s="6" t="str">
        <f t="shared" si="167"/>
        <v>France,La Reunion</v>
      </c>
    </row>
    <row r="2682" spans="1:14" x14ac:dyDescent="0.25">
      <c r="A2682" s="6" t="s">
        <v>6349</v>
      </c>
      <c r="B2682" s="6">
        <v>10787</v>
      </c>
      <c r="C2682" s="6" t="s">
        <v>7383</v>
      </c>
      <c r="D2682" s="7" t="s">
        <v>7401</v>
      </c>
      <c r="E2682" s="6" t="s">
        <v>335</v>
      </c>
      <c r="F2682" s="6" t="s">
        <v>139</v>
      </c>
      <c r="G2682" s="8">
        <v>45439</v>
      </c>
      <c r="H2682" s="6">
        <v>13.16</v>
      </c>
      <c r="I2682" s="6" cm="1">
        <f t="array" ref="I2682">IFERROR(VALUE(TRIM(LEFT(E2682,MIN(FIND({" ";"g";"k";"m";"o"},E2682&amp;" gkmo"))-1))),0)</f>
        <v>250</v>
      </c>
      <c r="J2682" s="6" t="str" cm="1">
        <f t="array" ref="J2682">IFERROR(TRIM(MID(E2682,MIN(FIND({" ";"g";"k";"m";"o"},E2682&amp;" gkmo")),10)),"unknown")</f>
        <v>g</v>
      </c>
      <c r="K2682" s="6" t="str">
        <f t="shared" si="164"/>
        <v>g</v>
      </c>
      <c r="L2682" s="6" t="str">
        <f t="shared" si="165"/>
        <v>Apéricube, Bel</v>
      </c>
      <c r="M2682" s="6" t="str">
        <f t="shared" si="166"/>
        <v>Apéricube</v>
      </c>
      <c r="N2682" s="6" t="str">
        <f t="shared" si="167"/>
        <v>France</v>
      </c>
    </row>
    <row r="2683" spans="1:14" x14ac:dyDescent="0.25">
      <c r="A2683" s="6" t="s">
        <v>6350</v>
      </c>
      <c r="B2683" s="6">
        <v>11708</v>
      </c>
      <c r="C2683" s="6" t="s">
        <v>7402</v>
      </c>
      <c r="D2683" s="7" t="s">
        <v>1606</v>
      </c>
      <c r="E2683" s="6"/>
      <c r="F2683" s="6" t="s">
        <v>8311</v>
      </c>
      <c r="G2683" s="8">
        <v>45386</v>
      </c>
      <c r="H2683" s="6">
        <v>8.84</v>
      </c>
      <c r="I2683" s="6" cm="1">
        <f t="array" ref="I2683">IFERROR(VALUE(TRIM(LEFT(E2683,MIN(FIND({" ";"g";"k";"m";"o"},E2683&amp;" gkmo"))-1))),0)</f>
        <v>0</v>
      </c>
      <c r="J2683" s="6" t="str" cm="1">
        <f t="array" ref="J2683">IFERROR(TRIM(MID(E2683,MIN(FIND({" ";"g";"k";"m";"o"},E2683&amp;" gkmo")),10)),"unknown")</f>
        <v/>
      </c>
      <c r="K2683" s="6" t="str">
        <f t="shared" si="164"/>
        <v>unknown</v>
      </c>
      <c r="L2683" s="6" t="str">
        <f t="shared" si="165"/>
        <v>Bonduelle</v>
      </c>
      <c r="M2683" s="6" t="str">
        <f t="shared" si="166"/>
        <v>Macédoine 4/4</v>
      </c>
      <c r="N2683" s="6" t="str">
        <f t="shared" si="167"/>
        <v>France, Belgium</v>
      </c>
    </row>
    <row r="2684" spans="1:14" x14ac:dyDescent="0.25">
      <c r="A2684" s="6" t="s">
        <v>6351</v>
      </c>
      <c r="B2684" s="6">
        <v>10379</v>
      </c>
      <c r="C2684" s="6" t="s">
        <v>6352</v>
      </c>
      <c r="D2684" s="7" t="s">
        <v>1345</v>
      </c>
      <c r="E2684" s="6" t="s">
        <v>1582</v>
      </c>
      <c r="F2684" s="6" t="s">
        <v>8177</v>
      </c>
      <c r="G2684" s="8">
        <v>45869</v>
      </c>
      <c r="H2684" s="6">
        <v>5.15</v>
      </c>
      <c r="I2684" s="6" cm="1">
        <f t="array" ref="I2684">IFERROR(VALUE(TRIM(LEFT(E2684,MIN(FIND({" ";"g";"k";"m";"o"},E2684&amp;" gkmo"))-1))),0)</f>
        <v>120</v>
      </c>
      <c r="J2684" s="6" t="str" cm="1">
        <f t="array" ref="J2684">IFERROR(TRIM(MID(E2684,MIN(FIND({" ";"g";"k";"m";"o"},E2684&amp;" gkmo")),10)),"unknown")</f>
        <v>g</v>
      </c>
      <c r="K2684" s="6" t="str">
        <f t="shared" si="164"/>
        <v>g</v>
      </c>
      <c r="L2684" s="6" t="str">
        <f t="shared" si="165"/>
        <v>Haribo</v>
      </c>
      <c r="M2684" s="6" t="str">
        <f t="shared" si="166"/>
        <v>Dragibus Haribo</v>
      </c>
      <c r="N2684" s="6" t="str">
        <f t="shared" si="167"/>
        <v>France, Switzerland, Morocco</v>
      </c>
    </row>
    <row r="2685" spans="1:14" x14ac:dyDescent="0.25">
      <c r="A2685" s="6" t="s">
        <v>6353</v>
      </c>
      <c r="B2685" s="6">
        <v>14246</v>
      </c>
      <c r="C2685" s="6" t="s">
        <v>6354</v>
      </c>
      <c r="D2685" s="7" t="s">
        <v>3547</v>
      </c>
      <c r="E2685" s="6" t="s">
        <v>39</v>
      </c>
      <c r="F2685" s="6" t="s">
        <v>139</v>
      </c>
      <c r="G2685" s="8">
        <v>45964</v>
      </c>
      <c r="H2685" s="6">
        <v>20.260000000000002</v>
      </c>
      <c r="I2685" s="6" cm="1">
        <f t="array" ref="I2685">IFERROR(VALUE(TRIM(LEFT(E2685,MIN(FIND({" ";"g";"k";"m";"o"},E2685&amp;" gkmo"))-1))),0)</f>
        <v>150</v>
      </c>
      <c r="J2685" s="6" t="str" cm="1">
        <f t="array" ref="J2685">IFERROR(TRIM(MID(E2685,MIN(FIND({" ";"g";"k";"m";"o"},E2685&amp;" gkmo")),10)),"unknown")</f>
        <v>g</v>
      </c>
      <c r="K2685" s="6" t="str">
        <f t="shared" si="164"/>
        <v>g</v>
      </c>
      <c r="L2685" s="6" t="str">
        <f t="shared" si="165"/>
        <v>Kellogg'S</v>
      </c>
      <c r="M2685" s="6" t="str">
        <f t="shared" si="166"/>
        <v>Kellogg'S Barres Frosties 6X25G</v>
      </c>
      <c r="N2685" s="6" t="str">
        <f t="shared" si="167"/>
        <v>France</v>
      </c>
    </row>
    <row r="2686" spans="1:14" x14ac:dyDescent="0.25">
      <c r="A2686" s="6" t="s">
        <v>6355</v>
      </c>
      <c r="B2686" s="6">
        <v>14747</v>
      </c>
      <c r="C2686" s="6" t="s">
        <v>7515</v>
      </c>
      <c r="D2686" s="7" t="s">
        <v>7403</v>
      </c>
      <c r="E2686" s="6" t="s">
        <v>2388</v>
      </c>
      <c r="F2686" s="6" t="s">
        <v>139</v>
      </c>
      <c r="G2686" s="8">
        <v>45349</v>
      </c>
      <c r="H2686" s="6">
        <v>7.27</v>
      </c>
      <c r="I2686" s="6" cm="1">
        <f t="array" ref="I2686">IFERROR(VALUE(TRIM(LEFT(E2686,MIN(FIND({" ";"g";"k";"m";"o"},E2686&amp;" gkmo"))-1))),0)</f>
        <v>410</v>
      </c>
      <c r="J2686" s="6" t="str" cm="1">
        <f t="array" ref="J2686">IFERROR(TRIM(MID(E2686,MIN(FIND({" ";"g";"k";"m";"o"},E2686&amp;" gkmo")),10)),"unknown")</f>
        <v>g</v>
      </c>
      <c r="K2686" s="6" t="str">
        <f t="shared" si="164"/>
        <v>g</v>
      </c>
      <c r="L2686" s="6" t="str">
        <f t="shared" si="165"/>
        <v>Bénénuts, Pepsico France</v>
      </c>
      <c r="M2686" s="6" t="str">
        <f t="shared" si="166"/>
        <v>Bénénuts Cacahuètes Grillées &amp; Salées</v>
      </c>
      <c r="N2686" s="6" t="str">
        <f t="shared" si="167"/>
        <v>France</v>
      </c>
    </row>
    <row r="2687" spans="1:14" x14ac:dyDescent="0.25">
      <c r="A2687" s="6" t="s">
        <v>6356</v>
      </c>
      <c r="B2687" s="6">
        <v>11444</v>
      </c>
      <c r="C2687" s="6" t="s">
        <v>7404</v>
      </c>
      <c r="D2687" s="7" t="s">
        <v>7030</v>
      </c>
      <c r="E2687" s="6" t="s">
        <v>470</v>
      </c>
      <c r="F2687" s="6" t="s">
        <v>8350</v>
      </c>
      <c r="G2687" s="8">
        <v>45428</v>
      </c>
      <c r="H2687" s="6">
        <v>5.62</v>
      </c>
      <c r="I2687" s="6" cm="1">
        <f t="array" ref="I2687">IFERROR(VALUE(TRIM(LEFT(E2687,MIN(FIND({" ";"g";"k";"m";"o"},E2687&amp;" gkmo"))-1))),0)</f>
        <v>132</v>
      </c>
      <c r="J2687" s="6" t="str" cm="1">
        <f t="array" ref="J2687">IFERROR(TRIM(MID(E2687,MIN(FIND({" ";"g";"k";"m";"o"},E2687&amp;" gkmo")),10)),"unknown")</f>
        <v>g</v>
      </c>
      <c r="K2687" s="6" t="str">
        <f t="shared" si="164"/>
        <v>g</v>
      </c>
      <c r="L2687" s="6" t="str">
        <f t="shared" si="165"/>
        <v>Gerblé</v>
      </c>
      <c r="M2687" s="6" t="str">
        <f t="shared" si="166"/>
        <v>Noix De Pécan Sirop D'Érable</v>
      </c>
      <c r="N2687" s="6" t="str">
        <f t="shared" si="167"/>
        <v>France,Polynésie Franà§Aise,Switzerland,France</v>
      </c>
    </row>
    <row r="2688" spans="1:14" x14ac:dyDescent="0.25">
      <c r="A2688" s="6" t="s">
        <v>6357</v>
      </c>
      <c r="B2688" s="6">
        <v>9093</v>
      </c>
      <c r="C2688" s="6" t="s">
        <v>7405</v>
      </c>
      <c r="D2688" s="7" t="s">
        <v>7552</v>
      </c>
      <c r="E2688" s="6" t="s">
        <v>39</v>
      </c>
      <c r="F2688" s="6" t="s">
        <v>139</v>
      </c>
      <c r="G2688" s="8">
        <v>45789</v>
      </c>
      <c r="H2688" s="6">
        <v>18.170000000000002</v>
      </c>
      <c r="I2688" s="6" cm="1">
        <f t="array" ref="I2688">IFERROR(VALUE(TRIM(LEFT(E2688,MIN(FIND({" ";"g";"k";"m";"o"},E2688&amp;" gkmo"))-1))),0)</f>
        <v>150</v>
      </c>
      <c r="J2688" s="6" t="str" cm="1">
        <f t="array" ref="J2688">IFERROR(TRIM(MID(E2688,MIN(FIND({" ";"g";"k";"m";"o"},E2688&amp;" gkmo")),10)),"unknown")</f>
        <v>g</v>
      </c>
      <c r="K2688" s="6" t="str">
        <f t="shared" si="164"/>
        <v>g</v>
      </c>
      <c r="L2688" s="6" t="str">
        <f t="shared" si="165"/>
        <v>Gerblé, Nutrition Et Santé S.A.S., Sport &amp; Énergie</v>
      </c>
      <c r="M2688" s="6" t="str">
        <f t="shared" si="166"/>
        <v>Barre Figue Gerblé</v>
      </c>
      <c r="N2688" s="6" t="str">
        <f t="shared" si="167"/>
        <v>France</v>
      </c>
    </row>
    <row r="2689" spans="1:14" x14ac:dyDescent="0.25">
      <c r="A2689" s="6" t="s">
        <v>6358</v>
      </c>
      <c r="B2689" s="6">
        <v>10285</v>
      </c>
      <c r="C2689" s="6" t="s">
        <v>6359</v>
      </c>
      <c r="D2689" s="7" t="s">
        <v>6360</v>
      </c>
      <c r="E2689" s="6"/>
      <c r="F2689" s="6" t="s">
        <v>8059</v>
      </c>
      <c r="G2689" s="8">
        <v>45715</v>
      </c>
      <c r="H2689" s="6">
        <v>2.5099999999999998</v>
      </c>
      <c r="I2689" s="6" cm="1">
        <f t="array" ref="I2689">IFERROR(VALUE(TRIM(LEFT(E2689,MIN(FIND({" ";"g";"k";"m";"o"},E2689&amp;" gkmo"))-1))),0)</f>
        <v>0</v>
      </c>
      <c r="J2689" s="6" t="str" cm="1">
        <f t="array" ref="J2689">IFERROR(TRIM(MID(E2689,MIN(FIND({" ";"g";"k";"m";"o"},E2689&amp;" gkmo")),10)),"unknown")</f>
        <v/>
      </c>
      <c r="K2689" s="6" t="str">
        <f t="shared" si="164"/>
        <v>unknown</v>
      </c>
      <c r="L2689" s="6" t="str">
        <f t="shared" si="165"/>
        <v>St Michel</v>
      </c>
      <c r="M2689" s="6" t="str">
        <f t="shared" si="166"/>
        <v>Palmier</v>
      </c>
      <c r="N2689" s="6" t="str">
        <f t="shared" si="167"/>
        <v>France, United States, Morocco</v>
      </c>
    </row>
    <row r="2690" spans="1:14" x14ac:dyDescent="0.25">
      <c r="A2690" s="6" t="s">
        <v>6361</v>
      </c>
      <c r="B2690" s="6">
        <v>9823</v>
      </c>
      <c r="C2690" s="6" t="s">
        <v>7825</v>
      </c>
      <c r="D2690" s="7" t="s">
        <v>6362</v>
      </c>
      <c r="E2690" s="6"/>
      <c r="F2690" s="6" t="s">
        <v>442</v>
      </c>
      <c r="G2690" s="8">
        <v>45799</v>
      </c>
      <c r="H2690" s="6">
        <v>9</v>
      </c>
      <c r="I2690" s="6" cm="1">
        <f t="array" ref="I2690">IFERROR(VALUE(TRIM(LEFT(E2690,MIN(FIND({" ";"g";"k";"m";"o"},E2690&amp;" gkmo"))-1))),0)</f>
        <v>0</v>
      </c>
      <c r="J2690" s="6" t="str" cm="1">
        <f t="array" ref="J2690">IFERROR(TRIM(MID(E2690,MIN(FIND({" ";"g";"k";"m";"o"},E2690&amp;" gkmo")),10)),"unknown")</f>
        <v/>
      </c>
      <c r="K2690" s="6" t="str">
        <f t="shared" ref="K2690:K2753" si="168">IF(E2690="","unknown",IF(OR(J2690="g",LEFT(J2690,1)="g"),"g",IF(OR(LEFT(J2690,2)="kg",LEFT(J2690,2)="ki"),"kg",IF(OR(LEFT(J2690,2)="ml",LEFT(J2690,1)="m"),"ml",IF(LEFT(J2690,1)="l","l",IF(ISNUMBER(SEARCH("g",E2690)),"g",IF(ISNUMBER(SEARCH("kg",E2690)),"kg",IF(ISNUMBER(SEARCH("ml",E2690)),"ml","unknown"))))))))</f>
        <v>unknown</v>
      </c>
      <c r="L2690" s="6" t="str">
        <f t="shared" ref="L2690:L2753" si="169">IF(D2690="","Unknown",PROPER(TRIM(D2690)))</f>
        <v>Gayelord Hauser</v>
      </c>
      <c r="M2690" s="6" t="str">
        <f t="shared" ref="M2690:M2753" si="170">IF(C2690="Unknown","Unknown",PROPER(TRIM(C2690)))</f>
        <v>Pà¢Tes De Fruits</v>
      </c>
      <c r="N2690" s="6" t="str">
        <f t="shared" si="167"/>
        <v>Frankreich</v>
      </c>
    </row>
    <row r="2691" spans="1:14" x14ac:dyDescent="0.25">
      <c r="A2691" s="6" t="s">
        <v>6363</v>
      </c>
      <c r="B2691" s="6">
        <v>10919</v>
      </c>
      <c r="C2691" s="6" t="s">
        <v>7406</v>
      </c>
      <c r="D2691" s="7" t="s">
        <v>72</v>
      </c>
      <c r="E2691" s="6"/>
      <c r="F2691" s="6" t="s">
        <v>139</v>
      </c>
      <c r="G2691" s="8">
        <v>45419</v>
      </c>
      <c r="H2691" s="6">
        <v>15.18</v>
      </c>
      <c r="I2691" s="6" cm="1">
        <f t="array" ref="I2691">IFERROR(VALUE(TRIM(LEFT(E2691,MIN(FIND({" ";"g";"k";"m";"o"},E2691&amp;" gkmo"))-1))),0)</f>
        <v>0</v>
      </c>
      <c r="J2691" s="6" t="str" cm="1">
        <f t="array" ref="J2691">IFERROR(TRIM(MID(E2691,MIN(FIND({" ";"g";"k";"m";"o"},E2691&amp;" gkmo")),10)),"unknown")</f>
        <v/>
      </c>
      <c r="K2691" s="6" t="str">
        <f t="shared" si="168"/>
        <v>unknown</v>
      </c>
      <c r="L2691" s="6" t="str">
        <f t="shared" si="169"/>
        <v>Bjorg</v>
      </c>
      <c r="M2691" s="6" t="str">
        <f t="shared" si="170"/>
        <v>Le Sablé</v>
      </c>
      <c r="N2691" s="6" t="str">
        <f t="shared" ref="N2691:N2754" si="171">IF(F2691="","Unknown",PROPER(TRIM(F2691)))</f>
        <v>France</v>
      </c>
    </row>
    <row r="2692" spans="1:14" x14ac:dyDescent="0.25">
      <c r="A2692" s="6" t="s">
        <v>6364</v>
      </c>
      <c r="B2692" s="6">
        <v>12963</v>
      </c>
      <c r="C2692" s="6" t="s">
        <v>7407</v>
      </c>
      <c r="D2692" s="7" t="s">
        <v>3638</v>
      </c>
      <c r="E2692" s="6" t="s">
        <v>1396</v>
      </c>
      <c r="F2692" s="6" t="s">
        <v>8283</v>
      </c>
      <c r="G2692" s="8">
        <v>45389</v>
      </c>
      <c r="H2692" s="6">
        <v>7.11</v>
      </c>
      <c r="I2692" s="6" cm="1">
        <f t="array" ref="I2692">IFERROR(VALUE(TRIM(LEFT(E2692,MIN(FIND({" ";"g";"k";"m";"o"},E2692&amp;" gkmo"))-1))),0)</f>
        <v>600</v>
      </c>
      <c r="J2692" s="6" t="str" cm="1">
        <f t="array" ref="J2692">IFERROR(TRIM(MID(E2692,MIN(FIND({" ";"g";"k";"m";"o"},E2692&amp;" gkmo")),10)),"unknown")</f>
        <v>g</v>
      </c>
      <c r="K2692" s="6" t="str">
        <f t="shared" si="168"/>
        <v>g</v>
      </c>
      <c r="L2692" s="6" t="str">
        <f t="shared" si="169"/>
        <v>Carrefour, Reflets De France</v>
      </c>
      <c r="M2692" s="6" t="str">
        <f t="shared" si="170"/>
        <v>Brioche Vendéenne Igp</v>
      </c>
      <c r="N2692" s="6" t="str">
        <f t="shared" si="171"/>
        <v>France, Italie, Spain</v>
      </c>
    </row>
    <row r="2693" spans="1:14" x14ac:dyDescent="0.25">
      <c r="A2693" s="6" t="s">
        <v>6365</v>
      </c>
      <c r="B2693" s="6">
        <v>12330</v>
      </c>
      <c r="C2693" s="6" t="s">
        <v>6366</v>
      </c>
      <c r="D2693" s="7" t="s">
        <v>4889</v>
      </c>
      <c r="E2693" s="6" t="s">
        <v>423</v>
      </c>
      <c r="F2693" s="6" t="s">
        <v>139</v>
      </c>
      <c r="G2693" s="8">
        <v>45757</v>
      </c>
      <c r="H2693" s="6">
        <v>14.97</v>
      </c>
      <c r="I2693" s="6" cm="1">
        <f t="array" ref="I2693">IFERROR(VALUE(TRIM(LEFT(E2693,MIN(FIND({" ";"g";"k";"m";"o"},E2693&amp;" gkmo"))-1))),0)</f>
        <v>125</v>
      </c>
      <c r="J2693" s="6" t="str" cm="1">
        <f t="array" ref="J2693">IFERROR(TRIM(MID(E2693,MIN(FIND({" ";"g";"k";"m";"o"},E2693&amp;" gkmo")),10)),"unknown")</f>
        <v>g</v>
      </c>
      <c r="K2693" s="6" t="str">
        <f t="shared" si="168"/>
        <v>g</v>
      </c>
      <c r="L2693" s="6" t="str">
        <f t="shared" si="169"/>
        <v>Chabrior</v>
      </c>
      <c r="M2693" s="6" t="str">
        <f t="shared" si="170"/>
        <v>Palets Bretons Pur Beurre 125G</v>
      </c>
      <c r="N2693" s="6" t="str">
        <f t="shared" si="171"/>
        <v>France</v>
      </c>
    </row>
    <row r="2694" spans="1:14" x14ac:dyDescent="0.25">
      <c r="A2694" s="6" t="s">
        <v>6367</v>
      </c>
      <c r="B2694" s="6">
        <v>11717</v>
      </c>
      <c r="C2694" s="6" t="s">
        <v>7866</v>
      </c>
      <c r="D2694" s="7" t="s">
        <v>4731</v>
      </c>
      <c r="E2694" s="6" t="s">
        <v>1265</v>
      </c>
      <c r="F2694" s="6" t="s">
        <v>6368</v>
      </c>
      <c r="G2694" s="8">
        <v>45716</v>
      </c>
      <c r="H2694" s="6">
        <v>13.16</v>
      </c>
      <c r="I2694" s="6" cm="1">
        <f t="array" ref="I2694">IFERROR(VALUE(TRIM(LEFT(E2694,MIN(FIND({" ";"g";"k";"m";"o"},E2694&amp;" gkmo"))-1))),0)</f>
        <v>185</v>
      </c>
      <c r="J2694" s="6" t="str" cm="1">
        <f t="array" ref="J2694">IFERROR(TRIM(MID(E2694,MIN(FIND({" ";"g";"k";"m";"o"},E2694&amp;" gkmo")),10)),"unknown")</f>
        <v>g</v>
      </c>
      <c r="K2694" s="6" t="str">
        <f t="shared" si="168"/>
        <v>g</v>
      </c>
      <c r="L2694" s="6" t="str">
        <f t="shared" si="169"/>
        <v>Chabrior, Chabrior Bio</v>
      </c>
      <c r="M2694" s="6" t="str">
        <f t="shared" si="170"/>
        <v>Goà»Ter Fourré Cacao Rond Bio</v>
      </c>
      <c r="N2694" s="6" t="str">
        <f t="shared" si="171"/>
        <v>France,Belgium</v>
      </c>
    </row>
    <row r="2695" spans="1:14" x14ac:dyDescent="0.25">
      <c r="A2695" s="6" t="s">
        <v>6369</v>
      </c>
      <c r="B2695" s="6">
        <v>6600</v>
      </c>
      <c r="C2695" s="6" t="s">
        <v>7867</v>
      </c>
      <c r="D2695" s="7" t="s">
        <v>3594</v>
      </c>
      <c r="E2695" s="6" t="s">
        <v>39</v>
      </c>
      <c r="F2695" s="6" t="s">
        <v>139</v>
      </c>
      <c r="G2695" s="8">
        <v>45987</v>
      </c>
      <c r="H2695" s="6">
        <v>14.81</v>
      </c>
      <c r="I2695" s="6" cm="1">
        <f t="array" ref="I2695">IFERROR(VALUE(TRIM(LEFT(E2695,MIN(FIND({" ";"g";"k";"m";"o"},E2695&amp;" gkmo"))-1))),0)</f>
        <v>150</v>
      </c>
      <c r="J2695" s="6" t="str" cm="1">
        <f t="array" ref="J2695">IFERROR(TRIM(MID(E2695,MIN(FIND({" ";"g";"k";"m";"o"},E2695&amp;" gkmo")),10)),"unknown")</f>
        <v>g</v>
      </c>
      <c r="K2695" s="6" t="str">
        <f t="shared" si="168"/>
        <v>g</v>
      </c>
      <c r="L2695" s="6" t="str">
        <f t="shared" si="169"/>
        <v>U</v>
      </c>
      <c r="M2695" s="6" t="str">
        <f t="shared" si="170"/>
        <v>Pistache Grillée À  Sec Sachet De 150G</v>
      </c>
      <c r="N2695" s="6" t="str">
        <f t="shared" si="171"/>
        <v>France</v>
      </c>
    </row>
    <row r="2696" spans="1:14" x14ac:dyDescent="0.25">
      <c r="A2696" s="6" t="s">
        <v>6370</v>
      </c>
      <c r="B2696" s="6">
        <v>7311</v>
      </c>
      <c r="C2696" s="6" t="s">
        <v>6371</v>
      </c>
      <c r="D2696" s="7" t="s">
        <v>2199</v>
      </c>
      <c r="E2696" s="6" t="s">
        <v>39</v>
      </c>
      <c r="F2696" s="6" t="s">
        <v>139</v>
      </c>
      <c r="G2696" s="8">
        <v>45665</v>
      </c>
      <c r="H2696" s="6">
        <v>7.51</v>
      </c>
      <c r="I2696" s="6" cm="1">
        <f t="array" ref="I2696">IFERROR(VALUE(TRIM(LEFT(E2696,MIN(FIND({" ";"g";"k";"m";"o"},E2696&amp;" gkmo"))-1))),0)</f>
        <v>150</v>
      </c>
      <c r="J2696" s="6" t="str" cm="1">
        <f t="array" ref="J2696">IFERROR(TRIM(MID(E2696,MIN(FIND({" ";"g";"k";"m";"o"},E2696&amp;" gkmo")),10)),"unknown")</f>
        <v>g</v>
      </c>
      <c r="K2696" s="6" t="str">
        <f t="shared" si="168"/>
        <v>g</v>
      </c>
      <c r="L2696" s="6" t="str">
        <f t="shared" si="169"/>
        <v>U, U Bio</v>
      </c>
      <c r="M2696" s="6" t="str">
        <f t="shared" si="170"/>
        <v>Tablette Petit Beurre Au Chocolat Noir Bio Paquet De 150G</v>
      </c>
      <c r="N2696" s="6" t="str">
        <f t="shared" si="171"/>
        <v>France</v>
      </c>
    </row>
    <row r="2697" spans="1:14" x14ac:dyDescent="0.25">
      <c r="A2697" s="6" t="s">
        <v>6372</v>
      </c>
      <c r="B2697" s="6">
        <v>11086</v>
      </c>
      <c r="C2697" s="6" t="s">
        <v>7408</v>
      </c>
      <c r="D2697" s="7" t="s">
        <v>854</v>
      </c>
      <c r="E2697" s="6" t="s">
        <v>151</v>
      </c>
      <c r="F2697" s="6" t="s">
        <v>6373</v>
      </c>
      <c r="G2697" s="8">
        <v>45799</v>
      </c>
      <c r="H2697" s="6">
        <v>23.36</v>
      </c>
      <c r="I2697" s="6" cm="1">
        <f t="array" ref="I2697">IFERROR(VALUE(TRIM(LEFT(E2697,MIN(FIND({" ";"g";"k";"m";"o"},E2697&amp;" gkmo"))-1))),0)</f>
        <v>200</v>
      </c>
      <c r="J2697" s="6" t="str" cm="1">
        <f t="array" ref="J2697">IFERROR(TRIM(MID(E2697,MIN(FIND({" ";"g";"k";"m";"o"},E2697&amp;" gkmo")),10)),"unknown")</f>
        <v>g</v>
      </c>
      <c r="K2697" s="6" t="str">
        <f t="shared" si="168"/>
        <v>g</v>
      </c>
      <c r="L2697" s="6" t="str">
        <f t="shared" si="169"/>
        <v>Carrefour</v>
      </c>
      <c r="M2697" s="6" t="str">
        <f t="shared" si="170"/>
        <v>Cookies Aux Pépites De Chocolat &amp; Noisettes</v>
      </c>
      <c r="N2697" s="6" t="str">
        <f t="shared" si="171"/>
        <v>Belgium,France,Italy,Morocco,Poland,Romania,Spain</v>
      </c>
    </row>
    <row r="2698" spans="1:14" x14ac:dyDescent="0.25">
      <c r="A2698" s="6" t="s">
        <v>6374</v>
      </c>
      <c r="B2698" s="6">
        <v>11272</v>
      </c>
      <c r="C2698" s="6" t="s">
        <v>6375</v>
      </c>
      <c r="D2698" s="7" t="s">
        <v>35</v>
      </c>
      <c r="E2698" s="6" t="s">
        <v>476</v>
      </c>
      <c r="F2698" s="6" t="s">
        <v>511</v>
      </c>
      <c r="G2698" s="8">
        <v>45424</v>
      </c>
      <c r="H2698" s="6">
        <v>12.73</v>
      </c>
      <c r="I2698" s="6" cm="1">
        <f t="array" ref="I2698">IFERROR(VALUE(TRIM(LEFT(E2698,MIN(FIND({" ";"g";"k";"m";"o"},E2698&amp;" gkmo"))-1))),0)</f>
        <v>45</v>
      </c>
      <c r="J2698" s="6" t="str" cm="1">
        <f t="array" ref="J2698">IFERROR(TRIM(MID(E2698,MIN(FIND({" ";"g";"k";"m";"o"},E2698&amp;" gkmo")),10)),"unknown")</f>
        <v>g</v>
      </c>
      <c r="K2698" s="6" t="str">
        <f t="shared" si="168"/>
        <v>g</v>
      </c>
      <c r="L2698" s="6" t="str">
        <f t="shared" si="169"/>
        <v>Henry'S</v>
      </c>
      <c r="M2698" s="6" t="str">
        <f t="shared" si="170"/>
        <v>Sable Enrobe</v>
      </c>
      <c r="N2698" s="6" t="str">
        <f t="shared" si="171"/>
        <v>France,Morocco</v>
      </c>
    </row>
    <row r="2699" spans="1:14" x14ac:dyDescent="0.25">
      <c r="A2699" s="6" t="s">
        <v>6376</v>
      </c>
      <c r="B2699" s="6">
        <v>8297</v>
      </c>
      <c r="C2699" s="6" t="s">
        <v>7705</v>
      </c>
      <c r="D2699" s="7" t="s">
        <v>6377</v>
      </c>
      <c r="E2699" s="6" t="s">
        <v>6378</v>
      </c>
      <c r="F2699" s="6" t="s">
        <v>139</v>
      </c>
      <c r="G2699" s="8">
        <v>45790</v>
      </c>
      <c r="H2699" s="6">
        <v>6.27</v>
      </c>
      <c r="I2699" s="6" cm="1">
        <f t="array" ref="I2699">IFERROR(VALUE(TRIM(LEFT(E2699,MIN(FIND({" ";"g";"k";"m";"o"},E2699&amp;" gkmo"))-1))),0)</f>
        <v>300</v>
      </c>
      <c r="J2699" s="6" t="str" cm="1">
        <f t="array" ref="J2699">IFERROR(TRIM(MID(E2699,MIN(FIND({" ";"g";"k";"m";"o"},E2699&amp;" gkmo")),10)),"unknown")</f>
        <v>g (2*25)</v>
      </c>
      <c r="K2699" s="6" t="str">
        <f t="shared" si="168"/>
        <v>g</v>
      </c>
      <c r="L2699" s="6" t="str">
        <f t="shared" si="169"/>
        <v>Ekibio, Le Pain Des Fleurs</v>
      </c>
      <c r="M2699" s="6" t="str">
        <f t="shared" si="170"/>
        <v>Tartines Craquantes Bio À  La Chà¢Taigne Sans Gluten</v>
      </c>
      <c r="N2699" s="6" t="str">
        <f t="shared" si="171"/>
        <v>France</v>
      </c>
    </row>
    <row r="2700" spans="1:14" x14ac:dyDescent="0.25">
      <c r="A2700" s="6" t="s">
        <v>6379</v>
      </c>
      <c r="B2700" s="6">
        <v>10900</v>
      </c>
      <c r="C2700" s="6" t="s">
        <v>7409</v>
      </c>
      <c r="D2700" s="7" t="s">
        <v>7186</v>
      </c>
      <c r="E2700" s="6" t="s">
        <v>470</v>
      </c>
      <c r="F2700" s="6" t="s">
        <v>1181</v>
      </c>
      <c r="G2700" s="8">
        <v>45444</v>
      </c>
      <c r="H2700" s="6">
        <v>7.08</v>
      </c>
      <c r="I2700" s="6" cm="1">
        <f t="array" ref="I2700">IFERROR(VALUE(TRIM(LEFT(E2700,MIN(FIND({" ";"g";"k";"m";"o"},E2700&amp;" gkmo"))-1))),0)</f>
        <v>132</v>
      </c>
      <c r="J2700" s="6" t="str" cm="1">
        <f t="array" ref="J2700">IFERROR(TRIM(MID(E2700,MIN(FIND({" ";"g";"k";"m";"o"},E2700&amp;" gkmo")),10)),"unknown")</f>
        <v>g</v>
      </c>
      <c r="K2700" s="6" t="str">
        <f t="shared" si="168"/>
        <v>g</v>
      </c>
      <c r="L2700" s="6" t="str">
        <f t="shared" si="169"/>
        <v>Karéléa, Léa Nature</v>
      </c>
      <c r="M2700" s="6" t="str">
        <f t="shared" si="170"/>
        <v>Biscuits Gourmands Sésame Vanille</v>
      </c>
      <c r="N2700" s="6" t="str">
        <f t="shared" si="171"/>
        <v>France,Switzerland</v>
      </c>
    </row>
    <row r="2701" spans="1:14" x14ac:dyDescent="0.25">
      <c r="A2701" s="6" t="s">
        <v>6380</v>
      </c>
      <c r="B2701" s="6">
        <v>9142</v>
      </c>
      <c r="C2701" s="6" t="s">
        <v>7868</v>
      </c>
      <c r="D2701" s="7" t="s">
        <v>624</v>
      </c>
      <c r="E2701" s="6" t="s">
        <v>423</v>
      </c>
      <c r="F2701" s="6" t="s">
        <v>139</v>
      </c>
      <c r="G2701" s="8">
        <v>45411</v>
      </c>
      <c r="H2701" s="6">
        <v>24.12</v>
      </c>
      <c r="I2701" s="6" cm="1">
        <f t="array" ref="I2701">IFERROR(VALUE(TRIM(LEFT(E2701,MIN(FIND({" ";"g";"k";"m";"o"},E2701&amp;" gkmo"))-1))),0)</f>
        <v>125</v>
      </c>
      <c r="J2701" s="6" t="str" cm="1">
        <f t="array" ref="J2701">IFERROR(TRIM(MID(E2701,MIN(FIND({" ";"g";"k";"m";"o"},E2701&amp;" gkmo")),10)),"unknown")</f>
        <v>g</v>
      </c>
      <c r="K2701" s="6" t="str">
        <f t="shared" si="168"/>
        <v>g</v>
      </c>
      <c r="L2701" s="6" t="str">
        <f t="shared" si="169"/>
        <v>Brets</v>
      </c>
      <c r="M2701" s="6" t="str">
        <f t="shared" si="170"/>
        <v>Chips Saveur Cà´Te De Boeuf Grillée</v>
      </c>
      <c r="N2701" s="6" t="str">
        <f t="shared" si="171"/>
        <v>France</v>
      </c>
    </row>
    <row r="2702" spans="1:14" x14ac:dyDescent="0.25">
      <c r="A2702" s="6" t="s">
        <v>6381</v>
      </c>
      <c r="B2702" s="6">
        <v>9284</v>
      </c>
      <c r="C2702" s="6" t="s">
        <v>6382</v>
      </c>
      <c r="D2702" s="7" t="s">
        <v>7410</v>
      </c>
      <c r="E2702" s="6" t="s">
        <v>10</v>
      </c>
      <c r="F2702" s="6" t="s">
        <v>6383</v>
      </c>
      <c r="G2702" s="8">
        <v>46048</v>
      </c>
      <c r="H2702" s="6">
        <v>12.83</v>
      </c>
      <c r="I2702" s="6" cm="1">
        <f t="array" ref="I2702">IFERROR(VALUE(TRIM(LEFT(E2702,MIN(FIND({" ";"g";"k";"m";"o"},E2702&amp;" gkmo"))-1))),0)</f>
        <v>100</v>
      </c>
      <c r="J2702" s="6" t="str" cm="1">
        <f t="array" ref="J2702">IFERROR(TRIM(MID(E2702,MIN(FIND({" ";"g";"k";"m";"o"},E2702&amp;" gkmo")),10)),"unknown")</f>
        <v>g</v>
      </c>
      <c r="K2702" s="6" t="str">
        <f t="shared" si="168"/>
        <v>g</v>
      </c>
      <c r="L2702" s="6" t="str">
        <f t="shared" si="169"/>
        <v>Carrefour,Sélection</v>
      </c>
      <c r="M2702" s="6" t="str">
        <f t="shared" si="170"/>
        <v>Fleur De Sel Noir</v>
      </c>
      <c r="N2702" s="6" t="str">
        <f t="shared" si="171"/>
        <v>France,French Polynesia,Italy,Kenya,Spain</v>
      </c>
    </row>
    <row r="2703" spans="1:14" x14ac:dyDescent="0.25">
      <c r="A2703" s="6" t="s">
        <v>6384</v>
      </c>
      <c r="B2703" s="6">
        <v>14173</v>
      </c>
      <c r="C2703" s="6" t="s">
        <v>6385</v>
      </c>
      <c r="D2703" s="7" t="s">
        <v>854</v>
      </c>
      <c r="E2703" s="6" t="s">
        <v>151</v>
      </c>
      <c r="F2703" s="6" t="s">
        <v>139</v>
      </c>
      <c r="G2703" s="8">
        <v>45488</v>
      </c>
      <c r="H2703" s="6">
        <v>7.5</v>
      </c>
      <c r="I2703" s="6" cm="1">
        <f t="array" ref="I2703">IFERROR(VALUE(TRIM(LEFT(E2703,MIN(FIND({" ";"g";"k";"m";"o"},E2703&amp;" gkmo"))-1))),0)</f>
        <v>200</v>
      </c>
      <c r="J2703" s="6" t="str" cm="1">
        <f t="array" ref="J2703">IFERROR(TRIM(MID(E2703,MIN(FIND({" ";"g";"k";"m";"o"},E2703&amp;" gkmo")),10)),"unknown")</f>
        <v>g</v>
      </c>
      <c r="K2703" s="6" t="str">
        <f t="shared" si="168"/>
        <v>g</v>
      </c>
      <c r="L2703" s="6" t="str">
        <f t="shared" si="169"/>
        <v>Carrefour</v>
      </c>
      <c r="M2703" s="6" t="str">
        <f t="shared" si="170"/>
        <v>Lait Noisettes Entieres</v>
      </c>
      <c r="N2703" s="6" t="str">
        <f t="shared" si="171"/>
        <v>France</v>
      </c>
    </row>
    <row r="2704" spans="1:14" x14ac:dyDescent="0.25">
      <c r="A2704" s="6" t="s">
        <v>6386</v>
      </c>
      <c r="B2704" s="6">
        <v>14123</v>
      </c>
      <c r="C2704" s="6" t="s">
        <v>6387</v>
      </c>
      <c r="D2704" s="7" t="s">
        <v>7480</v>
      </c>
      <c r="E2704" s="6" t="s">
        <v>151</v>
      </c>
      <c r="F2704" s="6" t="s">
        <v>8455</v>
      </c>
      <c r="G2704" s="8">
        <v>45383</v>
      </c>
      <c r="H2704" s="6">
        <v>18.579999999999998</v>
      </c>
      <c r="I2704" s="6" cm="1">
        <f t="array" ref="I2704">IFERROR(VALUE(TRIM(LEFT(E2704,MIN(FIND({" ";"g";"k";"m";"o"},E2704&amp;" gkmo"))-1))),0)</f>
        <v>200</v>
      </c>
      <c r="J2704" s="6" t="str" cm="1">
        <f t="array" ref="J2704">IFERROR(TRIM(MID(E2704,MIN(FIND({" ";"g";"k";"m";"o"},E2704&amp;" gkmo")),10)),"unknown")</f>
        <v>g</v>
      </c>
      <c r="K2704" s="6" t="str">
        <f t="shared" si="168"/>
        <v>g</v>
      </c>
      <c r="L2704" s="6" t="str">
        <f t="shared" si="169"/>
        <v>Marque Repère, P'Tit Déli</v>
      </c>
      <c r="M2704" s="6" t="str">
        <f t="shared" si="170"/>
        <v>Cookie Nougatine Choco</v>
      </c>
      <c r="N2704" s="6" t="str">
        <f t="shared" si="171"/>
        <v>France,Reunion</v>
      </c>
    </row>
    <row r="2705" spans="1:14" x14ac:dyDescent="0.25">
      <c r="A2705" s="6" t="s">
        <v>6388</v>
      </c>
      <c r="B2705" s="6">
        <v>5749</v>
      </c>
      <c r="C2705" s="6" t="s">
        <v>7411</v>
      </c>
      <c r="D2705" s="7" t="s">
        <v>7869</v>
      </c>
      <c r="E2705" s="6" t="s">
        <v>14</v>
      </c>
      <c r="F2705" s="6" t="s">
        <v>139</v>
      </c>
      <c r="G2705" s="8">
        <v>45980</v>
      </c>
      <c r="H2705" s="6">
        <v>5.36</v>
      </c>
      <c r="I2705" s="6" cm="1">
        <f t="array" ref="I2705">IFERROR(VALUE(TRIM(LEFT(E2705,MIN(FIND({" ";"g";"k";"m";"o"},E2705&amp;" gkmo"))-1))),0)</f>
        <v>300</v>
      </c>
      <c r="J2705" s="6" t="str" cm="1">
        <f t="array" ref="J2705">IFERROR(TRIM(MID(E2705,MIN(FIND({" ";"g";"k";"m";"o"},E2705&amp;" gkmo")),10)),"unknown")</f>
        <v>g</v>
      </c>
      <c r="K2705" s="6" t="str">
        <f t="shared" si="168"/>
        <v>g</v>
      </c>
      <c r="L2705" s="6" t="str">
        <f t="shared" si="169"/>
        <v>Marque Repère, Menu Fraà®Cheur, Pause Fraà®Cheur</v>
      </c>
      <c r="M2705" s="6" t="str">
        <f t="shared" si="170"/>
        <v>Salade Carottes Rapées</v>
      </c>
      <c r="N2705" s="6" t="str">
        <f t="shared" si="171"/>
        <v>France</v>
      </c>
    </row>
    <row r="2706" spans="1:14" x14ac:dyDescent="0.25">
      <c r="A2706" s="6" t="s">
        <v>6389</v>
      </c>
      <c r="B2706" s="6">
        <v>13373</v>
      </c>
      <c r="C2706" s="6" t="s">
        <v>6390</v>
      </c>
      <c r="D2706" s="7" t="s">
        <v>7496</v>
      </c>
      <c r="E2706" s="6" t="s">
        <v>423</v>
      </c>
      <c r="F2706" s="6" t="s">
        <v>139</v>
      </c>
      <c r="G2706" s="8">
        <v>45746</v>
      </c>
      <c r="H2706" s="6">
        <v>21.86</v>
      </c>
      <c r="I2706" s="6" cm="1">
        <f t="array" ref="I2706">IFERROR(VALUE(TRIM(LEFT(E2706,MIN(FIND({" ";"g";"k";"m";"o"},E2706&amp;" gkmo"))-1))),0)</f>
        <v>125</v>
      </c>
      <c r="J2706" s="6" t="str" cm="1">
        <f t="array" ref="J2706">IFERROR(TRIM(MID(E2706,MIN(FIND({" ";"g";"k";"m";"o"},E2706&amp;" gkmo")),10)),"unknown")</f>
        <v>g</v>
      </c>
      <c r="K2706" s="6" t="str">
        <f t="shared" si="168"/>
        <v>g</v>
      </c>
      <c r="L2706" s="6" t="str">
        <f t="shared" si="169"/>
        <v>Bio Village, Marque Repère</v>
      </c>
      <c r="M2706" s="6" t="str">
        <f t="shared" si="170"/>
        <v>Galette Pur Beurre</v>
      </c>
      <c r="N2706" s="6" t="str">
        <f t="shared" si="171"/>
        <v>France</v>
      </c>
    </row>
    <row r="2707" spans="1:14" x14ac:dyDescent="0.25">
      <c r="A2707" s="6" t="s">
        <v>6391</v>
      </c>
      <c r="B2707" s="6">
        <v>13098</v>
      </c>
      <c r="C2707" s="6" t="s">
        <v>7412</v>
      </c>
      <c r="D2707" s="7" t="s">
        <v>7413</v>
      </c>
      <c r="E2707" s="6" t="s">
        <v>6392</v>
      </c>
      <c r="F2707" s="6" t="s">
        <v>139</v>
      </c>
      <c r="G2707" s="8">
        <v>45436</v>
      </c>
      <c r="H2707" s="6">
        <v>2.02</v>
      </c>
      <c r="I2707" s="6" cm="1">
        <f t="array" ref="I2707">IFERROR(VALUE(TRIM(LEFT(E2707,MIN(FIND({" ";"g";"k";"m";"o"},E2707&amp;" gkmo"))-1))),0)</f>
        <v>650</v>
      </c>
      <c r="J2707" s="6" t="str" cm="1">
        <f t="array" ref="J2707">IFERROR(TRIM(MID(E2707,MIN(FIND({" ";"g";"k";"m";"o"},E2707&amp;" gkmo")),10)),"unknown")</f>
        <v>g e</v>
      </c>
      <c r="K2707" s="6" t="str">
        <f t="shared" si="168"/>
        <v>g</v>
      </c>
      <c r="L2707" s="6" t="str">
        <f t="shared" si="169"/>
        <v>Nos Régions Ont Du Talent</v>
      </c>
      <c r="M2707" s="6" t="str">
        <f t="shared" si="170"/>
        <v>Brioche Vendéenne Igp</v>
      </c>
      <c r="N2707" s="6" t="str">
        <f t="shared" si="171"/>
        <v>France</v>
      </c>
    </row>
    <row r="2708" spans="1:14" x14ac:dyDescent="0.25">
      <c r="A2708" s="6" t="s">
        <v>6393</v>
      </c>
      <c r="B2708" s="6">
        <v>14046</v>
      </c>
      <c r="C2708" s="6" t="s">
        <v>7870</v>
      </c>
      <c r="D2708" s="7" t="s">
        <v>7138</v>
      </c>
      <c r="E2708" s="6" t="s">
        <v>156</v>
      </c>
      <c r="F2708" s="6" t="s">
        <v>139</v>
      </c>
      <c r="G2708" s="8">
        <v>46022</v>
      </c>
      <c r="H2708" s="6">
        <v>6.31</v>
      </c>
      <c r="I2708" s="6" cm="1">
        <f t="array" ref="I2708">IFERROR(VALUE(TRIM(LEFT(E2708,MIN(FIND({" ";"g";"k";"m";"o"},E2708&amp;" gkmo"))-1))),0)</f>
        <v>500</v>
      </c>
      <c r="J2708" s="6" t="str" cm="1">
        <f t="array" ref="J2708">IFERROR(TRIM(MID(E2708,MIN(FIND({" ";"g";"k";"m";"o"},E2708&amp;" gkmo")),10)),"unknown")</f>
        <v>g</v>
      </c>
      <c r="K2708" s="6" t="str">
        <f t="shared" si="168"/>
        <v>g</v>
      </c>
      <c r="L2708" s="6" t="str">
        <f t="shared" si="169"/>
        <v>La Fournée Dorée</v>
      </c>
      <c r="M2708" s="6" t="str">
        <f t="shared" si="170"/>
        <v>La Gà¢Che</v>
      </c>
      <c r="N2708" s="6" t="str">
        <f t="shared" si="171"/>
        <v>France</v>
      </c>
    </row>
    <row r="2709" spans="1:14" x14ac:dyDescent="0.25">
      <c r="A2709" s="6" t="s">
        <v>6394</v>
      </c>
      <c r="B2709" s="6">
        <v>7888</v>
      </c>
      <c r="C2709" s="6" t="s">
        <v>7414</v>
      </c>
      <c r="D2709" s="7" t="s">
        <v>6395</v>
      </c>
      <c r="E2709" s="6" t="s">
        <v>132</v>
      </c>
      <c r="F2709" s="6" t="s">
        <v>1181</v>
      </c>
      <c r="G2709" s="8">
        <v>45345</v>
      </c>
      <c r="H2709" s="6">
        <v>16.59</v>
      </c>
      <c r="I2709" s="6" cm="1">
        <f t="array" ref="I2709">IFERROR(VALUE(TRIM(LEFT(E2709,MIN(FIND({" ";"g";"k";"m";"o"},E2709&amp;" gkmo"))-1))),0)</f>
        <v>350</v>
      </c>
      <c r="J2709" s="6" t="str" cm="1">
        <f t="array" ref="J2709">IFERROR(TRIM(MID(E2709,MIN(FIND({" ";"g";"k";"m";"o"},E2709&amp;" gkmo")),10)),"unknown")</f>
        <v>g</v>
      </c>
      <c r="K2709" s="6" t="str">
        <f t="shared" si="168"/>
        <v>g</v>
      </c>
      <c r="L2709" s="6" t="str">
        <f t="shared" si="169"/>
        <v>Tipiak</v>
      </c>
      <c r="M2709" s="6" t="str">
        <f t="shared" si="170"/>
        <v>Préparation Taboulé Menthe Citron</v>
      </c>
      <c r="N2709" s="6" t="str">
        <f t="shared" si="171"/>
        <v>France,Switzerland</v>
      </c>
    </row>
    <row r="2710" spans="1:14" x14ac:dyDescent="0.25">
      <c r="A2710" s="6" t="s">
        <v>6396</v>
      </c>
      <c r="B2710" s="6">
        <v>11295</v>
      </c>
      <c r="C2710" s="6" t="s">
        <v>7415</v>
      </c>
      <c r="D2710" s="7" t="s">
        <v>7017</v>
      </c>
      <c r="E2710" s="6" t="s">
        <v>39</v>
      </c>
      <c r="F2710" s="6" t="s">
        <v>139</v>
      </c>
      <c r="G2710" s="8">
        <v>45704</v>
      </c>
      <c r="H2710" s="6">
        <v>13.16</v>
      </c>
      <c r="I2710" s="6" cm="1">
        <f t="array" ref="I2710">IFERROR(VALUE(TRIM(LEFT(E2710,MIN(FIND({" ";"g";"k";"m";"o"},E2710&amp;" gkmo"))-1))),0)</f>
        <v>150</v>
      </c>
      <c r="J2710" s="6" t="str" cm="1">
        <f t="array" ref="J2710">IFERROR(TRIM(MID(E2710,MIN(FIND({" ";"g";"k";"m";"o"},E2710&amp;" gkmo")),10)),"unknown")</f>
        <v>g</v>
      </c>
      <c r="K2710" s="6" t="str">
        <f t="shared" si="168"/>
        <v>g</v>
      </c>
      <c r="L2710" s="6" t="str">
        <f t="shared" si="169"/>
        <v>Unknown</v>
      </c>
      <c r="M2710" s="6" t="str">
        <f t="shared" si="170"/>
        <v>Chips Au Sel De L'Ile De Ré</v>
      </c>
      <c r="N2710" s="6" t="str">
        <f t="shared" si="171"/>
        <v>France</v>
      </c>
    </row>
    <row r="2711" spans="1:14" x14ac:dyDescent="0.25">
      <c r="A2711" s="6" t="s">
        <v>6397</v>
      </c>
      <c r="B2711" s="6">
        <v>6390</v>
      </c>
      <c r="C2711" s="6" t="s">
        <v>7017</v>
      </c>
      <c r="D2711" s="7" t="s">
        <v>6398</v>
      </c>
      <c r="E2711" s="6" t="s">
        <v>2045</v>
      </c>
      <c r="F2711" s="6" t="s">
        <v>8178</v>
      </c>
      <c r="G2711" s="8">
        <v>45521</v>
      </c>
      <c r="H2711" s="6">
        <v>13.16</v>
      </c>
      <c r="I2711" s="6" cm="1">
        <f t="array" ref="I2711">IFERROR(VALUE(TRIM(LEFT(E2711,MIN(FIND({" ";"g";"k";"m";"o"},E2711&amp;" gkmo"))-1))),0)</f>
        <v>175</v>
      </c>
      <c r="J2711" s="6" t="str" cm="1">
        <f t="array" ref="J2711">IFERROR(TRIM(MID(E2711,MIN(FIND({" ";"g";"k";"m";"o"},E2711&amp;" gkmo")),10)),"unknown")</f>
        <v>g</v>
      </c>
      <c r="K2711" s="6" t="str">
        <f t="shared" si="168"/>
        <v>g</v>
      </c>
      <c r="L2711" s="6" t="str">
        <f t="shared" si="169"/>
        <v>Huober</v>
      </c>
      <c r="M2711" s="6" t="str">
        <f t="shared" si="170"/>
        <v>Unknown</v>
      </c>
      <c r="N2711" s="6" t="str">
        <f t="shared" si="171"/>
        <v>Frankreich,Deutschland,Germany</v>
      </c>
    </row>
    <row r="2712" spans="1:14" x14ac:dyDescent="0.25">
      <c r="A2712" s="6" t="s">
        <v>6399</v>
      </c>
      <c r="B2712" s="6">
        <v>11150</v>
      </c>
      <c r="C2712" s="6" t="s">
        <v>7871</v>
      </c>
      <c r="D2712" s="7" t="s">
        <v>7872</v>
      </c>
      <c r="E2712" s="6" t="s">
        <v>1790</v>
      </c>
      <c r="F2712" s="6" t="s">
        <v>8179</v>
      </c>
      <c r="G2712" s="8">
        <v>46055</v>
      </c>
      <c r="H2712" s="6">
        <v>21.02</v>
      </c>
      <c r="I2712" s="6" cm="1">
        <f t="array" ref="I2712">IFERROR(VALUE(TRIM(LEFT(E2712,MIN(FIND({" ";"g";"k";"m";"o"},E2712&amp;" gkmo"))-1))),0)</f>
        <v>75</v>
      </c>
      <c r="J2712" s="6" t="str" cm="1">
        <f t="array" ref="J2712">IFERROR(TRIM(MID(E2712,MIN(FIND({" ";"g";"k";"m";"o"},E2712&amp;" gkmo")),10)),"unknown")</f>
        <v>g</v>
      </c>
      <c r="K2712" s="6" t="str">
        <f t="shared" si="168"/>
        <v>g</v>
      </c>
      <c r="L2712" s="6" t="str">
        <f t="shared" si="169"/>
        <v>Intersnack Deutschland Se, Pombà¤R</v>
      </c>
      <c r="M2712" s="6" t="str">
        <f t="shared" si="170"/>
        <v>Pom-Bà¤R Original</v>
      </c>
      <c r="N2712" s="6" t="str">
        <f t="shared" si="171"/>
        <v>Germany, Germany</v>
      </c>
    </row>
    <row r="2713" spans="1:14" x14ac:dyDescent="0.25">
      <c r="A2713" s="6" t="s">
        <v>6400</v>
      </c>
      <c r="B2713" s="6">
        <v>7376</v>
      </c>
      <c r="C2713" s="6" t="s">
        <v>6401</v>
      </c>
      <c r="D2713" s="7" t="s">
        <v>6402</v>
      </c>
      <c r="E2713" s="6"/>
      <c r="F2713" s="6" t="s">
        <v>8250</v>
      </c>
      <c r="G2713" s="8">
        <v>45404</v>
      </c>
      <c r="H2713" s="6">
        <v>13.16</v>
      </c>
      <c r="I2713" s="6" cm="1">
        <f t="array" ref="I2713">IFERROR(VALUE(TRIM(LEFT(E2713,MIN(FIND({" ";"g";"k";"m";"o"},E2713&amp;" gkmo"))-1))),0)</f>
        <v>0</v>
      </c>
      <c r="J2713" s="6" t="str" cm="1">
        <f t="array" ref="J2713">IFERROR(TRIM(MID(E2713,MIN(FIND({" ";"g";"k";"m";"o"},E2713&amp;" gkmo")),10)),"unknown")</f>
        <v/>
      </c>
      <c r="K2713" s="6" t="str">
        <f t="shared" si="168"/>
        <v>unknown</v>
      </c>
      <c r="L2713" s="6" t="str">
        <f t="shared" si="169"/>
        <v>Chupa Chups</v>
      </c>
      <c r="M2713" s="6" t="str">
        <f t="shared" si="170"/>
        <v>Chupa Chups Flavored Lollipops</v>
      </c>
      <c r="N2713" s="6" t="str">
        <f t="shared" si="171"/>
        <v>Australia,Bulgaria,France,Grecia,Nueva Zelanda,Rumania,Espaà±A</v>
      </c>
    </row>
    <row r="2714" spans="1:14" x14ac:dyDescent="0.25">
      <c r="A2714" s="6" t="s">
        <v>6403</v>
      </c>
      <c r="B2714" s="6">
        <v>13870</v>
      </c>
      <c r="C2714" s="6" t="s">
        <v>6404</v>
      </c>
      <c r="D2714" s="7" t="s">
        <v>6405</v>
      </c>
      <c r="E2714" s="6" t="s">
        <v>6406</v>
      </c>
      <c r="F2714" s="6" t="s">
        <v>139</v>
      </c>
      <c r="G2714" s="8">
        <v>45479</v>
      </c>
      <c r="H2714" s="6">
        <v>13.16</v>
      </c>
      <c r="I2714" s="6" cm="1">
        <f t="array" ref="I2714">IFERROR(VALUE(TRIM(LEFT(E2714,MIN(FIND({" ";"g";"k";"m";"o"},E2714&amp;" gkmo"))-1))),0)</f>
        <v>900</v>
      </c>
      <c r="J2714" s="6" t="str" cm="1">
        <f t="array" ref="J2714">IFERROR(TRIM(MID(E2714,MIN(FIND({" ";"g";"k";"m";"o"},E2714&amp;" gkmo")),10)),"unknown")</f>
        <v>g</v>
      </c>
      <c r="K2714" s="6" t="str">
        <f t="shared" si="168"/>
        <v>g</v>
      </c>
      <c r="L2714" s="6" t="str">
        <f t="shared" si="169"/>
        <v>Mars, Mars Incorporated</v>
      </c>
      <c r="M2714" s="6" t="str">
        <f t="shared" si="170"/>
        <v>M&amp;M'S Peanut 900G</v>
      </c>
      <c r="N2714" s="6" t="str">
        <f t="shared" si="171"/>
        <v>France</v>
      </c>
    </row>
    <row r="2715" spans="1:14" x14ac:dyDescent="0.25">
      <c r="A2715" s="6" t="s">
        <v>6407</v>
      </c>
      <c r="B2715" s="6">
        <v>8098</v>
      </c>
      <c r="C2715" s="6" t="s">
        <v>6408</v>
      </c>
      <c r="D2715" s="7" t="s">
        <v>204</v>
      </c>
      <c r="E2715" s="6" t="s">
        <v>6409</v>
      </c>
      <c r="F2715" s="6" t="s">
        <v>7926</v>
      </c>
      <c r="G2715" s="8">
        <v>45384</v>
      </c>
      <c r="H2715" s="6">
        <v>7.31</v>
      </c>
      <c r="I2715" s="6" cm="1">
        <f t="array" ref="I2715">IFERROR(VALUE(TRIM(LEFT(E2715,MIN(FIND({" ";"g";"k";"m";"o"},E2715&amp;" gkmo"))-1))),0)</f>
        <v>431</v>
      </c>
      <c r="J2715" s="6" t="str" cm="1">
        <f t="array" ref="J2715">IFERROR(TRIM(MID(E2715,MIN(FIND({" ";"g";"k";"m";"o"},E2715&amp;" gkmo")),10)),"unknown")</f>
        <v>g</v>
      </c>
      <c r="K2715" s="6" t="str">
        <f t="shared" si="168"/>
        <v>g</v>
      </c>
      <c r="L2715" s="6" t="str">
        <f t="shared" si="169"/>
        <v>Mcvitie'S</v>
      </c>
      <c r="M2715" s="6" t="str">
        <f t="shared" si="170"/>
        <v>Mcvitie'S Hobnobs Milk Choc Jumbo Pack</v>
      </c>
      <c r="N2715" s="6" t="str">
        <f t="shared" si="171"/>
        <v>France, United-Kingdom</v>
      </c>
    </row>
    <row r="2716" spans="1:14" x14ac:dyDescent="0.25">
      <c r="A2716" s="6" t="s">
        <v>6410</v>
      </c>
      <c r="B2716" s="6">
        <v>8441</v>
      </c>
      <c r="C2716" s="6" t="s">
        <v>6411</v>
      </c>
      <c r="D2716" s="7" t="s">
        <v>3125</v>
      </c>
      <c r="E2716" s="6"/>
      <c r="F2716" s="6" t="s">
        <v>7926</v>
      </c>
      <c r="G2716" s="8">
        <v>45636</v>
      </c>
      <c r="H2716" s="6">
        <v>13.16</v>
      </c>
      <c r="I2716" s="6" cm="1">
        <f t="array" ref="I2716">IFERROR(VALUE(TRIM(LEFT(E2716,MIN(FIND({" ";"g";"k";"m";"o"},E2716&amp;" gkmo"))-1))),0)</f>
        <v>0</v>
      </c>
      <c r="J2716" s="6" t="str" cm="1">
        <f t="array" ref="J2716">IFERROR(TRIM(MID(E2716,MIN(FIND({" ";"g";"k";"m";"o"},E2716&amp;" gkmo")),10)),"unknown")</f>
        <v/>
      </c>
      <c r="K2716" s="6" t="str">
        <f t="shared" si="168"/>
        <v>unknown</v>
      </c>
      <c r="L2716" s="6" t="str">
        <f t="shared" si="169"/>
        <v>Kind</v>
      </c>
      <c r="M2716" s="6" t="str">
        <f t="shared" si="170"/>
        <v>Caramel Almond And Sea Salt</v>
      </c>
      <c r="N2716" s="6" t="str">
        <f t="shared" si="171"/>
        <v>France, United-Kingdom</v>
      </c>
    </row>
    <row r="2717" spans="1:14" x14ac:dyDescent="0.25">
      <c r="A2717" s="6" t="s">
        <v>6412</v>
      </c>
      <c r="B2717" s="6">
        <v>10273</v>
      </c>
      <c r="C2717" s="6" t="s">
        <v>6413</v>
      </c>
      <c r="D2717" s="7" t="s">
        <v>6414</v>
      </c>
      <c r="E2717" s="6" t="s">
        <v>2083</v>
      </c>
      <c r="F2717" s="6" t="s">
        <v>400</v>
      </c>
      <c r="G2717" s="8">
        <v>45340</v>
      </c>
      <c r="H2717" s="6">
        <v>23</v>
      </c>
      <c r="I2717" s="6" cm="1">
        <f t="array" ref="I2717">IFERROR(VALUE(TRIM(LEFT(E2717,MIN(FIND({" ";"g";"k";"m";"o"},E2717&amp;" gkmo"))-1))),0)</f>
        <v>240</v>
      </c>
      <c r="J2717" s="6" t="str" cm="1">
        <f t="array" ref="J2717">IFERROR(TRIM(MID(E2717,MIN(FIND({" ";"g";"k";"m";"o"},E2717&amp;" gkmo")),10)),"unknown")</f>
        <v>g</v>
      </c>
      <c r="K2717" s="6" t="str">
        <f t="shared" si="168"/>
        <v>g</v>
      </c>
      <c r="L2717" s="6" t="str">
        <f t="shared" si="169"/>
        <v>Tan Y Castell</v>
      </c>
      <c r="M2717" s="6" t="str">
        <f t="shared" si="170"/>
        <v>Y Castell Welshcakes</v>
      </c>
      <c r="N2717" s="6" t="str">
        <f t="shared" si="171"/>
        <v>France,United Kingdom</v>
      </c>
    </row>
    <row r="2718" spans="1:14" x14ac:dyDescent="0.25">
      <c r="A2718" s="6" t="s">
        <v>6415</v>
      </c>
      <c r="B2718" s="6">
        <v>5570</v>
      </c>
      <c r="C2718" s="6" t="s">
        <v>6416</v>
      </c>
      <c r="D2718" s="7" t="s">
        <v>1533</v>
      </c>
      <c r="E2718" s="6"/>
      <c r="F2718" s="6" t="s">
        <v>7926</v>
      </c>
      <c r="G2718" s="8">
        <v>45350</v>
      </c>
      <c r="H2718" s="6">
        <v>14.08</v>
      </c>
      <c r="I2718" s="6" cm="1">
        <f t="array" ref="I2718">IFERROR(VALUE(TRIM(LEFT(E2718,MIN(FIND({" ";"g";"k";"m";"o"},E2718&amp;" gkmo"))-1))),0)</f>
        <v>0</v>
      </c>
      <c r="J2718" s="6" t="str" cm="1">
        <f t="array" ref="J2718">IFERROR(TRIM(MID(E2718,MIN(FIND({" ";"g";"k";"m";"o"},E2718&amp;" gkmo")),10)),"unknown")</f>
        <v/>
      </c>
      <c r="K2718" s="6" t="str">
        <f t="shared" si="168"/>
        <v>unknown</v>
      </c>
      <c r="L2718" s="6" t="str">
        <f t="shared" si="169"/>
        <v>Bear</v>
      </c>
      <c r="M2718" s="6" t="str">
        <f t="shared" si="170"/>
        <v>Real Fruit Yoyos Strawberry Family Pack</v>
      </c>
      <c r="N2718" s="6" t="str">
        <f t="shared" si="171"/>
        <v>France, United-Kingdom</v>
      </c>
    </row>
    <row r="2719" spans="1:14" x14ac:dyDescent="0.25">
      <c r="A2719" s="6" t="s">
        <v>6417</v>
      </c>
      <c r="B2719" s="6">
        <v>8437</v>
      </c>
      <c r="C2719" s="6" t="s">
        <v>6418</v>
      </c>
      <c r="D2719" s="7" t="s">
        <v>7017</v>
      </c>
      <c r="E2719" s="6" t="s">
        <v>1317</v>
      </c>
      <c r="F2719" s="6" t="s">
        <v>6419</v>
      </c>
      <c r="G2719" s="8">
        <v>45892</v>
      </c>
      <c r="H2719" s="6">
        <v>4.55</v>
      </c>
      <c r="I2719" s="6" cm="1">
        <f t="array" ref="I2719">IFERROR(VALUE(TRIM(LEFT(E2719,MIN(FIND({" ";"g";"k";"m";"o"},E2719&amp;" gkmo"))-1))),0)</f>
        <v>80</v>
      </c>
      <c r="J2719" s="6" t="str" cm="1">
        <f t="array" ref="J2719">IFERROR(TRIM(MID(E2719,MIN(FIND({" ";"g";"k";"m";"o"},E2719&amp;" gkmo")),10)),"unknown")</f>
        <v>g</v>
      </c>
      <c r="K2719" s="6" t="str">
        <f t="shared" si="168"/>
        <v>g</v>
      </c>
      <c r="L2719" s="6" t="str">
        <f t="shared" si="169"/>
        <v>Unknown</v>
      </c>
      <c r="M2719" s="6" t="str">
        <f t="shared" si="170"/>
        <v>Bake Rolls Salt</v>
      </c>
      <c r="N2719" s="6" t="str">
        <f t="shared" si="171"/>
        <v>Rumania</v>
      </c>
    </row>
    <row r="2720" spans="1:14" x14ac:dyDescent="0.25">
      <c r="A2720" s="6" t="s">
        <v>6420</v>
      </c>
      <c r="B2720" s="6">
        <v>9896</v>
      </c>
      <c r="C2720" s="6" t="s">
        <v>6421</v>
      </c>
      <c r="D2720" s="7" t="s">
        <v>7017</v>
      </c>
      <c r="E2720" s="6"/>
      <c r="F2720" s="6" t="s">
        <v>6422</v>
      </c>
      <c r="G2720" s="8">
        <v>45375</v>
      </c>
      <c r="H2720" s="6">
        <v>8.17</v>
      </c>
      <c r="I2720" s="6" cm="1">
        <f t="array" ref="I2720">IFERROR(VALUE(TRIM(LEFT(E2720,MIN(FIND({" ";"g";"k";"m";"o"},E2720&amp;" gkmo"))-1))),0)</f>
        <v>0</v>
      </c>
      <c r="J2720" s="6" t="str" cm="1">
        <f t="array" ref="J2720">IFERROR(TRIM(MID(E2720,MIN(FIND({" ";"g";"k";"m";"o"},E2720&amp;" gkmo")),10)),"unknown")</f>
        <v/>
      </c>
      <c r="K2720" s="6" t="str">
        <f t="shared" si="168"/>
        <v>unknown</v>
      </c>
      <c r="L2720" s="6" t="str">
        <f t="shared" si="169"/>
        <v>Unknown</v>
      </c>
      <c r="M2720" s="6" t="str">
        <f t="shared" si="170"/>
        <v>Chocolata Amaruie 80%Cacao</v>
      </c>
      <c r="N2720" s="6" t="str">
        <f t="shared" si="171"/>
        <v>France,Roumanie</v>
      </c>
    </row>
    <row r="2721" spans="1:14" x14ac:dyDescent="0.25">
      <c r="A2721" s="6" t="s">
        <v>6423</v>
      </c>
      <c r="B2721" s="6">
        <v>9443</v>
      </c>
      <c r="C2721" s="6" t="s">
        <v>7017</v>
      </c>
      <c r="D2721" s="7" t="s">
        <v>879</v>
      </c>
      <c r="E2721" s="6" t="s">
        <v>6424</v>
      </c>
      <c r="F2721" s="6" t="s">
        <v>8180</v>
      </c>
      <c r="G2721" s="8">
        <v>46054</v>
      </c>
      <c r="H2721" s="6">
        <v>13.16</v>
      </c>
      <c r="I2721" s="6" cm="1">
        <f t="array" ref="I2721">IFERROR(VALUE(TRIM(LEFT(E2721,MIN(FIND({" ";"g";"k";"m";"o"},E2721&amp;" gkmo"))-1))),0)</f>
        <v>17.7</v>
      </c>
      <c r="J2721" s="6" t="str" cm="1">
        <f t="array" ref="J2721">IFERROR(TRIM(MID(E2721,MIN(FIND({" ";"g";"k";"m";"o"},E2721&amp;" gkmo")),10)),"unknown")</f>
        <v>g</v>
      </c>
      <c r="K2721" s="6" t="str">
        <f t="shared" si="168"/>
        <v>g</v>
      </c>
      <c r="L2721" s="6" t="str">
        <f t="shared" si="169"/>
        <v>Kitkat</v>
      </c>
      <c r="M2721" s="6" t="str">
        <f t="shared" si="170"/>
        <v>Unknown</v>
      </c>
      <c r="N2721" s="6" t="str">
        <f t="shared" si="171"/>
        <v>Egypt, Morocco, Saudi-Arabia</v>
      </c>
    </row>
    <row r="2722" spans="1:14" x14ac:dyDescent="0.25">
      <c r="A2722" s="6" t="s">
        <v>6425</v>
      </c>
      <c r="B2722" s="6">
        <v>13980</v>
      </c>
      <c r="C2722" s="6" t="s">
        <v>7416</v>
      </c>
      <c r="D2722" s="7" t="s">
        <v>1703</v>
      </c>
      <c r="E2722" s="6" t="s">
        <v>1312</v>
      </c>
      <c r="F2722" s="6" t="s">
        <v>139</v>
      </c>
      <c r="G2722" s="8">
        <v>45636</v>
      </c>
      <c r="H2722" s="6">
        <v>23.49</v>
      </c>
      <c r="I2722" s="6" cm="1">
        <f t="array" ref="I2722">IFERROR(VALUE(TRIM(LEFT(E2722,MIN(FIND({" ";"g";"k";"m";"o"},E2722&amp;" gkmo"))-1))),0)</f>
        <v>50</v>
      </c>
      <c r="J2722" s="6" t="str" cm="1">
        <f t="array" ref="J2722">IFERROR(TRIM(MID(E2722,MIN(FIND({" ";"g";"k";"m";"o"},E2722&amp;" gkmo")),10)),"unknown")</f>
        <v>g</v>
      </c>
      <c r="K2722" s="6" t="str">
        <f t="shared" si="168"/>
        <v>g</v>
      </c>
      <c r="L2722" s="6" t="str">
        <f t="shared" si="169"/>
        <v>Ricola</v>
      </c>
      <c r="M2722" s="6" t="str">
        <f t="shared" si="170"/>
        <v>Ricola Réglisse</v>
      </c>
      <c r="N2722" s="6" t="str">
        <f t="shared" si="171"/>
        <v>France</v>
      </c>
    </row>
    <row r="2723" spans="1:14" x14ac:dyDescent="0.25">
      <c r="A2723" s="6" t="s">
        <v>6426</v>
      </c>
      <c r="B2723" s="6">
        <v>13423</v>
      </c>
      <c r="C2723" s="6" t="s">
        <v>6427</v>
      </c>
      <c r="D2723" s="7" t="s">
        <v>2538</v>
      </c>
      <c r="E2723" s="6" t="s">
        <v>10</v>
      </c>
      <c r="F2723" s="6" t="s">
        <v>157</v>
      </c>
      <c r="G2723" s="8">
        <v>45661</v>
      </c>
      <c r="H2723" s="6">
        <v>21.94</v>
      </c>
      <c r="I2723" s="6" cm="1">
        <f t="array" ref="I2723">IFERROR(VALUE(TRIM(LEFT(E2723,MIN(FIND({" ";"g";"k";"m";"o"},E2723&amp;" gkmo"))-1))),0)</f>
        <v>100</v>
      </c>
      <c r="J2723" s="6" t="str" cm="1">
        <f t="array" ref="J2723">IFERROR(TRIM(MID(E2723,MIN(FIND({" ";"g";"k";"m";"o"},E2723&amp;" gkmo")),10)),"unknown")</f>
        <v>g</v>
      </c>
      <c r="K2723" s="6" t="str">
        <f t="shared" si="168"/>
        <v>g</v>
      </c>
      <c r="L2723" s="6" t="str">
        <f t="shared" si="169"/>
        <v>Kambly</v>
      </c>
      <c r="M2723" s="6" t="str">
        <f t="shared" si="170"/>
        <v>Butterfly</v>
      </c>
      <c r="N2723" s="6" t="str">
        <f t="shared" si="171"/>
        <v>France,Germany,Switzerland</v>
      </c>
    </row>
    <row r="2724" spans="1:14" x14ac:dyDescent="0.25">
      <c r="A2724" s="6" t="s">
        <v>6428</v>
      </c>
      <c r="B2724" s="6">
        <v>7682</v>
      </c>
      <c r="C2724" s="6" t="s">
        <v>6429</v>
      </c>
      <c r="D2724" s="7" t="s">
        <v>2145</v>
      </c>
      <c r="E2724" s="6" t="s">
        <v>6430</v>
      </c>
      <c r="F2724" s="6" t="s">
        <v>8027</v>
      </c>
      <c r="G2724" s="8">
        <v>45436</v>
      </c>
      <c r="H2724" s="6">
        <v>16.38</v>
      </c>
      <c r="I2724" s="6" cm="1">
        <f t="array" ref="I2724">IFERROR(VALUE(TRIM(LEFT(E2724,MIN(FIND({" ";"g";"k";"m";"o"},E2724&amp;" gkmo"))-1))),0)</f>
        <v>308</v>
      </c>
      <c r="J2724" s="6" t="str" cm="1">
        <f t="array" ref="J2724">IFERROR(TRIM(MID(E2724,MIN(FIND({" ";"g";"k";"m";"o"},E2724&amp;" gkmo")),10)),"unknown")</f>
        <v>g â„®, 2</v>
      </c>
      <c r="K2724" s="6" t="str">
        <f t="shared" si="168"/>
        <v>g</v>
      </c>
      <c r="L2724" s="6" t="str">
        <f t="shared" si="169"/>
        <v>Oreo</v>
      </c>
      <c r="M2724" s="6" t="str">
        <f t="shared" si="170"/>
        <v>Original Family Format</v>
      </c>
      <c r="N2724" s="6" t="str">
        <f t="shared" si="171"/>
        <v>France, Spain, United-Kingdom</v>
      </c>
    </row>
    <row r="2725" spans="1:14" x14ac:dyDescent="0.25">
      <c r="A2725" s="6" t="s">
        <v>2443</v>
      </c>
      <c r="B2725" s="6">
        <v>5338</v>
      </c>
      <c r="C2725" s="6" t="s">
        <v>7017</v>
      </c>
      <c r="D2725" s="7" t="s">
        <v>6431</v>
      </c>
      <c r="E2725" s="6"/>
      <c r="F2725" s="6" t="s">
        <v>8034</v>
      </c>
      <c r="G2725" s="8">
        <v>45982</v>
      </c>
      <c r="H2725" s="6">
        <v>13.16</v>
      </c>
      <c r="I2725" s="6" cm="1">
        <f t="array" ref="I2725">IFERROR(VALUE(TRIM(LEFT(E2725,MIN(FIND({" ";"g";"k";"m";"o"},E2725&amp;" gkmo"))-1))),0)</f>
        <v>0</v>
      </c>
      <c r="J2725" s="6" t="str" cm="1">
        <f t="array" ref="J2725">IFERROR(TRIM(MID(E2725,MIN(FIND({" ";"g";"k";"m";"o"},E2725&amp;" gkmo")),10)),"unknown")</f>
        <v/>
      </c>
      <c r="K2725" s="6" t="str">
        <f t="shared" si="168"/>
        <v>unknown</v>
      </c>
      <c r="L2725" s="6" t="str">
        <f t="shared" si="169"/>
        <v>Belvita, Belvita Breakfast</v>
      </c>
      <c r="M2725" s="6" t="str">
        <f t="shared" si="170"/>
        <v>Unknown</v>
      </c>
      <c r="N2725" s="6" t="str">
        <f t="shared" si="171"/>
        <v>France, Romania, Bulgaria</v>
      </c>
    </row>
    <row r="2726" spans="1:14" x14ac:dyDescent="0.25">
      <c r="A2726" s="6" t="s">
        <v>6432</v>
      </c>
      <c r="B2726" s="6">
        <v>10337</v>
      </c>
      <c r="C2726" s="6" t="s">
        <v>6433</v>
      </c>
      <c r="D2726" s="7" t="s">
        <v>7873</v>
      </c>
      <c r="E2726" s="6" t="s">
        <v>10</v>
      </c>
      <c r="F2726" s="6" t="s">
        <v>3018</v>
      </c>
      <c r="G2726" s="8">
        <v>45335</v>
      </c>
      <c r="H2726" s="6">
        <v>12.26</v>
      </c>
      <c r="I2726" s="6" cm="1">
        <f t="array" ref="I2726">IFERROR(VALUE(TRIM(LEFT(E2726,MIN(FIND({" ";"g";"k";"m";"o"},E2726&amp;" gkmo"))-1))),0)</f>
        <v>100</v>
      </c>
      <c r="J2726" s="6" t="str" cm="1">
        <f t="array" ref="J2726">IFERROR(TRIM(MID(E2726,MIN(FIND({" ";"g";"k";"m";"o"},E2726&amp;" gkmo")),10)),"unknown")</f>
        <v>g</v>
      </c>
      <c r="K2726" s="6" t="str">
        <f t="shared" si="168"/>
        <v>g</v>
      </c>
      <c r="L2726" s="6" t="str">
        <f t="shared" si="169"/>
        <v>Cà´Te D'Or</v>
      </c>
      <c r="M2726" s="6" t="str">
        <f t="shared" si="170"/>
        <v>Noir 86% Extra Intense</v>
      </c>
      <c r="N2726" s="6" t="str">
        <f t="shared" si="171"/>
        <v>Belgium</v>
      </c>
    </row>
    <row r="2727" spans="1:14" x14ac:dyDescent="0.25">
      <c r="A2727" s="6" t="s">
        <v>6434</v>
      </c>
      <c r="B2727" s="6">
        <v>6213</v>
      </c>
      <c r="C2727" s="6" t="s">
        <v>6435</v>
      </c>
      <c r="D2727" s="7" t="s">
        <v>3408</v>
      </c>
      <c r="E2727" s="6" t="s">
        <v>840</v>
      </c>
      <c r="F2727" s="6" t="s">
        <v>8181</v>
      </c>
      <c r="G2727" s="8">
        <v>45920</v>
      </c>
      <c r="H2727" s="6">
        <v>14.61</v>
      </c>
      <c r="I2727" s="6" cm="1">
        <f t="array" ref="I2727">IFERROR(VALUE(TRIM(LEFT(E2727,MIN(FIND({" ";"g";"k";"m";"o"},E2727&amp;" gkmo"))-1))),0)</f>
        <v>175</v>
      </c>
      <c r="J2727" s="6" t="str" cm="1">
        <f t="array" ref="J2727">IFERROR(TRIM(MID(E2727,MIN(FIND({" ";"g";"k";"m";"o"},E2727&amp;" gkmo")),10)),"unknown")</f>
        <v>g</v>
      </c>
      <c r="K2727" s="6" t="str">
        <f t="shared" si="168"/>
        <v>g</v>
      </c>
      <c r="L2727" s="6" t="str">
        <f t="shared" si="169"/>
        <v>Loacker</v>
      </c>
      <c r="M2727" s="6" t="str">
        <f t="shared" si="170"/>
        <v>Napolitaner</v>
      </c>
      <c r="N2727" s="6" t="str">
        <f t="shared" si="171"/>
        <v>Germany, Italy, Bulgaria</v>
      </c>
    </row>
    <row r="2728" spans="1:14" x14ac:dyDescent="0.25">
      <c r="A2728" s="6" t="s">
        <v>6436</v>
      </c>
      <c r="B2728" s="6">
        <v>12520</v>
      </c>
      <c r="C2728" s="6" t="s">
        <v>6437</v>
      </c>
      <c r="D2728" s="7" t="s">
        <v>287</v>
      </c>
      <c r="E2728" s="6"/>
      <c r="F2728" s="6" t="s">
        <v>7563</v>
      </c>
      <c r="G2728" s="8">
        <v>45890</v>
      </c>
      <c r="H2728" s="6">
        <v>13.16</v>
      </c>
      <c r="I2728" s="6" cm="1">
        <f t="array" ref="I2728">IFERROR(VALUE(TRIM(LEFT(E2728,MIN(FIND({" ";"g";"k";"m";"o"},E2728&amp;" gkmo"))-1))),0)</f>
        <v>0</v>
      </c>
      <c r="J2728" s="6" t="str" cm="1">
        <f t="array" ref="J2728">IFERROR(TRIM(MID(E2728,MIN(FIND({" ";"g";"k";"m";"o"},E2728&amp;" gkmo")),10)),"unknown")</f>
        <v/>
      </c>
      <c r="K2728" s="6" t="str">
        <f t="shared" si="168"/>
        <v>unknown</v>
      </c>
      <c r="L2728" s="6" t="str">
        <f t="shared" si="169"/>
        <v>Ferrero</v>
      </c>
      <c r="M2728" s="6" t="str">
        <f t="shared" si="170"/>
        <v>Kinder Chocolat X12 Barres - 150G</v>
      </c>
      <c r="N2728" s="6" t="str">
        <f t="shared" si="171"/>
        <v>België,Frankrijk,Servië,Duitsland</v>
      </c>
    </row>
    <row r="2729" spans="1:14" x14ac:dyDescent="0.25">
      <c r="A2729" s="6" t="s">
        <v>6438</v>
      </c>
      <c r="B2729" s="6">
        <v>12724</v>
      </c>
      <c r="C2729" s="6" t="s">
        <v>6439</v>
      </c>
      <c r="D2729" s="7" t="s">
        <v>568</v>
      </c>
      <c r="E2729" s="6"/>
      <c r="F2729" s="6" t="s">
        <v>139</v>
      </c>
      <c r="G2729" s="8">
        <v>45598</v>
      </c>
      <c r="H2729" s="6">
        <v>13.16</v>
      </c>
      <c r="I2729" s="6" cm="1">
        <f t="array" ref="I2729">IFERROR(VALUE(TRIM(LEFT(E2729,MIN(FIND({" ";"g";"k";"m";"o"},E2729&amp;" gkmo"))-1))),0)</f>
        <v>0</v>
      </c>
      <c r="J2729" s="6" t="str" cm="1">
        <f t="array" ref="J2729">IFERROR(TRIM(MID(E2729,MIN(FIND({" ";"g";"k";"m";"o"},E2729&amp;" gkmo")),10)),"unknown")</f>
        <v/>
      </c>
      <c r="K2729" s="6" t="str">
        <f t="shared" si="168"/>
        <v>unknown</v>
      </c>
      <c r="L2729" s="6" t="str">
        <f t="shared" si="169"/>
        <v>Ferrero,Kinder</v>
      </c>
      <c r="M2729" s="6" t="str">
        <f t="shared" si="170"/>
        <v>Bonbons Kinder Schokobons Chocolat Au Lait - 350G</v>
      </c>
      <c r="N2729" s="6" t="str">
        <f t="shared" si="171"/>
        <v>France</v>
      </c>
    </row>
    <row r="2730" spans="1:14" x14ac:dyDescent="0.25">
      <c r="A2730" s="6" t="s">
        <v>6440</v>
      </c>
      <c r="B2730" s="6">
        <v>7431</v>
      </c>
      <c r="C2730" s="6" t="s">
        <v>6441</v>
      </c>
      <c r="D2730" s="7" t="s">
        <v>2398</v>
      </c>
      <c r="E2730" s="6"/>
      <c r="F2730" s="6" t="s">
        <v>2545</v>
      </c>
      <c r="G2730" s="8">
        <v>45927</v>
      </c>
      <c r="H2730" s="6">
        <v>13.16</v>
      </c>
      <c r="I2730" s="6" cm="1">
        <f t="array" ref="I2730">IFERROR(VALUE(TRIM(LEFT(E2730,MIN(FIND({" ";"g";"k";"m";"o"},E2730&amp;" gkmo"))-1))),0)</f>
        <v>0</v>
      </c>
      <c r="J2730" s="6" t="str" cm="1">
        <f t="array" ref="J2730">IFERROR(TRIM(MID(E2730,MIN(FIND({" ";"g";"k";"m";"o"},E2730&amp;" gkmo")),10)),"unknown")</f>
        <v/>
      </c>
      <c r="K2730" s="6" t="str">
        <f t="shared" si="168"/>
        <v>unknown</v>
      </c>
      <c r="L2730" s="6" t="str">
        <f t="shared" si="169"/>
        <v>Galbusera</v>
      </c>
      <c r="M2730" s="6" t="str">
        <f t="shared" si="170"/>
        <v>Turco</v>
      </c>
      <c r="N2730" s="6" t="str">
        <f t="shared" si="171"/>
        <v>France,Italy</v>
      </c>
    </row>
    <row r="2731" spans="1:14" x14ac:dyDescent="0.25">
      <c r="A2731" s="6" t="s">
        <v>6442</v>
      </c>
      <c r="B2731" s="6">
        <v>14272</v>
      </c>
      <c r="C2731" s="6" t="s">
        <v>7874</v>
      </c>
      <c r="D2731" s="7" t="s">
        <v>7598</v>
      </c>
      <c r="E2731" s="6"/>
      <c r="F2731" s="6" t="s">
        <v>8219</v>
      </c>
      <c r="G2731" s="8">
        <v>45612</v>
      </c>
      <c r="H2731" s="6">
        <v>14.3</v>
      </c>
      <c r="I2731" s="6" cm="1">
        <f t="array" ref="I2731">IFERROR(VALUE(TRIM(LEFT(E2731,MIN(FIND({" ";"g";"k";"m";"o"},E2731&amp;" gkmo"))-1))),0)</f>
        <v>0</v>
      </c>
      <c r="J2731" s="6" t="str" cm="1">
        <f t="array" ref="J2731">IFERROR(TRIM(MID(E2731,MIN(FIND({" ";"g";"k";"m";"o"},E2731&amp;" gkmo")),10)),"unknown")</f>
        <v/>
      </c>
      <c r="K2731" s="6" t="str">
        <f t="shared" si="168"/>
        <v>unknown</v>
      </c>
      <c r="L2731" s="6" t="str">
        <f t="shared" si="169"/>
        <v>Florbàº</v>
      </c>
      <c r="M2731" s="6" t="str">
        <f t="shared" si="170"/>
        <v>Galletas Desayuno Integral 0% Azàºcares</v>
      </c>
      <c r="N2731" s="6" t="str">
        <f t="shared" si="171"/>
        <v>France,Marruecos,Espaà±A</v>
      </c>
    </row>
    <row r="2732" spans="1:14" x14ac:dyDescent="0.25">
      <c r="A2732" s="6" t="s">
        <v>6443</v>
      </c>
      <c r="B2732" s="6">
        <v>8098</v>
      </c>
      <c r="C2732" s="6" t="s">
        <v>6444</v>
      </c>
      <c r="D2732" s="7" t="s">
        <v>7017</v>
      </c>
      <c r="E2732" s="6" t="s">
        <v>1309</v>
      </c>
      <c r="F2732" s="6" t="s">
        <v>2497</v>
      </c>
      <c r="G2732" s="8">
        <v>45756</v>
      </c>
      <c r="H2732" s="6">
        <v>4.8600000000000003</v>
      </c>
      <c r="I2732" s="6" cm="1">
        <f t="array" ref="I2732">IFERROR(VALUE(TRIM(LEFT(E2732,MIN(FIND({" ";"g";"k";"m";"o"},E2732&amp;" gkmo"))-1))),0)</f>
        <v>300</v>
      </c>
      <c r="J2732" s="6" t="str" cm="1">
        <f t="array" ref="J2732">IFERROR(TRIM(MID(E2732,MIN(FIND({" ";"g";"k";"m";"o"},E2732&amp;" gkmo")),10)),"unknown")</f>
        <v>g</v>
      </c>
      <c r="K2732" s="6" t="str">
        <f t="shared" si="168"/>
        <v>g</v>
      </c>
      <c r="L2732" s="6" t="str">
        <f t="shared" si="169"/>
        <v>Unknown</v>
      </c>
      <c r="M2732" s="6" t="str">
        <f t="shared" si="170"/>
        <v>Popcorn</v>
      </c>
      <c r="N2732" s="6" t="str">
        <f t="shared" si="171"/>
        <v>Belgium,France,Germany</v>
      </c>
    </row>
    <row r="2733" spans="1:14" x14ac:dyDescent="0.25">
      <c r="A2733" s="6" t="s">
        <v>6445</v>
      </c>
      <c r="B2733" s="6">
        <v>7840</v>
      </c>
      <c r="C2733" s="6" t="s">
        <v>7875</v>
      </c>
      <c r="D2733" s="7" t="s">
        <v>3336</v>
      </c>
      <c r="E2733" s="6" t="s">
        <v>138</v>
      </c>
      <c r="F2733" s="6" t="s">
        <v>3684</v>
      </c>
      <c r="G2733" s="8">
        <v>45399</v>
      </c>
      <c r="H2733" s="6">
        <v>21.91</v>
      </c>
      <c r="I2733" s="6" cm="1">
        <f t="array" ref="I2733">IFERROR(VALUE(TRIM(LEFT(E2733,MIN(FIND({" ";"g";"k";"m";"o"},E2733&amp;" gkmo"))-1))),0)</f>
        <v>400</v>
      </c>
      <c r="J2733" s="6" t="str" cm="1">
        <f t="array" ref="J2733">IFERROR(TRIM(MID(E2733,MIN(FIND({" ";"g";"k";"m";"o"},E2733&amp;" gkmo")),10)),"unknown")</f>
        <v>g</v>
      </c>
      <c r="K2733" s="6" t="str">
        <f t="shared" si="168"/>
        <v>g</v>
      </c>
      <c r="L2733" s="6" t="str">
        <f t="shared" si="169"/>
        <v>Manner</v>
      </c>
      <c r="M2733" s="6" t="str">
        <f t="shared" si="170"/>
        <v>Tà¶Rtchen Kakao-Haselnusscreme</v>
      </c>
      <c r="N2733" s="6" t="str">
        <f t="shared" si="171"/>
        <v>France,Germany,Spain</v>
      </c>
    </row>
    <row r="2734" spans="1:14" x14ac:dyDescent="0.25">
      <c r="A2734" s="6" t="s">
        <v>6446</v>
      </c>
      <c r="B2734" s="6">
        <v>8499</v>
      </c>
      <c r="C2734" s="6" t="s">
        <v>6447</v>
      </c>
      <c r="D2734" s="7" t="s">
        <v>6448</v>
      </c>
      <c r="E2734" s="6" t="s">
        <v>580</v>
      </c>
      <c r="F2734" s="6" t="s">
        <v>8182</v>
      </c>
      <c r="G2734" s="8">
        <v>45970</v>
      </c>
      <c r="H2734" s="6">
        <v>5.29</v>
      </c>
      <c r="I2734" s="6" cm="1">
        <f t="array" ref="I2734">IFERROR(VALUE(TRIM(LEFT(E2734,MIN(FIND({" ";"g";"k";"m";"o"},E2734&amp;" gkmo"))-1))),0)</f>
        <v>250</v>
      </c>
      <c r="J2734" s="6" t="str" cm="1">
        <f t="array" ref="J2734">IFERROR(TRIM(MID(E2734,MIN(FIND({" ";"g";"k";"m";"o"},E2734&amp;" gkmo")),10)),"unknown")</f>
        <v>g</v>
      </c>
      <c r="K2734" s="6" t="str">
        <f t="shared" si="168"/>
        <v>g</v>
      </c>
      <c r="L2734" s="6" t="str">
        <f t="shared" si="169"/>
        <v>Arnott'S</v>
      </c>
      <c r="M2734" s="6" t="str">
        <f t="shared" si="170"/>
        <v>Vitaweat 9 Grains</v>
      </c>
      <c r="N2734" s="6" t="str">
        <f t="shared" si="171"/>
        <v>France, New Zealand, Australia, French-Polynesia</v>
      </c>
    </row>
    <row r="2735" spans="1:14" x14ac:dyDescent="0.25">
      <c r="A2735" s="6" t="s">
        <v>6449</v>
      </c>
      <c r="B2735" s="6">
        <v>9248</v>
      </c>
      <c r="C2735" s="6" t="s">
        <v>5026</v>
      </c>
      <c r="D2735" s="7" t="s">
        <v>7017</v>
      </c>
      <c r="E2735" s="6"/>
      <c r="F2735" s="6" t="s">
        <v>5892</v>
      </c>
      <c r="G2735" s="8">
        <v>45492</v>
      </c>
      <c r="H2735" s="6">
        <v>13.16</v>
      </c>
      <c r="I2735" s="6" cm="1">
        <f t="array" ref="I2735">IFERROR(VALUE(TRIM(LEFT(E2735,MIN(FIND({" ";"g";"k";"m";"o"},E2735&amp;" gkmo"))-1))),0)</f>
        <v>0</v>
      </c>
      <c r="J2735" s="6" t="str" cm="1">
        <f t="array" ref="J2735">IFERROR(TRIM(MID(E2735,MIN(FIND({" ";"g";"k";"m";"o"},E2735&amp;" gkmo")),10)),"unknown")</f>
        <v/>
      </c>
      <c r="K2735" s="6" t="str">
        <f t="shared" si="168"/>
        <v>unknown</v>
      </c>
      <c r="L2735" s="6" t="str">
        <f t="shared" si="169"/>
        <v>Unknown</v>
      </c>
      <c r="M2735" s="6" t="str">
        <f t="shared" si="170"/>
        <v>Original Popcorn</v>
      </c>
      <c r="N2735" s="6" t="str">
        <f t="shared" si="171"/>
        <v>United States,World</v>
      </c>
    </row>
    <row r="2736" spans="1:14" x14ac:dyDescent="0.25">
      <c r="A2736" s="6" t="s">
        <v>6450</v>
      </c>
      <c r="B2736" s="6">
        <v>9385</v>
      </c>
      <c r="C2736" s="6" t="s">
        <v>6451</v>
      </c>
      <c r="D2736" s="7" t="s">
        <v>7578</v>
      </c>
      <c r="E2736" s="6"/>
      <c r="F2736" s="6" t="s">
        <v>8183</v>
      </c>
      <c r="G2736" s="8">
        <v>45596</v>
      </c>
      <c r="H2736" s="6">
        <v>4.09</v>
      </c>
      <c r="I2736" s="6" cm="1">
        <f t="array" ref="I2736">IFERROR(VALUE(TRIM(LEFT(E2736,MIN(FIND({" ";"g";"k";"m";"o"},E2736&amp;" gkmo"))-1))),0)</f>
        <v>0</v>
      </c>
      <c r="J2736" s="6" t="str" cm="1">
        <f t="array" ref="J2736">IFERROR(TRIM(MID(E2736,MIN(FIND({" ";"g";"k";"m";"o"},E2736&amp;" gkmo")),10)),"unknown")</f>
        <v/>
      </c>
      <c r="K2736" s="6" t="str">
        <f t="shared" si="168"/>
        <v>unknown</v>
      </c>
      <c r="L2736" s="6" t="str">
        <f t="shared" si="169"/>
        <v>Gullà³N</v>
      </c>
      <c r="M2736" s="6" t="str">
        <f t="shared" si="170"/>
        <v>Crackers Cheddar</v>
      </c>
      <c r="N2736" s="6" t="str">
        <f t="shared" si="171"/>
        <v>France,Spain,Morocco</v>
      </c>
    </row>
    <row r="2737" spans="1:14" x14ac:dyDescent="0.25">
      <c r="A2737" s="6" t="s">
        <v>6452</v>
      </c>
      <c r="B2737" s="6">
        <v>7608</v>
      </c>
      <c r="C2737" s="6" t="s">
        <v>6453</v>
      </c>
      <c r="D2737" s="7" t="s">
        <v>6454</v>
      </c>
      <c r="E2737" s="6" t="s">
        <v>1418</v>
      </c>
      <c r="F2737" s="6" t="s">
        <v>139</v>
      </c>
      <c r="G2737" s="8">
        <v>45778</v>
      </c>
      <c r="H2737" s="6">
        <v>20.32</v>
      </c>
      <c r="I2737" s="6" cm="1">
        <f t="array" ref="I2737">IFERROR(VALUE(TRIM(LEFT(E2737,MIN(FIND({" ";"g";"k";"m";"o"},E2737&amp;" gkmo"))-1))),0)</f>
        <v>4</v>
      </c>
      <c r="J2737" s="6" t="str" cm="1">
        <f t="array" ref="J2737">IFERROR(TRIM(MID(E2737,MIN(FIND({" ";"g";"k";"m";"o"},E2737&amp;" gkmo")),10)),"unknown")</f>
        <v>x 40 g</v>
      </c>
      <c r="K2737" s="6" t="str">
        <f t="shared" si="168"/>
        <v>g</v>
      </c>
      <c r="L2737" s="6" t="str">
        <f t="shared" si="169"/>
        <v>Crownfield,Lidl</v>
      </c>
      <c r="M2737" s="6" t="str">
        <f t="shared" si="170"/>
        <v>Barres Chocolat Noir Et Pointe De Sel</v>
      </c>
      <c r="N2737" s="6" t="str">
        <f t="shared" si="171"/>
        <v>France</v>
      </c>
    </row>
    <row r="2738" spans="1:14" x14ac:dyDescent="0.25">
      <c r="A2738" s="6" t="s">
        <v>6455</v>
      </c>
      <c r="B2738" s="6">
        <v>10068</v>
      </c>
      <c r="C2738" s="6" t="s">
        <v>7876</v>
      </c>
      <c r="D2738" s="7" t="s">
        <v>452</v>
      </c>
      <c r="E2738" s="6" t="s">
        <v>6456</v>
      </c>
      <c r="F2738" s="6" t="s">
        <v>7595</v>
      </c>
      <c r="G2738" s="8">
        <v>45788</v>
      </c>
      <c r="H2738" s="6">
        <v>7.82</v>
      </c>
      <c r="I2738" s="6" cm="1">
        <f t="array" ref="I2738">IFERROR(VALUE(TRIM(LEFT(E2738,MIN(FIND({" ";"g";"k";"m";"o"},E2738&amp;" gkmo"))-1))),0)</f>
        <v>4</v>
      </c>
      <c r="J2738" s="6" t="str" cm="1">
        <f t="array" ref="J2738">IFERROR(TRIM(MID(E2738,MIN(FIND({" ";"g";"k";"m";"o"},E2738&amp;" gkmo")),10)),"unknown")</f>
        <v>x 200 g</v>
      </c>
      <c r="K2738" s="6" t="str">
        <f t="shared" si="168"/>
        <v>g</v>
      </c>
      <c r="L2738" s="6" t="str">
        <f t="shared" si="169"/>
        <v>Hacendado</v>
      </c>
      <c r="M2738" s="6" t="str">
        <f t="shared" si="170"/>
        <v>Galletas Marà­A</v>
      </c>
      <c r="N2738" s="6" t="str">
        <f t="shared" si="171"/>
        <v>Espaà±A</v>
      </c>
    </row>
    <row r="2739" spans="1:14" x14ac:dyDescent="0.25">
      <c r="A2739" s="6" t="s">
        <v>6457</v>
      </c>
      <c r="B2739" s="6">
        <v>6715</v>
      </c>
      <c r="C2739" s="6" t="s">
        <v>6458</v>
      </c>
      <c r="D2739" s="7" t="s">
        <v>6459</v>
      </c>
      <c r="E2739" s="6" t="s">
        <v>580</v>
      </c>
      <c r="F2739" s="6" t="s">
        <v>1986</v>
      </c>
      <c r="G2739" s="8">
        <v>45966</v>
      </c>
      <c r="H2739" s="6">
        <v>2.57</v>
      </c>
      <c r="I2739" s="6" cm="1">
        <f t="array" ref="I2739">IFERROR(VALUE(TRIM(LEFT(E2739,MIN(FIND({" ";"g";"k";"m";"o"},E2739&amp;" gkmo"))-1))),0)</f>
        <v>250</v>
      </c>
      <c r="J2739" s="6" t="str" cm="1">
        <f t="array" ref="J2739">IFERROR(TRIM(MID(E2739,MIN(FIND({" ";"g";"k";"m";"o"},E2739&amp;" gkmo")),10)),"unknown")</f>
        <v>g</v>
      </c>
      <c r="K2739" s="6" t="str">
        <f t="shared" si="168"/>
        <v>g</v>
      </c>
      <c r="L2739" s="6" t="str">
        <f t="shared" si="169"/>
        <v>Sun Snacks</v>
      </c>
      <c r="M2739" s="6" t="str">
        <f t="shared" si="170"/>
        <v>Salzstangen Mit Meersalz</v>
      </c>
      <c r="N2739" s="6" t="str">
        <f t="shared" si="171"/>
        <v>Deutschland</v>
      </c>
    </row>
    <row r="2740" spans="1:14" x14ac:dyDescent="0.25">
      <c r="A2740" s="6" t="s">
        <v>6460</v>
      </c>
      <c r="B2740" s="6">
        <v>14676</v>
      </c>
      <c r="C2740" s="6" t="s">
        <v>7877</v>
      </c>
      <c r="D2740" s="7" t="s">
        <v>867</v>
      </c>
      <c r="E2740" s="6"/>
      <c r="F2740" s="6" t="s">
        <v>7960</v>
      </c>
      <c r="G2740" s="8">
        <v>45902</v>
      </c>
      <c r="H2740" s="6">
        <v>20.260000000000002</v>
      </c>
      <c r="I2740" s="6" cm="1">
        <f t="array" ref="I2740">IFERROR(VALUE(TRIM(LEFT(E2740,MIN(FIND({" ";"g";"k";"m";"o"},E2740&amp;" gkmo"))-1))),0)</f>
        <v>0</v>
      </c>
      <c r="J2740" s="6" t="str" cm="1">
        <f t="array" ref="J2740">IFERROR(TRIM(MID(E2740,MIN(FIND({" ";"g";"k";"m";"o"},E2740&amp;" gkmo")),10)),"unknown")</f>
        <v/>
      </c>
      <c r="K2740" s="6" t="str">
        <f t="shared" si="168"/>
        <v>unknown</v>
      </c>
      <c r="L2740" s="6" t="str">
        <f t="shared" si="169"/>
        <v>Risi</v>
      </c>
      <c r="M2740" s="6" t="str">
        <f t="shared" si="170"/>
        <v>Risi Clà¡Sicas</v>
      </c>
      <c r="N2740" s="6" t="str">
        <f t="shared" si="171"/>
        <v>Spain, Morocco</v>
      </c>
    </row>
    <row r="2741" spans="1:14" x14ac:dyDescent="0.25">
      <c r="A2741" s="6" t="s">
        <v>6461</v>
      </c>
      <c r="B2741" s="6">
        <v>8239</v>
      </c>
      <c r="C2741" s="6" t="s">
        <v>6462</v>
      </c>
      <c r="D2741" s="7" t="s">
        <v>6463</v>
      </c>
      <c r="E2741" s="6" t="s">
        <v>3900</v>
      </c>
      <c r="F2741" s="6" t="s">
        <v>2973</v>
      </c>
      <c r="G2741" s="8">
        <v>45695</v>
      </c>
      <c r="H2741" s="6">
        <v>5.21</v>
      </c>
      <c r="I2741" s="6" cm="1">
        <f t="array" ref="I2741">IFERROR(VALUE(TRIM(LEFT(E2741,MIN(FIND({" ";"g";"k";"m";"o"},E2741&amp;" gkmo"))-1))),0)</f>
        <v>21</v>
      </c>
      <c r="J2741" s="6" t="str" cm="1">
        <f t="array" ref="J2741">IFERROR(TRIM(MID(E2741,MIN(FIND({" ";"g";"k";"m";"o"},E2741&amp;" gkmo")),10)),"unknown")</f>
        <v>g</v>
      </c>
      <c r="K2741" s="6" t="str">
        <f t="shared" si="168"/>
        <v>g</v>
      </c>
      <c r="L2741" s="6" t="str">
        <f t="shared" si="169"/>
        <v>Fox'S</v>
      </c>
      <c r="M2741" s="6" t="str">
        <f t="shared" si="170"/>
        <v>Party Rings Mini</v>
      </c>
      <c r="N2741" s="6" t="str">
        <f t="shared" si="171"/>
        <v>Gb</v>
      </c>
    </row>
    <row r="2742" spans="1:14" x14ac:dyDescent="0.25">
      <c r="A2742" s="6" t="s">
        <v>6464</v>
      </c>
      <c r="B2742" s="6">
        <v>12703</v>
      </c>
      <c r="C2742" s="6" t="s">
        <v>6465</v>
      </c>
      <c r="D2742" s="7" t="s">
        <v>452</v>
      </c>
      <c r="E2742" s="6" t="s">
        <v>151</v>
      </c>
      <c r="F2742" s="6" t="s">
        <v>1185</v>
      </c>
      <c r="G2742" s="8">
        <v>45856</v>
      </c>
      <c r="H2742" s="6">
        <v>2.5099999999999998</v>
      </c>
      <c r="I2742" s="6" cm="1">
        <f t="array" ref="I2742">IFERROR(VALUE(TRIM(LEFT(E2742,MIN(FIND({" ";"g";"k";"m";"o"},E2742&amp;" gkmo"))-1))),0)</f>
        <v>200</v>
      </c>
      <c r="J2742" s="6" t="str" cm="1">
        <f t="array" ref="J2742">IFERROR(TRIM(MID(E2742,MIN(FIND({" ";"g";"k";"m";"o"},E2742&amp;" gkmo")),10)),"unknown")</f>
        <v>g</v>
      </c>
      <c r="K2742" s="6" t="str">
        <f t="shared" si="168"/>
        <v>g</v>
      </c>
      <c r="L2742" s="6" t="str">
        <f t="shared" si="169"/>
        <v>Hacendado</v>
      </c>
      <c r="M2742" s="6" t="str">
        <f t="shared" si="170"/>
        <v>Choco Fundir Negro</v>
      </c>
      <c r="N2742" s="6" t="str">
        <f t="shared" si="171"/>
        <v>Spain</v>
      </c>
    </row>
    <row r="2743" spans="1:14" x14ac:dyDescent="0.25">
      <c r="A2743" s="6" t="s">
        <v>6466</v>
      </c>
      <c r="B2743" s="6">
        <v>7426</v>
      </c>
      <c r="C2743" s="6" t="s">
        <v>6467</v>
      </c>
      <c r="D2743" s="7" t="s">
        <v>7578</v>
      </c>
      <c r="E2743" s="6" t="s">
        <v>1109</v>
      </c>
      <c r="F2743" s="6" t="s">
        <v>139</v>
      </c>
      <c r="G2743" s="8">
        <v>45557</v>
      </c>
      <c r="H2743" s="6">
        <v>19.940000000000001</v>
      </c>
      <c r="I2743" s="6" cm="1">
        <f t="array" ref="I2743">IFERROR(VALUE(TRIM(LEFT(E2743,MIN(FIND({" ";"g";"k";"m";"o"},E2743&amp;" gkmo"))-1))),0)</f>
        <v>240</v>
      </c>
      <c r="J2743" s="6" t="str" cm="1">
        <f t="array" ref="J2743">IFERROR(TRIM(MID(E2743,MIN(FIND({" ";"g";"k";"m";"o"},E2743&amp;" gkmo")),10)),"unknown")</f>
        <v>g</v>
      </c>
      <c r="K2743" s="6" t="str">
        <f t="shared" si="168"/>
        <v>g</v>
      </c>
      <c r="L2743" s="6" t="str">
        <f t="shared" si="169"/>
        <v>Gullà³N</v>
      </c>
      <c r="M2743" s="6" t="str">
        <f t="shared" si="170"/>
        <v>Gullon Hearts Of Cereal Oats Chocolate</v>
      </c>
      <c r="N2743" s="6" t="str">
        <f t="shared" si="171"/>
        <v>France</v>
      </c>
    </row>
    <row r="2744" spans="1:14" x14ac:dyDescent="0.25">
      <c r="A2744" s="6" t="s">
        <v>6468</v>
      </c>
      <c r="B2744" s="6">
        <v>8810</v>
      </c>
      <c r="C2744" s="6" t="s">
        <v>7017</v>
      </c>
      <c r="D2744" s="7" t="s">
        <v>7621</v>
      </c>
      <c r="E2744" s="6" t="s">
        <v>3249</v>
      </c>
      <c r="F2744" s="6" t="s">
        <v>8219</v>
      </c>
      <c r="G2744" s="8">
        <v>45494</v>
      </c>
      <c r="H2744" s="6">
        <v>13.16</v>
      </c>
      <c r="I2744" s="6" cm="1">
        <f t="array" ref="I2744">IFERROR(VALUE(TRIM(LEFT(E2744,MIN(FIND({" ";"g";"k";"m";"o"},E2744&amp;" gkmo"))-1))),0)</f>
        <v>265</v>
      </c>
      <c r="J2744" s="6" t="str" cm="1">
        <f t="array" ref="J2744">IFERROR(TRIM(MID(E2744,MIN(FIND({" ";"g";"k";"m";"o"},E2744&amp;" gkmo")),10)),"unknown")</f>
        <v>g</v>
      </c>
      <c r="K2744" s="6" t="str">
        <f t="shared" si="168"/>
        <v>g</v>
      </c>
      <c r="L2744" s="6" t="str">
        <f t="shared" si="169"/>
        <v>Gullà³N</v>
      </c>
      <c r="M2744" s="6" t="str">
        <f t="shared" si="170"/>
        <v>Unknown</v>
      </c>
      <c r="N2744" s="6" t="str">
        <f t="shared" si="171"/>
        <v>France,Marruecos,Espaà±A</v>
      </c>
    </row>
    <row r="2745" spans="1:14" x14ac:dyDescent="0.25">
      <c r="A2745" s="6" t="s">
        <v>6469</v>
      </c>
      <c r="B2745" s="6">
        <v>5189</v>
      </c>
      <c r="C2745" s="6" t="s">
        <v>6470</v>
      </c>
      <c r="D2745" s="7" t="s">
        <v>2338</v>
      </c>
      <c r="E2745" s="6" t="s">
        <v>1265</v>
      </c>
      <c r="F2745" s="6" t="s">
        <v>1185</v>
      </c>
      <c r="G2745" s="8">
        <v>45642</v>
      </c>
      <c r="H2745" s="6">
        <v>11.71</v>
      </c>
      <c r="I2745" s="6" cm="1">
        <f t="array" ref="I2745">IFERROR(VALUE(TRIM(LEFT(E2745,MIN(FIND({" ";"g";"k";"m";"o"},E2745&amp;" gkmo"))-1))),0)</f>
        <v>185</v>
      </c>
      <c r="J2745" s="6" t="str" cm="1">
        <f t="array" ref="J2745">IFERROR(TRIM(MID(E2745,MIN(FIND({" ";"g";"k";"m";"o"},E2745&amp;" gkmo")),10)),"unknown")</f>
        <v>g</v>
      </c>
      <c r="K2745" s="6" t="str">
        <f t="shared" si="168"/>
        <v>g</v>
      </c>
      <c r="L2745" s="6" t="str">
        <f t="shared" si="169"/>
        <v>Rivercote</v>
      </c>
      <c r="M2745" s="6" t="str">
        <f t="shared" si="170"/>
        <v>Black Pepper &amp; Sea Salt Crackers</v>
      </c>
      <c r="N2745" s="6" t="str">
        <f t="shared" si="171"/>
        <v>Spain</v>
      </c>
    </row>
    <row r="2746" spans="1:14" x14ac:dyDescent="0.25">
      <c r="A2746" s="6" t="s">
        <v>6471</v>
      </c>
      <c r="B2746" s="6">
        <v>9918</v>
      </c>
      <c r="C2746" s="6" t="s">
        <v>6472</v>
      </c>
      <c r="D2746" s="7" t="s">
        <v>6473</v>
      </c>
      <c r="E2746" s="6" t="s">
        <v>614</v>
      </c>
      <c r="F2746" s="6" t="s">
        <v>7878</v>
      </c>
      <c r="G2746" s="8">
        <v>45543</v>
      </c>
      <c r="H2746" s="6">
        <v>8.5500000000000007</v>
      </c>
      <c r="I2746" s="6" cm="1">
        <f t="array" ref="I2746">IFERROR(VALUE(TRIM(LEFT(E2746,MIN(FIND({" ";"g";"k";"m";"o"},E2746&amp;" gkmo"))-1))),0)</f>
        <v>45</v>
      </c>
      <c r="J2746" s="6" t="str" cm="1">
        <f t="array" ref="J2746">IFERROR(TRIM(MID(E2746,MIN(FIND({" ";"g";"k";"m";"o"},E2746&amp;" gkmo")),10)),"unknown")</f>
        <v>g</v>
      </c>
      <c r="K2746" s="6" t="str">
        <f t="shared" si="168"/>
        <v>g</v>
      </c>
      <c r="L2746" s="6" t="str">
        <f t="shared" si="169"/>
        <v>Jet Gum, Jetgum</v>
      </c>
      <c r="M2746" s="6" t="str">
        <f t="shared" si="170"/>
        <v>Jet Gum Sugar Free</v>
      </c>
      <c r="N2746" s="6" t="str">
        <f t="shared" si="171"/>
        <v>Alemanha,Eslovà¡Quia</v>
      </c>
    </row>
    <row r="2747" spans="1:14" x14ac:dyDescent="0.25">
      <c r="A2747" s="6" t="s">
        <v>6474</v>
      </c>
      <c r="B2747" s="6">
        <v>14464</v>
      </c>
      <c r="C2747" s="6" t="s">
        <v>6475</v>
      </c>
      <c r="D2747" s="7" t="s">
        <v>1088</v>
      </c>
      <c r="E2747" s="6"/>
      <c r="F2747" s="6" t="s">
        <v>177</v>
      </c>
      <c r="G2747" s="8">
        <v>45684</v>
      </c>
      <c r="H2747" s="6">
        <v>7.81</v>
      </c>
      <c r="I2747" s="6" cm="1">
        <f t="array" ref="I2747">IFERROR(VALUE(TRIM(LEFT(E2747,MIN(FIND({" ";"g";"k";"m";"o"},E2747&amp;" gkmo"))-1))),0)</f>
        <v>0</v>
      </c>
      <c r="J2747" s="6" t="str" cm="1">
        <f t="array" ref="J2747">IFERROR(TRIM(MID(E2747,MIN(FIND({" ";"g";"k";"m";"o"},E2747&amp;" gkmo")),10)),"unknown")</f>
        <v/>
      </c>
      <c r="K2747" s="6" t="str">
        <f t="shared" si="168"/>
        <v>unknown</v>
      </c>
      <c r="L2747" s="6" t="str">
        <f t="shared" si="169"/>
        <v>Waitrose</v>
      </c>
      <c r="M2747" s="6" t="str">
        <f t="shared" si="170"/>
        <v>Dark 75% Madagascar Ginger &amp; Turmeric</v>
      </c>
      <c r="N2747" s="6" t="str">
        <f t="shared" si="171"/>
        <v>United Kingdom</v>
      </c>
    </row>
    <row r="2748" spans="1:14" x14ac:dyDescent="0.25">
      <c r="A2748" s="6" t="s">
        <v>6476</v>
      </c>
      <c r="B2748" s="6">
        <v>8813</v>
      </c>
      <c r="C2748" s="6" t="s">
        <v>6477</v>
      </c>
      <c r="D2748" s="7" t="s">
        <v>3654</v>
      </c>
      <c r="E2748" s="6" t="s">
        <v>138</v>
      </c>
      <c r="F2748" s="6" t="s">
        <v>139</v>
      </c>
      <c r="G2748" s="8">
        <v>46049</v>
      </c>
      <c r="H2748" s="6">
        <v>5.67</v>
      </c>
      <c r="I2748" s="6" cm="1">
        <f t="array" ref="I2748">IFERROR(VALUE(TRIM(LEFT(E2748,MIN(FIND({" ";"g";"k";"m";"o"},E2748&amp;" gkmo"))-1))),0)</f>
        <v>400</v>
      </c>
      <c r="J2748" s="6" t="str" cm="1">
        <f t="array" ref="J2748">IFERROR(TRIM(MID(E2748,MIN(FIND({" ";"g";"k";"m";"o"},E2748&amp;" gkmo")),10)),"unknown")</f>
        <v>g</v>
      </c>
      <c r="K2748" s="6" t="str">
        <f t="shared" si="168"/>
        <v>g</v>
      </c>
      <c r="L2748" s="6" t="str">
        <f t="shared" si="169"/>
        <v>Snacks Of The World</v>
      </c>
      <c r="M2748" s="6" t="str">
        <f t="shared" si="170"/>
        <v>Hot Mix Spicy</v>
      </c>
      <c r="N2748" s="6" t="str">
        <f t="shared" si="171"/>
        <v>France</v>
      </c>
    </row>
    <row r="2749" spans="1:14" x14ac:dyDescent="0.25">
      <c r="A2749" s="6" t="s">
        <v>6478</v>
      </c>
      <c r="B2749" s="6">
        <v>12258</v>
      </c>
      <c r="C2749" s="6" t="s">
        <v>6479</v>
      </c>
      <c r="D2749" s="7" t="s">
        <v>3452</v>
      </c>
      <c r="E2749" s="6"/>
      <c r="F2749" s="6" t="s">
        <v>2973</v>
      </c>
      <c r="G2749" s="8">
        <v>45379</v>
      </c>
      <c r="H2749" s="6">
        <v>13.16</v>
      </c>
      <c r="I2749" s="6" cm="1">
        <f t="array" ref="I2749">IFERROR(VALUE(TRIM(LEFT(E2749,MIN(FIND({" ";"g";"k";"m";"o"},E2749&amp;" gkmo"))-1))),0)</f>
        <v>0</v>
      </c>
      <c r="J2749" s="6" t="str" cm="1">
        <f t="array" ref="J2749">IFERROR(TRIM(MID(E2749,MIN(FIND({" ";"g";"k";"m";"o"},E2749&amp;" gkmo")),10)),"unknown")</f>
        <v/>
      </c>
      <c r="K2749" s="6" t="str">
        <f t="shared" si="168"/>
        <v>unknown</v>
      </c>
      <c r="L2749" s="6" t="str">
        <f t="shared" si="169"/>
        <v>Organix</v>
      </c>
      <c r="M2749" s="6" t="str">
        <f t="shared" si="170"/>
        <v>Cocoa &amp; Vanilla Gruffalo Biscuits+ Months 5 X (100G)</v>
      </c>
      <c r="N2749" s="6" t="str">
        <f t="shared" si="171"/>
        <v>Gb</v>
      </c>
    </row>
    <row r="2750" spans="1:14" x14ac:dyDescent="0.25">
      <c r="A2750" s="6" t="s">
        <v>6480</v>
      </c>
      <c r="B2750" s="6">
        <v>10183</v>
      </c>
      <c r="C2750" s="6" t="s">
        <v>6481</v>
      </c>
      <c r="D2750" s="7" t="s">
        <v>7017</v>
      </c>
      <c r="E2750" s="6" t="s">
        <v>6482</v>
      </c>
      <c r="F2750" s="6" t="s">
        <v>2973</v>
      </c>
      <c r="G2750" s="8">
        <v>45446</v>
      </c>
      <c r="H2750" s="6">
        <v>10.78</v>
      </c>
      <c r="I2750" s="6" cm="1">
        <f t="array" ref="I2750">IFERROR(VALUE(TRIM(LEFT(E2750,MIN(FIND({" ";"g";"k";"m";"o"},E2750&amp;" gkmo"))-1))),0)</f>
        <v>8</v>
      </c>
      <c r="J2750" s="6" t="str" cm="1">
        <f t="array" ref="J2750">IFERROR(TRIM(MID(E2750,MIN(FIND({" ";"g";"k";"m";"o"},E2750&amp;" gkmo")),10)),"unknown")</f>
        <v>x 25 g</v>
      </c>
      <c r="K2750" s="6" t="str">
        <f t="shared" si="168"/>
        <v>g</v>
      </c>
      <c r="L2750" s="6" t="str">
        <f t="shared" si="169"/>
        <v>Unknown</v>
      </c>
      <c r="M2750" s="6" t="str">
        <f t="shared" si="170"/>
        <v>Hoops</v>
      </c>
      <c r="N2750" s="6" t="str">
        <f t="shared" si="171"/>
        <v>Gb</v>
      </c>
    </row>
    <row r="2751" spans="1:14" x14ac:dyDescent="0.25">
      <c r="A2751" s="6" t="s">
        <v>6483</v>
      </c>
      <c r="B2751" s="6">
        <v>7790</v>
      </c>
      <c r="C2751" s="6" t="s">
        <v>6484</v>
      </c>
      <c r="D2751" s="7" t="s">
        <v>7265</v>
      </c>
      <c r="E2751" s="6" t="s">
        <v>6485</v>
      </c>
      <c r="F2751" s="6" t="s">
        <v>139</v>
      </c>
      <c r="G2751" s="8">
        <v>45329</v>
      </c>
      <c r="H2751" s="6">
        <v>5.34</v>
      </c>
      <c r="I2751" s="6" cm="1">
        <f t="array" ref="I2751">IFERROR(VALUE(TRIM(LEFT(E2751,MIN(FIND({" ";"g";"k";"m";"o"},E2751&amp;" gkmo"))-1))),0)</f>
        <v>138</v>
      </c>
      <c r="J2751" s="6" t="str" cm="1">
        <f t="array" ref="J2751">IFERROR(TRIM(MID(E2751,MIN(FIND({" ";"g";"k";"m";"o"},E2751&amp;" gkmo")),10)),"unknown")</f>
        <v>g e</v>
      </c>
      <c r="K2751" s="6" t="str">
        <f t="shared" si="168"/>
        <v>g</v>
      </c>
      <c r="L2751" s="6" t="str">
        <f t="shared" si="169"/>
        <v>Gerlinéa</v>
      </c>
      <c r="M2751" s="6" t="str">
        <f t="shared" si="170"/>
        <v>Gerlinea Moelleux</v>
      </c>
      <c r="N2751" s="6" t="str">
        <f t="shared" si="171"/>
        <v>France</v>
      </c>
    </row>
    <row r="2752" spans="1:14" x14ac:dyDescent="0.25">
      <c r="A2752" s="6" t="s">
        <v>6486</v>
      </c>
      <c r="B2752" s="6">
        <v>10247</v>
      </c>
      <c r="C2752" s="6" t="s">
        <v>6487</v>
      </c>
      <c r="D2752" s="7" t="s">
        <v>6488</v>
      </c>
      <c r="E2752" s="6" t="s">
        <v>3620</v>
      </c>
      <c r="F2752" s="6" t="s">
        <v>8184</v>
      </c>
      <c r="G2752" s="8">
        <v>45812</v>
      </c>
      <c r="H2752" s="6">
        <v>17.45</v>
      </c>
      <c r="I2752" s="6" cm="1">
        <f t="array" ref="I2752">IFERROR(VALUE(TRIM(LEFT(E2752,MIN(FIND({" ";"g";"k";"m";"o"},E2752&amp;" gkmo"))-1))),0)</f>
        <v>54</v>
      </c>
      <c r="J2752" s="6" t="str" cm="1">
        <f t="array" ref="J2752">IFERROR(TRIM(MID(E2752,MIN(FIND({" ";"g";"k";"m";"o"},E2752&amp;" gkmo")),10)),"unknown")</f>
        <v>g</v>
      </c>
      <c r="K2752" s="6" t="str">
        <f t="shared" si="168"/>
        <v>g</v>
      </c>
      <c r="L2752" s="6" t="str">
        <f t="shared" si="169"/>
        <v>Tic Tac</v>
      </c>
      <c r="M2752" s="6" t="str">
        <f t="shared" si="170"/>
        <v>Tic Tac Festival</v>
      </c>
      <c r="N2752" s="6" t="str">
        <f t="shared" si="171"/>
        <v>France, Germany</v>
      </c>
    </row>
    <row r="2753" spans="1:14" x14ac:dyDescent="0.25">
      <c r="A2753" s="6" t="s">
        <v>6489</v>
      </c>
      <c r="B2753" s="6">
        <v>7892</v>
      </c>
      <c r="C2753" s="6" t="s">
        <v>6490</v>
      </c>
      <c r="D2753" s="7" t="s">
        <v>4976</v>
      </c>
      <c r="E2753" s="6"/>
      <c r="F2753" s="6" t="s">
        <v>48</v>
      </c>
      <c r="G2753" s="8">
        <v>45880</v>
      </c>
      <c r="H2753" s="6">
        <v>19.14</v>
      </c>
      <c r="I2753" s="6" cm="1">
        <f t="array" ref="I2753">IFERROR(VALUE(TRIM(LEFT(E2753,MIN(FIND({" ";"g";"k";"m";"o"},E2753&amp;" gkmo"))-1))),0)</f>
        <v>0</v>
      </c>
      <c r="J2753" s="6" t="str" cm="1">
        <f t="array" ref="J2753">IFERROR(TRIM(MID(E2753,MIN(FIND({" ";"g";"k";"m";"o"},E2753&amp;" gkmo")),10)),"unknown")</f>
        <v/>
      </c>
      <c r="K2753" s="6" t="str">
        <f t="shared" si="168"/>
        <v>unknown</v>
      </c>
      <c r="L2753" s="6" t="str">
        <f t="shared" si="169"/>
        <v>Toren</v>
      </c>
      <c r="M2753" s="6" t="str">
        <f t="shared" si="170"/>
        <v>Dark Compound Choclate</v>
      </c>
      <c r="N2753" s="6" t="str">
        <f t="shared" si="171"/>
        <v>Morocco</v>
      </c>
    </row>
    <row r="2754" spans="1:14" x14ac:dyDescent="0.25">
      <c r="A2754" s="6" t="s">
        <v>6491</v>
      </c>
      <c r="B2754" s="6">
        <v>10857</v>
      </c>
      <c r="C2754" s="6" t="s">
        <v>6492</v>
      </c>
      <c r="D2754" s="7" t="s">
        <v>6493</v>
      </c>
      <c r="E2754" s="6" t="s">
        <v>36</v>
      </c>
      <c r="F2754" s="6" t="s">
        <v>6494</v>
      </c>
      <c r="G2754" s="8">
        <v>45773</v>
      </c>
      <c r="H2754" s="6">
        <v>13.16</v>
      </c>
      <c r="I2754" s="6" cm="1">
        <f t="array" ref="I2754">IFERROR(VALUE(TRIM(LEFT(E2754,MIN(FIND({" ";"g";"k";"m";"o"},E2754&amp;" gkmo"))-1))),0)</f>
        <v>42</v>
      </c>
      <c r="J2754" s="6" t="str" cm="1">
        <f t="array" ref="J2754">IFERROR(TRIM(MID(E2754,MIN(FIND({" ";"g";"k";"m";"o"},E2754&amp;" gkmo")),10)),"unknown")</f>
        <v>g</v>
      </c>
      <c r="K2754" s="6" t="str">
        <f t="shared" ref="K2754:K2817" si="172">IF(E2754="","unknown",IF(OR(J2754="g",LEFT(J2754,1)="g"),"g",IF(OR(LEFT(J2754,2)="kg",LEFT(J2754,2)="ki"),"kg",IF(OR(LEFT(J2754,2)="ml",LEFT(J2754,1)="m"),"ml",IF(LEFT(J2754,1)="l","l",IF(ISNUMBER(SEARCH("g",E2754)),"g",IF(ISNUMBER(SEARCH("kg",E2754)),"kg",IF(ISNUMBER(SEARCH("ml",E2754)),"ml","unknown"))))))))</f>
        <v>g</v>
      </c>
      <c r="L2754" s="6" t="str">
        <f t="shared" ref="L2754:L2817" si="173">IF(D2754="","Unknown",PROPER(TRIM(D2754)))</f>
        <v>Reese'S</v>
      </c>
      <c r="M2754" s="6" t="str">
        <f t="shared" ref="M2754:M2817" si="174">IF(C2754="Unknown","Unknown",PROPER(TRIM(C2754)))</f>
        <v>2 Peanut Butter Cups</v>
      </c>
      <c r="N2754" s="6" t="str">
        <f t="shared" si="171"/>
        <v>Bulgaria,North Macedonia,Romania,Sweden,Switzerland</v>
      </c>
    </row>
    <row r="2755" spans="1:14" x14ac:dyDescent="0.25">
      <c r="A2755" s="6" t="s">
        <v>6495</v>
      </c>
      <c r="B2755" s="6">
        <v>14032</v>
      </c>
      <c r="C2755" s="6" t="s">
        <v>7417</v>
      </c>
      <c r="D2755" s="7" t="s">
        <v>7172</v>
      </c>
      <c r="E2755" s="6" t="s">
        <v>592</v>
      </c>
      <c r="F2755" s="6" t="s">
        <v>139</v>
      </c>
      <c r="G2755" s="8">
        <v>46011</v>
      </c>
      <c r="H2755" s="6">
        <v>1.49</v>
      </c>
      <c r="I2755" s="6" cm="1">
        <f t="array" ref="I2755">IFERROR(VALUE(TRIM(LEFT(E2755,MIN(FIND({" ";"g";"k";"m";"o"},E2755&amp;" gkmo"))-1))),0)</f>
        <v>500</v>
      </c>
      <c r="J2755" s="6" t="str" cm="1">
        <f t="array" ref="J2755">IFERROR(TRIM(MID(E2755,MIN(FIND({" ";"g";"k";"m";"o"},E2755&amp;" gkmo")),10)),"unknown")</f>
        <v>g</v>
      </c>
      <c r="K2755" s="6" t="str">
        <f t="shared" si="172"/>
        <v>g</v>
      </c>
      <c r="L2755" s="6" t="str">
        <f t="shared" si="173"/>
        <v>La Fournée Dorée</v>
      </c>
      <c r="M2755" s="6" t="str">
        <f t="shared" si="174"/>
        <v>La Brioche Tressée Tranchée</v>
      </c>
      <c r="N2755" s="6" t="str">
        <f t="shared" ref="N2755:N2818" si="175">IF(F2755="","Unknown",PROPER(TRIM(F2755)))</f>
        <v>France</v>
      </c>
    </row>
    <row r="2756" spans="1:14" x14ac:dyDescent="0.25">
      <c r="A2756" s="6" t="s">
        <v>6496</v>
      </c>
      <c r="B2756" s="6">
        <v>9568</v>
      </c>
      <c r="C2756" s="6" t="s">
        <v>6497</v>
      </c>
      <c r="D2756" s="7" t="s">
        <v>6463</v>
      </c>
      <c r="E2756" s="6" t="s">
        <v>2045</v>
      </c>
      <c r="F2756" s="6" t="s">
        <v>177</v>
      </c>
      <c r="G2756" s="8">
        <v>45838</v>
      </c>
      <c r="H2756" s="6">
        <v>17.66</v>
      </c>
      <c r="I2756" s="6" cm="1">
        <f t="array" ref="I2756">IFERROR(VALUE(TRIM(LEFT(E2756,MIN(FIND({" ";"g";"k";"m";"o"},E2756&amp;" gkmo"))-1))),0)</f>
        <v>175</v>
      </c>
      <c r="J2756" s="6" t="str" cm="1">
        <f t="array" ref="J2756">IFERROR(TRIM(MID(E2756,MIN(FIND({" ";"g";"k";"m";"o"},E2756&amp;" gkmo")),10)),"unknown")</f>
        <v>g</v>
      </c>
      <c r="K2756" s="6" t="str">
        <f t="shared" si="172"/>
        <v>g</v>
      </c>
      <c r="L2756" s="6" t="str">
        <f t="shared" si="173"/>
        <v>Fox'S</v>
      </c>
      <c r="M2756" s="6" t="str">
        <f t="shared" si="174"/>
        <v>Half-Coated Milk Chocolate Cookies</v>
      </c>
      <c r="N2756" s="6" t="str">
        <f t="shared" si="175"/>
        <v>United Kingdom</v>
      </c>
    </row>
    <row r="2757" spans="1:14" x14ac:dyDescent="0.25">
      <c r="A2757" s="6" t="s">
        <v>6498</v>
      </c>
      <c r="B2757" s="6">
        <v>12635</v>
      </c>
      <c r="C2757" s="6" t="s">
        <v>6499</v>
      </c>
      <c r="D2757" s="7" t="s">
        <v>7017</v>
      </c>
      <c r="E2757" s="6"/>
      <c r="F2757" s="6" t="s">
        <v>177</v>
      </c>
      <c r="G2757" s="8">
        <v>45915</v>
      </c>
      <c r="H2757" s="6">
        <v>21.66</v>
      </c>
      <c r="I2757" s="6" cm="1">
        <f t="array" ref="I2757">IFERROR(VALUE(TRIM(LEFT(E2757,MIN(FIND({" ";"g";"k";"m";"o"},E2757&amp;" gkmo"))-1))),0)</f>
        <v>0</v>
      </c>
      <c r="J2757" s="6" t="str" cm="1">
        <f t="array" ref="J2757">IFERROR(TRIM(MID(E2757,MIN(FIND({" ";"g";"k";"m";"o"},E2757&amp;" gkmo")),10)),"unknown")</f>
        <v/>
      </c>
      <c r="K2757" s="6" t="str">
        <f t="shared" si="172"/>
        <v>unknown</v>
      </c>
      <c r="L2757" s="6" t="str">
        <f t="shared" si="173"/>
        <v>Unknown</v>
      </c>
      <c r="M2757" s="6" t="str">
        <f t="shared" si="174"/>
        <v>Sweet And Salty Butterfly Popcorn</v>
      </c>
      <c r="N2757" s="6" t="str">
        <f t="shared" si="175"/>
        <v>United Kingdom</v>
      </c>
    </row>
    <row r="2758" spans="1:14" x14ac:dyDescent="0.25">
      <c r="A2758" s="6" t="s">
        <v>6500</v>
      </c>
      <c r="B2758" s="6">
        <v>12420</v>
      </c>
      <c r="C2758" s="6" t="s">
        <v>6501</v>
      </c>
      <c r="D2758" s="7" t="s">
        <v>2102</v>
      </c>
      <c r="E2758" s="6" t="s">
        <v>6502</v>
      </c>
      <c r="F2758" s="6" t="s">
        <v>7595</v>
      </c>
      <c r="G2758" s="8">
        <v>45817</v>
      </c>
      <c r="H2758" s="6">
        <v>11.87</v>
      </c>
      <c r="I2758" s="6" cm="1">
        <f t="array" ref="I2758">IFERROR(VALUE(TRIM(LEFT(E2758,MIN(FIND({" ";"g";"k";"m";"o"},E2758&amp;" gkmo"))-1))),0)</f>
        <v>160</v>
      </c>
      <c r="J2758" s="6" t="str" cm="1">
        <f t="array" ref="J2758">IFERROR(TRIM(MID(E2758,MIN(FIND({" ";"g";"k";"m";"o"},E2758&amp;" gkmo")),10)),"unknown")</f>
        <v>g.</v>
      </c>
      <c r="K2758" s="6" t="str">
        <f t="shared" si="172"/>
        <v>g</v>
      </c>
      <c r="L2758" s="6" t="str">
        <f t="shared" si="173"/>
        <v>Lay'S,Pepsico</v>
      </c>
      <c r="M2758" s="6" t="str">
        <f t="shared" si="174"/>
        <v>Patatas Lay'S Sal</v>
      </c>
      <c r="N2758" s="6" t="str">
        <f t="shared" si="175"/>
        <v>Espaà±A</v>
      </c>
    </row>
    <row r="2759" spans="1:14" x14ac:dyDescent="0.25">
      <c r="A2759" s="6" t="s">
        <v>6503</v>
      </c>
      <c r="B2759" s="6">
        <v>11894</v>
      </c>
      <c r="C2759" s="6" t="s">
        <v>5617</v>
      </c>
      <c r="D2759" s="7" t="s">
        <v>1355</v>
      </c>
      <c r="E2759" s="6" t="s">
        <v>304</v>
      </c>
      <c r="F2759" s="6" t="s">
        <v>139</v>
      </c>
      <c r="G2759" s="8">
        <v>45851</v>
      </c>
      <c r="H2759" s="6">
        <v>1.75</v>
      </c>
      <c r="I2759" s="6" cm="1">
        <f t="array" ref="I2759">IFERROR(VALUE(TRIM(LEFT(E2759,MIN(FIND({" ";"g";"k";"m";"o"},E2759&amp;" gkmo"))-1))),0)</f>
        <v>135</v>
      </c>
      <c r="J2759" s="6" t="str" cm="1">
        <f t="array" ref="J2759">IFERROR(TRIM(MID(E2759,MIN(FIND({" ";"g";"k";"m";"o"},E2759&amp;" gkmo")),10)),"unknown")</f>
        <v>g</v>
      </c>
      <c r="K2759" s="6" t="str">
        <f t="shared" si="172"/>
        <v>g</v>
      </c>
      <c r="L2759" s="6" t="str">
        <f t="shared" si="173"/>
        <v>Lay'S</v>
      </c>
      <c r="M2759" s="6" t="str">
        <f t="shared" si="174"/>
        <v>Chips Saveur Barbecue</v>
      </c>
      <c r="N2759" s="6" t="str">
        <f t="shared" si="175"/>
        <v>France</v>
      </c>
    </row>
    <row r="2760" spans="1:14" x14ac:dyDescent="0.25">
      <c r="A2760" s="6" t="s">
        <v>6504</v>
      </c>
      <c r="B2760" s="6">
        <v>11488</v>
      </c>
      <c r="C2760" s="6" t="s">
        <v>6505</v>
      </c>
      <c r="D2760" s="7" t="s">
        <v>6506</v>
      </c>
      <c r="E2760" s="6" t="s">
        <v>284</v>
      </c>
      <c r="F2760" s="6" t="s">
        <v>139</v>
      </c>
      <c r="G2760" s="8">
        <v>45587</v>
      </c>
      <c r="H2760" s="6">
        <v>10.8</v>
      </c>
      <c r="I2760" s="6" cm="1">
        <f t="array" ref="I2760">IFERROR(VALUE(TRIM(LEFT(E2760,MIN(FIND({" ";"g";"k";"m";"o"},E2760&amp;" gkmo"))-1))),0)</f>
        <v>180</v>
      </c>
      <c r="J2760" s="6" t="str" cm="1">
        <f t="array" ref="J2760">IFERROR(TRIM(MID(E2760,MIN(FIND({" ";"g";"k";"m";"o"},E2760&amp;" gkmo")),10)),"unknown")</f>
        <v>g</v>
      </c>
      <c r="K2760" s="6" t="str">
        <f t="shared" si="172"/>
        <v>g</v>
      </c>
      <c r="L2760" s="6" t="str">
        <f t="shared" si="173"/>
        <v>Aline &amp; Olivier</v>
      </c>
      <c r="M2760" s="6" t="str">
        <f t="shared" si="174"/>
        <v>Mes Cookies Bio Tout Chocolat</v>
      </c>
      <c r="N2760" s="6" t="str">
        <f t="shared" si="175"/>
        <v>France</v>
      </c>
    </row>
    <row r="2761" spans="1:14" x14ac:dyDescent="0.25">
      <c r="A2761" s="6" t="s">
        <v>6507</v>
      </c>
      <c r="B2761" s="6">
        <v>13116</v>
      </c>
      <c r="C2761" s="6" t="s">
        <v>6508</v>
      </c>
      <c r="D2761" s="7" t="s">
        <v>726</v>
      </c>
      <c r="E2761" s="6" t="s">
        <v>614</v>
      </c>
      <c r="F2761" s="6" t="s">
        <v>8185</v>
      </c>
      <c r="G2761" s="8">
        <v>45587</v>
      </c>
      <c r="H2761" s="6">
        <v>7.07</v>
      </c>
      <c r="I2761" s="6" cm="1">
        <f t="array" ref="I2761">IFERROR(VALUE(TRIM(LEFT(E2761,MIN(FIND({" ";"g";"k";"m";"o"},E2761&amp;" gkmo"))-1))),0)</f>
        <v>45</v>
      </c>
      <c r="J2761" s="6" t="str" cm="1">
        <f t="array" ref="J2761">IFERROR(TRIM(MID(E2761,MIN(FIND({" ";"g";"k";"m";"o"},E2761&amp;" gkmo")),10)),"unknown")</f>
        <v>g</v>
      </c>
      <c r="K2761" s="6" t="str">
        <f t="shared" si="172"/>
        <v>g</v>
      </c>
      <c r="L2761" s="6" t="str">
        <f t="shared" si="173"/>
        <v>Walkers</v>
      </c>
      <c r="M2761" s="6" t="str">
        <f t="shared" si="174"/>
        <v>Seriously Salt And Vinegar Crisps</v>
      </c>
      <c r="N2761" s="6" t="str">
        <f t="shared" si="175"/>
        <v>Italy, United-Kingdom</v>
      </c>
    </row>
    <row r="2762" spans="1:14" x14ac:dyDescent="0.25">
      <c r="A2762" s="6" t="s">
        <v>6509</v>
      </c>
      <c r="B2762" s="6">
        <v>5951</v>
      </c>
      <c r="C2762" s="6" t="s">
        <v>6510</v>
      </c>
      <c r="D2762" s="7" t="s">
        <v>2286</v>
      </c>
      <c r="E2762" s="6" t="s">
        <v>335</v>
      </c>
      <c r="F2762" s="6" t="s">
        <v>139</v>
      </c>
      <c r="G2762" s="8">
        <v>45898</v>
      </c>
      <c r="H2762" s="6">
        <v>21.6</v>
      </c>
      <c r="I2762" s="6" cm="1">
        <f t="array" ref="I2762">IFERROR(VALUE(TRIM(LEFT(E2762,MIN(FIND({" ";"g";"k";"m";"o"},E2762&amp;" gkmo"))-1))),0)</f>
        <v>250</v>
      </c>
      <c r="J2762" s="6" t="str" cm="1">
        <f t="array" ref="J2762">IFERROR(TRIM(MID(E2762,MIN(FIND({" ";"g";"k";"m";"o"},E2762&amp;" gkmo")),10)),"unknown")</f>
        <v>g</v>
      </c>
      <c r="K2762" s="6" t="str">
        <f t="shared" si="172"/>
        <v>g</v>
      </c>
      <c r="L2762" s="6" t="str">
        <f t="shared" si="173"/>
        <v>Maison Colibri</v>
      </c>
      <c r="M2762" s="6" t="str">
        <f t="shared" si="174"/>
        <v>La Madeleine Pur Beurre</v>
      </c>
      <c r="N2762" s="6" t="str">
        <f t="shared" si="175"/>
        <v>France</v>
      </c>
    </row>
    <row r="2763" spans="1:14" x14ac:dyDescent="0.25">
      <c r="A2763" s="6" t="s">
        <v>6511</v>
      </c>
      <c r="B2763" s="6">
        <v>8802</v>
      </c>
      <c r="C2763" s="6" t="s">
        <v>6512</v>
      </c>
      <c r="D2763" s="7" t="s">
        <v>3654</v>
      </c>
      <c r="E2763" s="6" t="s">
        <v>151</v>
      </c>
      <c r="F2763" s="6" t="s">
        <v>139</v>
      </c>
      <c r="G2763" s="8">
        <v>45757</v>
      </c>
      <c r="H2763" s="6">
        <v>21.7</v>
      </c>
      <c r="I2763" s="6" cm="1">
        <f t="array" ref="I2763">IFERROR(VALUE(TRIM(LEFT(E2763,MIN(FIND({" ";"g";"k";"m";"o"},E2763&amp;" gkmo"))-1))),0)</f>
        <v>200</v>
      </c>
      <c r="J2763" s="6" t="str" cm="1">
        <f t="array" ref="J2763">IFERROR(TRIM(MID(E2763,MIN(FIND({" ";"g";"k";"m";"o"},E2763&amp;" gkmo")),10)),"unknown")</f>
        <v>g</v>
      </c>
      <c r="K2763" s="6" t="str">
        <f t="shared" si="172"/>
        <v>g</v>
      </c>
      <c r="L2763" s="6" t="str">
        <f t="shared" si="173"/>
        <v>Snacks Of The World</v>
      </c>
      <c r="M2763" s="6" t="str">
        <f t="shared" si="174"/>
        <v>Pistachio Nut Mix Salted</v>
      </c>
      <c r="N2763" s="6" t="str">
        <f t="shared" si="175"/>
        <v>France</v>
      </c>
    </row>
    <row r="2764" spans="1:14" x14ac:dyDescent="0.25">
      <c r="A2764" s="6" t="s">
        <v>6513</v>
      </c>
      <c r="B2764" s="6">
        <v>9960</v>
      </c>
      <c r="C2764" s="6" t="s">
        <v>6514</v>
      </c>
      <c r="D2764" s="7" t="s">
        <v>4889</v>
      </c>
      <c r="E2764" s="6" t="s">
        <v>304</v>
      </c>
      <c r="F2764" s="6" t="s">
        <v>139</v>
      </c>
      <c r="G2764" s="8">
        <v>45484</v>
      </c>
      <c r="H2764" s="6">
        <v>13</v>
      </c>
      <c r="I2764" s="6" cm="1">
        <f t="array" ref="I2764">IFERROR(VALUE(TRIM(LEFT(E2764,MIN(FIND({" ";"g";"k";"m";"o"},E2764&amp;" gkmo"))-1))),0)</f>
        <v>135</v>
      </c>
      <c r="J2764" s="6" t="str" cm="1">
        <f t="array" ref="J2764">IFERROR(TRIM(MID(E2764,MIN(FIND({" ";"g";"k";"m";"o"},E2764&amp;" gkmo")),10)),"unknown")</f>
        <v>g</v>
      </c>
      <c r="K2764" s="6" t="str">
        <f t="shared" si="172"/>
        <v>g</v>
      </c>
      <c r="L2764" s="6" t="str">
        <f t="shared" si="173"/>
        <v>Chabrior</v>
      </c>
      <c r="M2764" s="6" t="str">
        <f t="shared" si="174"/>
        <v>Petit Biscuit Avoine &amp; Framboise</v>
      </c>
      <c r="N2764" s="6" t="str">
        <f t="shared" si="175"/>
        <v>France</v>
      </c>
    </row>
    <row r="2765" spans="1:14" x14ac:dyDescent="0.25">
      <c r="A2765" s="6" t="s">
        <v>6515</v>
      </c>
      <c r="B2765" s="6">
        <v>12638</v>
      </c>
      <c r="C2765" s="6" t="s">
        <v>1946</v>
      </c>
      <c r="D2765" s="7" t="s">
        <v>6516</v>
      </c>
      <c r="E2765" s="6" t="s">
        <v>1687</v>
      </c>
      <c r="F2765" s="6" t="s">
        <v>177</v>
      </c>
      <c r="G2765" s="8">
        <v>45597</v>
      </c>
      <c r="H2765" s="6">
        <v>22.17</v>
      </c>
      <c r="I2765" s="6" cm="1">
        <f t="array" ref="I2765">IFERROR(VALUE(TRIM(LEFT(E2765,MIN(FIND({" ";"g";"k";"m";"o"},E2765&amp;" gkmo"))-1))),0)</f>
        <v>85</v>
      </c>
      <c r="J2765" s="6" t="str" cm="1">
        <f t="array" ref="J2765">IFERROR(TRIM(MID(E2765,MIN(FIND({" ";"g";"k";"m";"o"},E2765&amp;" gkmo")),10)),"unknown")</f>
        <v>g</v>
      </c>
      <c r="K2765" s="6" t="str">
        <f t="shared" si="172"/>
        <v>g</v>
      </c>
      <c r="L2765" s="6" t="str">
        <f t="shared" si="173"/>
        <v>Aldi,Snackrite</v>
      </c>
      <c r="M2765" s="6" t="str">
        <f t="shared" si="174"/>
        <v>Lentil Chips</v>
      </c>
      <c r="N2765" s="6" t="str">
        <f t="shared" si="175"/>
        <v>United Kingdom</v>
      </c>
    </row>
    <row r="2766" spans="1:14" x14ac:dyDescent="0.25">
      <c r="A2766" s="6" t="s">
        <v>6517</v>
      </c>
      <c r="B2766" s="6">
        <v>14056</v>
      </c>
      <c r="C2766" s="6" t="s">
        <v>7418</v>
      </c>
      <c r="D2766" s="7" t="s">
        <v>60</v>
      </c>
      <c r="E2766" s="6" t="s">
        <v>499</v>
      </c>
      <c r="F2766" s="6" t="s">
        <v>139</v>
      </c>
      <c r="G2766" s="8">
        <v>45746</v>
      </c>
      <c r="H2766" s="6">
        <v>18.5</v>
      </c>
      <c r="I2766" s="6" cm="1">
        <f t="array" ref="I2766">IFERROR(VALUE(TRIM(LEFT(E2766,MIN(FIND({" ";"g";"k";"m";"o"},E2766&amp;" gkmo"))-1))),0)</f>
        <v>154</v>
      </c>
      <c r="J2766" s="6" t="str" cm="1">
        <f t="array" ref="J2766">IFERROR(TRIM(MID(E2766,MIN(FIND({" ";"g";"k";"m";"o"},E2766&amp;" gkmo")),10)),"unknown")</f>
        <v>g</v>
      </c>
      <c r="K2766" s="6" t="str">
        <f t="shared" si="172"/>
        <v>g</v>
      </c>
      <c r="L2766" s="6" t="str">
        <f t="shared" si="173"/>
        <v>Lindt</v>
      </c>
      <c r="M2766" s="6" t="str">
        <f t="shared" si="174"/>
        <v>Carrés Dégustation</v>
      </c>
      <c r="N2766" s="6" t="str">
        <f t="shared" si="175"/>
        <v>France</v>
      </c>
    </row>
    <row r="2767" spans="1:14" x14ac:dyDescent="0.25">
      <c r="A2767" s="6" t="s">
        <v>6518</v>
      </c>
      <c r="B2767" s="6">
        <v>7416</v>
      </c>
      <c r="C2767" s="6" t="s">
        <v>6519</v>
      </c>
      <c r="D2767" s="7" t="s">
        <v>7017</v>
      </c>
      <c r="E2767" s="6" t="s">
        <v>580</v>
      </c>
      <c r="F2767" s="6" t="s">
        <v>113</v>
      </c>
      <c r="G2767" s="8">
        <v>45959</v>
      </c>
      <c r="H2767" s="6">
        <v>1.61</v>
      </c>
      <c r="I2767" s="6" cm="1">
        <f t="array" ref="I2767">IFERROR(VALUE(TRIM(LEFT(E2767,MIN(FIND({" ";"g";"k";"m";"o"},E2767&amp;" gkmo"))-1))),0)</f>
        <v>250</v>
      </c>
      <c r="J2767" s="6" t="str" cm="1">
        <f t="array" ref="J2767">IFERROR(TRIM(MID(E2767,MIN(FIND({" ";"g";"k";"m";"o"},E2767&amp;" gkmo")),10)),"unknown")</f>
        <v>g</v>
      </c>
      <c r="K2767" s="6" t="str">
        <f t="shared" si="172"/>
        <v>g</v>
      </c>
      <c r="L2767" s="6" t="str">
        <f t="shared" si="173"/>
        <v>Unknown</v>
      </c>
      <c r="M2767" s="6" t="str">
        <f t="shared" si="174"/>
        <v>Oswego</v>
      </c>
      <c r="N2767" s="6" t="str">
        <f t="shared" si="175"/>
        <v>Italia</v>
      </c>
    </row>
    <row r="2768" spans="1:14" x14ac:dyDescent="0.25">
      <c r="A2768" s="6" t="s">
        <v>6520</v>
      </c>
      <c r="B2768" s="6">
        <v>11624</v>
      </c>
      <c r="C2768" s="6" t="s">
        <v>2556</v>
      </c>
      <c r="D2768" s="7" t="s">
        <v>6521</v>
      </c>
      <c r="E2768" s="6" t="s">
        <v>4965</v>
      </c>
      <c r="F2768" s="6" t="s">
        <v>8186</v>
      </c>
      <c r="G2768" s="8">
        <v>46051</v>
      </c>
      <c r="H2768" s="6">
        <v>23.14</v>
      </c>
      <c r="I2768" s="6" cm="1">
        <f t="array" ref="I2768">IFERROR(VALUE(TRIM(LEFT(E2768,MIN(FIND({" ";"g";"k";"m";"o"},E2768&amp;" gkmo"))-1))),0)</f>
        <v>450</v>
      </c>
      <c r="J2768" s="6" t="str" cm="1">
        <f t="array" ref="J2768">IFERROR(TRIM(MID(E2768,MIN(FIND({" ";"g";"k";"m";"o"},E2768&amp;" gkmo")),10)),"unknown")</f>
        <v>g</v>
      </c>
      <c r="K2768" s="6" t="str">
        <f t="shared" si="172"/>
        <v>g</v>
      </c>
      <c r="L2768" s="6" t="str">
        <f t="shared" si="173"/>
        <v>Debeukelar</v>
      </c>
      <c r="M2768" s="6" t="str">
        <f t="shared" si="174"/>
        <v>Prinzenrolle</v>
      </c>
      <c r="N2768" s="6" t="str">
        <f t="shared" si="175"/>
        <v>De</v>
      </c>
    </row>
    <row r="2769" spans="1:14" x14ac:dyDescent="0.25">
      <c r="A2769" s="6" t="s">
        <v>6522</v>
      </c>
      <c r="B2769" s="6">
        <v>5812</v>
      </c>
      <c r="C2769" s="6" t="s">
        <v>6523</v>
      </c>
      <c r="D2769" s="7" t="s">
        <v>6524</v>
      </c>
      <c r="E2769" s="6" t="s">
        <v>621</v>
      </c>
      <c r="F2769" s="6" t="s">
        <v>2973</v>
      </c>
      <c r="G2769" s="8">
        <v>46000</v>
      </c>
      <c r="H2769" s="6">
        <v>4.74</v>
      </c>
      <c r="I2769" s="6" cm="1">
        <f t="array" ref="I2769">IFERROR(VALUE(TRIM(LEFT(E2769,MIN(FIND({" ";"g";"k";"m";"o"},E2769&amp;" gkmo"))-1))),0)</f>
        <v>160</v>
      </c>
      <c r="J2769" s="6" t="str" cm="1">
        <f t="array" ref="J2769">IFERROR(TRIM(MID(E2769,MIN(FIND({" ";"g";"k";"m";"o"},E2769&amp;" gkmo")),10)),"unknown")</f>
        <v>g</v>
      </c>
      <c r="K2769" s="6" t="str">
        <f t="shared" si="172"/>
        <v>g</v>
      </c>
      <c r="L2769" s="6" t="str">
        <f t="shared" si="173"/>
        <v>Cadbury, Mondelez</v>
      </c>
      <c r="M2769" s="6" t="str">
        <f t="shared" si="174"/>
        <v>Dairy Milk Marvellous Creations Jelly Popping Candy</v>
      </c>
      <c r="N2769" s="6" t="str">
        <f t="shared" si="175"/>
        <v>Gb</v>
      </c>
    </row>
    <row r="2770" spans="1:14" x14ac:dyDescent="0.25">
      <c r="A2770" s="6" t="s">
        <v>6525</v>
      </c>
      <c r="B2770" s="6">
        <v>5392</v>
      </c>
      <c r="C2770" s="6" t="s">
        <v>6526</v>
      </c>
      <c r="D2770" s="7" t="s">
        <v>7017</v>
      </c>
      <c r="E2770" s="6" t="s">
        <v>1886</v>
      </c>
      <c r="F2770" s="6" t="s">
        <v>177</v>
      </c>
      <c r="G2770" s="8">
        <v>45336</v>
      </c>
      <c r="H2770" s="6">
        <v>22.33</v>
      </c>
      <c r="I2770" s="6" cm="1">
        <f t="array" ref="I2770">IFERROR(VALUE(TRIM(LEFT(E2770,MIN(FIND({" ";"g";"k";"m";"o"},E2770&amp;" gkmo"))-1))),0)</f>
        <v>140</v>
      </c>
      <c r="J2770" s="6" t="str" cm="1">
        <f t="array" ref="J2770">IFERROR(TRIM(MID(E2770,MIN(FIND({" ";"g";"k";"m";"o"},E2770&amp;" gkmo")),10)),"unknown")</f>
        <v>g</v>
      </c>
      <c r="K2770" s="6" t="str">
        <f t="shared" si="172"/>
        <v>g</v>
      </c>
      <c r="L2770" s="6" t="str">
        <f t="shared" si="173"/>
        <v>Unknown</v>
      </c>
      <c r="M2770" s="6" t="str">
        <f t="shared" si="174"/>
        <v>Very Cherry Gourmet Sweets</v>
      </c>
      <c r="N2770" s="6" t="str">
        <f t="shared" si="175"/>
        <v>United Kingdom</v>
      </c>
    </row>
    <row r="2771" spans="1:14" x14ac:dyDescent="0.25">
      <c r="A2771" s="6" t="s">
        <v>6527</v>
      </c>
      <c r="B2771" s="6">
        <v>9546</v>
      </c>
      <c r="C2771" s="6" t="s">
        <v>7419</v>
      </c>
      <c r="D2771" s="7" t="s">
        <v>4512</v>
      </c>
      <c r="E2771" s="6"/>
      <c r="F2771" s="6" t="s">
        <v>8037</v>
      </c>
      <c r="G2771" s="8">
        <v>45623</v>
      </c>
      <c r="H2771" s="6">
        <v>18.71</v>
      </c>
      <c r="I2771" s="6" cm="1">
        <f t="array" ref="I2771">IFERROR(VALUE(TRIM(LEFT(E2771,MIN(FIND({" ";"g";"k";"m";"o"},E2771&amp;" gkmo"))-1))),0)</f>
        <v>0</v>
      </c>
      <c r="J2771" s="6" t="str" cm="1">
        <f t="array" ref="J2771">IFERROR(TRIM(MID(E2771,MIN(FIND({" ";"g";"k";"m";"o"},E2771&amp;" gkmo")),10)),"unknown")</f>
        <v/>
      </c>
      <c r="K2771" s="6" t="str">
        <f t="shared" si="172"/>
        <v>unknown</v>
      </c>
      <c r="L2771" s="6" t="str">
        <f t="shared" si="173"/>
        <v>Vemondo</v>
      </c>
      <c r="M2771" s="6" t="str">
        <f t="shared" si="174"/>
        <v>Vegane Snack Balls - Date Café, Banane</v>
      </c>
      <c r="N2771" s="6" t="str">
        <f t="shared" si="175"/>
        <v>Germany, France</v>
      </c>
    </row>
    <row r="2772" spans="1:14" x14ac:dyDescent="0.25">
      <c r="A2772" s="6" t="s">
        <v>6528</v>
      </c>
      <c r="B2772" s="6">
        <v>6454</v>
      </c>
      <c r="C2772" s="6" t="s">
        <v>6529</v>
      </c>
      <c r="D2772" s="7" t="s">
        <v>828</v>
      </c>
      <c r="E2772" s="6"/>
      <c r="F2772" s="6" t="s">
        <v>2973</v>
      </c>
      <c r="G2772" s="8">
        <v>45736</v>
      </c>
      <c r="H2772" s="6">
        <v>10.5</v>
      </c>
      <c r="I2772" s="6" cm="1">
        <f t="array" ref="I2772">IFERROR(VALUE(TRIM(LEFT(E2772,MIN(FIND({" ";"g";"k";"m";"o"},E2772&amp;" gkmo"))-1))),0)</f>
        <v>0</v>
      </c>
      <c r="J2772" s="6" t="str" cm="1">
        <f t="array" ref="J2772">IFERROR(TRIM(MID(E2772,MIN(FIND({" ";"g";"k";"m";"o"},E2772&amp;" gkmo")),10)),"unknown")</f>
        <v/>
      </c>
      <c r="K2772" s="6" t="str">
        <f t="shared" si="172"/>
        <v>unknown</v>
      </c>
      <c r="L2772" s="6" t="str">
        <f t="shared" si="173"/>
        <v>Tony'S Chocolonely</v>
      </c>
      <c r="M2772" s="6" t="str">
        <f t="shared" si="174"/>
        <v>Tony'S Chocolonely Milk Creamy</v>
      </c>
      <c r="N2772" s="6" t="str">
        <f t="shared" si="175"/>
        <v>Gb</v>
      </c>
    </row>
    <row r="2773" spans="1:14" x14ac:dyDescent="0.25">
      <c r="A2773" s="6" t="s">
        <v>6530</v>
      </c>
      <c r="B2773" s="6">
        <v>5783</v>
      </c>
      <c r="C2773" s="6" t="s">
        <v>6531</v>
      </c>
      <c r="D2773" s="7" t="s">
        <v>5209</v>
      </c>
      <c r="E2773" s="6" t="s">
        <v>2590</v>
      </c>
      <c r="F2773" s="6" t="s">
        <v>177</v>
      </c>
      <c r="G2773" s="8">
        <v>45479</v>
      </c>
      <c r="H2773" s="6">
        <v>20.62</v>
      </c>
      <c r="I2773" s="6" cm="1">
        <f t="array" ref="I2773">IFERROR(VALUE(TRIM(LEFT(E2773,MIN(FIND({" ";"g";"k";"m";"o"},E2773&amp;" gkmo"))-1))),0)</f>
        <v>5</v>
      </c>
      <c r="J2773" s="6" t="str" cm="1">
        <f t="array" ref="J2773">IFERROR(TRIM(MID(E2773,MIN(FIND({" ";"g";"k";"m";"o"},E2773&amp;" gkmo")),10)),"unknown")</f>
        <v>x 20 g</v>
      </c>
      <c r="K2773" s="6" t="str">
        <f t="shared" si="172"/>
        <v>g</v>
      </c>
      <c r="L2773" s="6" t="str">
        <f t="shared" si="173"/>
        <v>Skinny Whip</v>
      </c>
      <c r="M2773" s="6" t="str">
        <f t="shared" si="174"/>
        <v>Toffee</v>
      </c>
      <c r="N2773" s="6" t="str">
        <f t="shared" si="175"/>
        <v>United Kingdom</v>
      </c>
    </row>
    <row r="2774" spans="1:14" x14ac:dyDescent="0.25">
      <c r="A2774" s="6" t="s">
        <v>6532</v>
      </c>
      <c r="B2774" s="6">
        <v>6492</v>
      </c>
      <c r="C2774" s="6" t="s">
        <v>7017</v>
      </c>
      <c r="D2774" s="7" t="s">
        <v>6533</v>
      </c>
      <c r="E2774" s="6" t="s">
        <v>6534</v>
      </c>
      <c r="F2774" s="6" t="s">
        <v>8040</v>
      </c>
      <c r="G2774" s="8">
        <v>45857</v>
      </c>
      <c r="H2774" s="6">
        <v>13.16</v>
      </c>
      <c r="I2774" s="6" cm="1">
        <f t="array" ref="I2774">IFERROR(VALUE(TRIM(LEFT(E2774,MIN(FIND({" ";"g";"k";"m";"o"},E2774&amp;" gkmo"))-1))),0)</f>
        <v>141.69999999999999</v>
      </c>
      <c r="J2774" s="6" t="str" cm="1">
        <f t="array" ref="J2774">IFERROR(TRIM(MID(E2774,MIN(FIND({" ";"g";"k";"m";"o"},E2774&amp;" gkmo")),10)),"unknown")</f>
        <v>g</v>
      </c>
      <c r="K2774" s="6" t="str">
        <f t="shared" si="172"/>
        <v>g</v>
      </c>
      <c r="L2774" s="6" t="str">
        <f t="shared" si="173"/>
        <v>Nerds</v>
      </c>
      <c r="M2774" s="6" t="str">
        <f t="shared" si="174"/>
        <v>Unknown</v>
      </c>
      <c r="N2774" s="6" t="str">
        <f t="shared" si="175"/>
        <v>United Kingdom, France</v>
      </c>
    </row>
    <row r="2775" spans="1:14" x14ac:dyDescent="0.25">
      <c r="A2775" s="6" t="s">
        <v>6535</v>
      </c>
      <c r="B2775" s="6">
        <v>5677</v>
      </c>
      <c r="C2775" s="6" t="s">
        <v>7420</v>
      </c>
      <c r="D2775" s="7" t="s">
        <v>1758</v>
      </c>
      <c r="E2775" s="6" t="s">
        <v>6536</v>
      </c>
      <c r="F2775" s="6" t="s">
        <v>5759</v>
      </c>
      <c r="G2775" s="8">
        <v>45971</v>
      </c>
      <c r="H2775" s="6">
        <v>23.95</v>
      </c>
      <c r="I2775" s="6" cm="1">
        <f t="array" ref="I2775">IFERROR(VALUE(TRIM(LEFT(E2775,MIN(FIND({" ";"g";"k";"m";"o"},E2775&amp;" gkmo"))-1))),0)</f>
        <v>272</v>
      </c>
      <c r="J2775" s="6" t="str" cm="1">
        <f t="array" ref="J2775">IFERROR(TRIM(MID(E2775,MIN(FIND({" ";"g";"k";"m";"o"},E2775&amp;" gkmo")),10)),"unknown")</f>
        <v>g</v>
      </c>
      <c r="K2775" s="6" t="str">
        <f t="shared" si="172"/>
        <v>g</v>
      </c>
      <c r="L2775" s="6" t="str">
        <f t="shared" si="173"/>
        <v>Celebrations</v>
      </c>
      <c r="M2775" s="6" t="str">
        <f t="shared" si="174"/>
        <v>Célébrations</v>
      </c>
      <c r="N2775" s="6" t="str">
        <f t="shared" si="175"/>
        <v>Fr</v>
      </c>
    </row>
    <row r="2776" spans="1:14" x14ac:dyDescent="0.25">
      <c r="A2776" s="6" t="s">
        <v>6537</v>
      </c>
      <c r="B2776" s="6">
        <v>10961</v>
      </c>
      <c r="C2776" s="6" t="s">
        <v>6538</v>
      </c>
      <c r="D2776" s="7" t="s">
        <v>6539</v>
      </c>
      <c r="E2776" s="6"/>
      <c r="F2776" s="6" t="s">
        <v>2973</v>
      </c>
      <c r="G2776" s="8">
        <v>45557</v>
      </c>
      <c r="H2776" s="6">
        <v>2.44</v>
      </c>
      <c r="I2776" s="6" cm="1">
        <f t="array" ref="I2776">IFERROR(VALUE(TRIM(LEFT(E2776,MIN(FIND({" ";"g";"k";"m";"o"},E2776&amp;" gkmo"))-1))),0)</f>
        <v>0</v>
      </c>
      <c r="J2776" s="6" t="str" cm="1">
        <f t="array" ref="J2776">IFERROR(TRIM(MID(E2776,MIN(FIND({" ";"g";"k";"m";"o"},E2776&amp;" gkmo")),10)),"unknown")</f>
        <v/>
      </c>
      <c r="K2776" s="6" t="str">
        <f t="shared" si="172"/>
        <v>unknown</v>
      </c>
      <c r="L2776" s="6" t="str">
        <f t="shared" si="173"/>
        <v>Forest Feast</v>
      </c>
      <c r="M2776" s="6" t="str">
        <f t="shared" si="174"/>
        <v>Salted Dark Chocolate Almonds</v>
      </c>
      <c r="N2776" s="6" t="str">
        <f t="shared" si="175"/>
        <v>Gb</v>
      </c>
    </row>
    <row r="2777" spans="1:14" x14ac:dyDescent="0.25">
      <c r="A2777" s="6" t="s">
        <v>6540</v>
      </c>
      <c r="B2777" s="6">
        <v>14287</v>
      </c>
      <c r="C2777" s="6" t="s">
        <v>6541</v>
      </c>
      <c r="D2777" s="7" t="s">
        <v>552</v>
      </c>
      <c r="E2777" s="6" t="s">
        <v>5158</v>
      </c>
      <c r="F2777" s="6" t="s">
        <v>2973</v>
      </c>
      <c r="G2777" s="8">
        <v>45530</v>
      </c>
      <c r="H2777" s="6">
        <v>10.220000000000001</v>
      </c>
      <c r="I2777" s="6" cm="1">
        <f t="array" ref="I2777">IFERROR(VALUE(TRIM(LEFT(E2777,MIN(FIND({" ";"g";"k";"m";"o"},E2777&amp;" gkmo"))-1))),0)</f>
        <v>5</v>
      </c>
      <c r="J2777" s="6" t="str" cm="1">
        <f t="array" ref="J2777">IFERROR(TRIM(MID(E2777,MIN(FIND({" ";"g";"k";"m";"o"},E2777&amp;" gkmo")),10)),"unknown")</f>
        <v>x 25 g</v>
      </c>
      <c r="K2777" s="6" t="str">
        <f t="shared" si="172"/>
        <v>g</v>
      </c>
      <c r="L2777" s="6" t="str">
        <f t="shared" si="173"/>
        <v>Moser Roth</v>
      </c>
      <c r="M2777" s="6" t="str">
        <f t="shared" si="174"/>
        <v>Hazelnut Dark Chocolate</v>
      </c>
      <c r="N2777" s="6" t="str">
        <f t="shared" si="175"/>
        <v>Gb</v>
      </c>
    </row>
    <row r="2778" spans="1:14" x14ac:dyDescent="0.25">
      <c r="A2778" s="6" t="s">
        <v>6542</v>
      </c>
      <c r="B2778" s="6">
        <v>7406</v>
      </c>
      <c r="C2778" s="6" t="s">
        <v>6543</v>
      </c>
      <c r="D2778" s="7" t="s">
        <v>204</v>
      </c>
      <c r="E2778" s="6" t="s">
        <v>6544</v>
      </c>
      <c r="F2778" s="6" t="s">
        <v>7972</v>
      </c>
      <c r="G2778" s="8">
        <v>45563</v>
      </c>
      <c r="H2778" s="6">
        <v>12.83</v>
      </c>
      <c r="I2778" s="6" cm="1">
        <f t="array" ref="I2778">IFERROR(VALUE(TRIM(LEFT(E2778,MIN(FIND({" ";"g";"k";"m";"o"},E2778&amp;" gkmo"))-1))),0)</f>
        <v>2</v>
      </c>
      <c r="J2778" s="6" t="str" cm="1">
        <f t="array" ref="J2778">IFERROR(TRIM(MID(E2778,MIN(FIND({" ";"g";"k";"m";"o"},E2778&amp;" gkmo")),10)),"unknown")</f>
        <v>x 360 g</v>
      </c>
      <c r="K2778" s="6" t="str">
        <f t="shared" si="172"/>
        <v>g</v>
      </c>
      <c r="L2778" s="6" t="str">
        <f t="shared" si="173"/>
        <v>Mcvitie'S</v>
      </c>
      <c r="M2778" s="6" t="str">
        <f t="shared" si="174"/>
        <v>Digestives The Original Twin Pack</v>
      </c>
      <c r="N2778" s="6" t="str">
        <f t="shared" si="175"/>
        <v>United States, United-Kingdom</v>
      </c>
    </row>
    <row r="2779" spans="1:14" x14ac:dyDescent="0.25">
      <c r="A2779" s="6" t="s">
        <v>6545</v>
      </c>
      <c r="B2779" s="6">
        <v>13689</v>
      </c>
      <c r="C2779" s="6" t="s">
        <v>6546</v>
      </c>
      <c r="D2779" s="7" t="s">
        <v>6547</v>
      </c>
      <c r="E2779" s="6" t="s">
        <v>1309</v>
      </c>
      <c r="F2779" s="6" t="s">
        <v>241</v>
      </c>
      <c r="G2779" s="8">
        <v>45994</v>
      </c>
      <c r="H2779" s="6">
        <v>15.06</v>
      </c>
      <c r="I2779" s="6" cm="1">
        <f t="array" ref="I2779">IFERROR(VALUE(TRIM(LEFT(E2779,MIN(FIND({" ";"g";"k";"m";"o"},E2779&amp;" gkmo"))-1))),0)</f>
        <v>300</v>
      </c>
      <c r="J2779" s="6" t="str" cm="1">
        <f t="array" ref="J2779">IFERROR(TRIM(MID(E2779,MIN(FIND({" ";"g";"k";"m";"o"},E2779&amp;" gkmo")),10)),"unknown")</f>
        <v>g</v>
      </c>
      <c r="K2779" s="6" t="str">
        <f t="shared" si="172"/>
        <v>g</v>
      </c>
      <c r="L2779" s="6" t="str">
        <f t="shared" si="173"/>
        <v>Rewe Bio</v>
      </c>
      <c r="M2779" s="6" t="str">
        <f t="shared" si="174"/>
        <v>Hafercookies</v>
      </c>
      <c r="N2779" s="6" t="str">
        <f t="shared" si="175"/>
        <v>Germany</v>
      </c>
    </row>
    <row r="2780" spans="1:14" x14ac:dyDescent="0.25">
      <c r="A2780" s="6" t="s">
        <v>6548</v>
      </c>
      <c r="B2780" s="6">
        <v>7934</v>
      </c>
      <c r="C2780" s="6" t="s">
        <v>6549</v>
      </c>
      <c r="D2780" s="7" t="s">
        <v>1307</v>
      </c>
      <c r="E2780" s="6" t="s">
        <v>2065</v>
      </c>
      <c r="F2780" s="6" t="s">
        <v>2973</v>
      </c>
      <c r="G2780" s="8">
        <v>45580</v>
      </c>
      <c r="H2780" s="6">
        <v>14.09</v>
      </c>
      <c r="I2780" s="6" cm="1">
        <f t="array" ref="I2780">IFERROR(VALUE(TRIM(LEFT(E2780,MIN(FIND({" ";"g";"k";"m";"o"},E2780&amp;" gkmo"))-1))),0)</f>
        <v>30</v>
      </c>
      <c r="J2780" s="6" t="str" cm="1">
        <f t="array" ref="J2780">IFERROR(TRIM(MID(E2780,MIN(FIND({" ";"g";"k";"m";"o"},E2780&amp;" gkmo")),10)),"unknown")</f>
        <v>g</v>
      </c>
      <c r="K2780" s="6" t="str">
        <f t="shared" si="172"/>
        <v>g</v>
      </c>
      <c r="L2780" s="6" t="str">
        <f t="shared" si="173"/>
        <v>Graze</v>
      </c>
      <c r="M2780" s="6" t="str">
        <f t="shared" si="174"/>
        <v>Cocoa Vanilla Oat Boost</v>
      </c>
      <c r="N2780" s="6" t="str">
        <f t="shared" si="175"/>
        <v>Gb</v>
      </c>
    </row>
    <row r="2781" spans="1:14" x14ac:dyDescent="0.25">
      <c r="A2781" s="6" t="s">
        <v>6550</v>
      </c>
      <c r="B2781" s="6">
        <v>5517</v>
      </c>
      <c r="C2781" s="6" t="s">
        <v>6551</v>
      </c>
      <c r="D2781" s="7" t="s">
        <v>6552</v>
      </c>
      <c r="E2781" s="6" t="s">
        <v>6553</v>
      </c>
      <c r="F2781" s="6" t="s">
        <v>139</v>
      </c>
      <c r="G2781" s="8">
        <v>45899</v>
      </c>
      <c r="H2781" s="6">
        <v>19.93</v>
      </c>
      <c r="I2781" s="6" cm="1">
        <f t="array" ref="I2781">IFERROR(VALUE(TRIM(LEFT(E2781,MIN(FIND({" ";"g";"k";"m";"o"},E2781&amp;" gkmo"))-1))),0)</f>
        <v>50</v>
      </c>
      <c r="J2781" s="6" t="str" cm="1">
        <f t="array" ref="J2781">IFERROR(TRIM(MID(E2781,MIN(FIND({" ";"g";"k";"m";"o"},E2781&amp;" gkmo")),10)),"unknown")</f>
        <v>gr</v>
      </c>
      <c r="K2781" s="6" t="str">
        <f t="shared" si="172"/>
        <v>g</v>
      </c>
      <c r="L2781" s="6" t="str">
        <f t="shared" si="173"/>
        <v>Nu3</v>
      </c>
      <c r="M2781" s="6" t="str">
        <f t="shared" si="174"/>
        <v>Vegan Bar Choco Amandes</v>
      </c>
      <c r="N2781" s="6" t="str">
        <f t="shared" si="175"/>
        <v>France</v>
      </c>
    </row>
    <row r="2782" spans="1:14" x14ac:dyDescent="0.25">
      <c r="A2782" s="6" t="s">
        <v>6554</v>
      </c>
      <c r="B2782" s="6">
        <v>8462</v>
      </c>
      <c r="C2782" s="6" t="s">
        <v>7421</v>
      </c>
      <c r="D2782" s="7" t="s">
        <v>7106</v>
      </c>
      <c r="E2782" s="6"/>
      <c r="F2782" s="6" t="s">
        <v>139</v>
      </c>
      <c r="G2782" s="8">
        <v>45916</v>
      </c>
      <c r="H2782" s="6">
        <v>13.94</v>
      </c>
      <c r="I2782" s="6" cm="1">
        <f t="array" ref="I2782">IFERROR(VALUE(TRIM(LEFT(E2782,MIN(FIND({" ";"g";"k";"m";"o"},E2782&amp;" gkmo"))-1))),0)</f>
        <v>0</v>
      </c>
      <c r="J2782" s="6" t="str" cm="1">
        <f t="array" ref="J2782">IFERROR(TRIM(MID(E2782,MIN(FIND({" ";"g";"k";"m";"o"},E2782&amp;" gkmo")),10)),"unknown")</f>
        <v/>
      </c>
      <c r="K2782" s="6" t="str">
        <f t="shared" si="172"/>
        <v>unknown</v>
      </c>
      <c r="L2782" s="6" t="str">
        <f t="shared" si="173"/>
        <v>Ker Cadélac</v>
      </c>
      <c r="M2782" s="6" t="str">
        <f t="shared" si="174"/>
        <v>Les P'Tites Madeleines Pépites De Chocolat</v>
      </c>
      <c r="N2782" s="6" t="str">
        <f t="shared" si="175"/>
        <v>France</v>
      </c>
    </row>
    <row r="2783" spans="1:14" x14ac:dyDescent="0.25">
      <c r="A2783" s="6" t="s">
        <v>6555</v>
      </c>
      <c r="B2783" s="6">
        <v>11734</v>
      </c>
      <c r="C2783" s="6" t="s">
        <v>240</v>
      </c>
      <c r="D2783" s="7" t="s">
        <v>681</v>
      </c>
      <c r="E2783" s="6" t="s">
        <v>28</v>
      </c>
      <c r="F2783" s="6" t="s">
        <v>7940</v>
      </c>
      <c r="G2783" s="8">
        <v>45946</v>
      </c>
      <c r="H2783" s="6">
        <v>9.8699999999999992</v>
      </c>
      <c r="I2783" s="6" cm="1">
        <f t="array" ref="I2783">IFERROR(VALUE(TRIM(LEFT(E2783,MIN(FIND({" ";"g";"k";"m";"o"},E2783&amp;" gkmo"))-1))),0)</f>
        <v>125</v>
      </c>
      <c r="J2783" s="6" t="str" cm="1">
        <f t="array" ref="J2783">IFERROR(TRIM(MID(E2783,MIN(FIND({" ";"g";"k";"m";"o"},E2783&amp;" gkmo")),10)),"unknown")</f>
        <v>g</v>
      </c>
      <c r="K2783" s="6" t="str">
        <f t="shared" si="172"/>
        <v>g</v>
      </c>
      <c r="L2783" s="6" t="str">
        <f t="shared" si="173"/>
        <v>Storck</v>
      </c>
      <c r="M2783" s="6" t="str">
        <f t="shared" si="174"/>
        <v>Toffifee</v>
      </c>
      <c r="N2783" s="6" t="str">
        <f t="shared" si="175"/>
        <v>Ireland, United-Kingdom</v>
      </c>
    </row>
    <row r="2784" spans="1:14" x14ac:dyDescent="0.25">
      <c r="A2784" s="6" t="s">
        <v>6556</v>
      </c>
      <c r="B2784" s="6">
        <v>6814</v>
      </c>
      <c r="C2784" s="6" t="s">
        <v>6557</v>
      </c>
      <c r="D2784" s="7" t="s">
        <v>3452</v>
      </c>
      <c r="E2784" s="6" t="s">
        <v>6558</v>
      </c>
      <c r="F2784" s="6" t="s">
        <v>177</v>
      </c>
      <c r="G2784" s="8">
        <v>45539</v>
      </c>
      <c r="H2784" s="6">
        <v>13.16</v>
      </c>
      <c r="I2784" s="6" cm="1">
        <f t="array" ref="I2784">IFERROR(VALUE(TRIM(LEFT(E2784,MIN(FIND({" ";"g";"k";"m";"o"},E2784&amp;" gkmo"))-1))),0)</f>
        <v>23</v>
      </c>
      <c r="J2784" s="6" t="str" cm="1">
        <f t="array" ref="J2784">IFERROR(TRIM(MID(E2784,MIN(FIND({" ";"g";"k";"m";"o"},E2784&amp;" gkmo")),10)),"unknown")</f>
        <v>g</v>
      </c>
      <c r="K2784" s="6" t="str">
        <f t="shared" si="172"/>
        <v>g</v>
      </c>
      <c r="L2784" s="6" t="str">
        <f t="shared" si="173"/>
        <v>Organix</v>
      </c>
      <c r="M2784" s="6" t="str">
        <f t="shared" si="174"/>
        <v>Organix Soft Oaty Bar</v>
      </c>
      <c r="N2784" s="6" t="str">
        <f t="shared" si="175"/>
        <v>United Kingdom</v>
      </c>
    </row>
    <row r="2785" spans="1:14" x14ac:dyDescent="0.25">
      <c r="A2785" s="6" t="s">
        <v>6559</v>
      </c>
      <c r="B2785" s="6">
        <v>14290</v>
      </c>
      <c r="C2785" s="6" t="s">
        <v>6560</v>
      </c>
      <c r="D2785" s="7" t="s">
        <v>6561</v>
      </c>
      <c r="E2785" s="6"/>
      <c r="F2785" s="6" t="s">
        <v>48</v>
      </c>
      <c r="G2785" s="8">
        <v>45407</v>
      </c>
      <c r="H2785" s="6">
        <v>22.09</v>
      </c>
      <c r="I2785" s="6" cm="1">
        <f t="array" ref="I2785">IFERROR(VALUE(TRIM(LEFT(E2785,MIN(FIND({" ";"g";"k";"m";"o"},E2785&amp;" gkmo"))-1))),0)</f>
        <v>0</v>
      </c>
      <c r="J2785" s="6" t="str" cm="1">
        <f t="array" ref="J2785">IFERROR(TRIM(MID(E2785,MIN(FIND({" ";"g";"k";"m";"o"},E2785&amp;" gkmo")),10)),"unknown")</f>
        <v/>
      </c>
      <c r="K2785" s="6" t="str">
        <f t="shared" si="172"/>
        <v>unknown</v>
      </c>
      <c r="L2785" s="6" t="str">
        <f t="shared" si="173"/>
        <v>Nooco</v>
      </c>
      <c r="M2785" s="6" t="str">
        <f t="shared" si="174"/>
        <v>Creamy Milk Chocolate</v>
      </c>
      <c r="N2785" s="6" t="str">
        <f t="shared" si="175"/>
        <v>Morocco</v>
      </c>
    </row>
    <row r="2786" spans="1:14" x14ac:dyDescent="0.25">
      <c r="A2786" s="6" t="s">
        <v>6562</v>
      </c>
      <c r="B2786" s="6">
        <v>7276</v>
      </c>
      <c r="C2786" s="6" t="s">
        <v>6563</v>
      </c>
      <c r="D2786" s="7" t="s">
        <v>1440</v>
      </c>
      <c r="E2786" s="6" t="s">
        <v>18</v>
      </c>
      <c r="F2786" s="6" t="s">
        <v>177</v>
      </c>
      <c r="G2786" s="8">
        <v>45957</v>
      </c>
      <c r="H2786" s="6">
        <v>1.69</v>
      </c>
      <c r="I2786" s="6" cm="1">
        <f t="array" ref="I2786">IFERROR(VALUE(TRIM(LEFT(E2786,MIN(FIND({" ";"g";"k";"m";"o"},E2786&amp;" gkmo"))-1))),0)</f>
        <v>100</v>
      </c>
      <c r="J2786" s="6" t="str" cm="1">
        <f t="array" ref="J2786">IFERROR(TRIM(MID(E2786,MIN(FIND({" ";"g";"k";"m";"o"},E2786&amp;" gkmo")),10)),"unknown")</f>
        <v>g</v>
      </c>
      <c r="K2786" s="6" t="str">
        <f t="shared" si="172"/>
        <v>g</v>
      </c>
      <c r="L2786" s="6" t="str">
        <f t="shared" si="173"/>
        <v>Bear</v>
      </c>
      <c r="M2786" s="6" t="str">
        <f t="shared" si="174"/>
        <v>Fruit Splits Bear</v>
      </c>
      <c r="N2786" s="6" t="str">
        <f t="shared" si="175"/>
        <v>United Kingdom</v>
      </c>
    </row>
    <row r="2787" spans="1:14" x14ac:dyDescent="0.25">
      <c r="A2787" s="6" t="s">
        <v>6564</v>
      </c>
      <c r="B2787" s="6">
        <v>6869</v>
      </c>
      <c r="C2787" s="6" t="s">
        <v>6565</v>
      </c>
      <c r="D2787" s="7" t="s">
        <v>1355</v>
      </c>
      <c r="E2787" s="6" t="s">
        <v>335</v>
      </c>
      <c r="F2787" s="6" t="s">
        <v>139</v>
      </c>
      <c r="G2787" s="8">
        <v>45556</v>
      </c>
      <c r="H2787" s="6">
        <v>6.17</v>
      </c>
      <c r="I2787" s="6" cm="1">
        <f t="array" ref="I2787">IFERROR(VALUE(TRIM(LEFT(E2787,MIN(FIND({" ";"g";"k";"m";"o"},E2787&amp;" gkmo"))-1))),0)</f>
        <v>250</v>
      </c>
      <c r="J2787" s="6" t="str" cm="1">
        <f t="array" ref="J2787">IFERROR(TRIM(MID(E2787,MIN(FIND({" ";"g";"k";"m";"o"},E2787&amp;" gkmo")),10)),"unknown")</f>
        <v>g</v>
      </c>
      <c r="K2787" s="6" t="str">
        <f t="shared" si="172"/>
        <v>g</v>
      </c>
      <c r="L2787" s="6" t="str">
        <f t="shared" si="173"/>
        <v>Lay'S</v>
      </c>
      <c r="M2787" s="6" t="str">
        <f t="shared" si="174"/>
        <v>Chips Barbecue</v>
      </c>
      <c r="N2787" s="6" t="str">
        <f t="shared" si="175"/>
        <v>France</v>
      </c>
    </row>
    <row r="2788" spans="1:14" x14ac:dyDescent="0.25">
      <c r="A2788" s="6" t="s">
        <v>6566</v>
      </c>
      <c r="B2788" s="6">
        <v>11974</v>
      </c>
      <c r="C2788" s="6" t="s">
        <v>6567</v>
      </c>
      <c r="D2788" s="7" t="s">
        <v>6568</v>
      </c>
      <c r="E2788" s="6"/>
      <c r="F2788" s="6" t="s">
        <v>177</v>
      </c>
      <c r="G2788" s="8">
        <v>45360</v>
      </c>
      <c r="H2788" s="6">
        <v>5.52</v>
      </c>
      <c r="I2788" s="6" cm="1">
        <f t="array" ref="I2788">IFERROR(VALUE(TRIM(LEFT(E2788,MIN(FIND({" ";"g";"k";"m";"o"},E2788&amp;" gkmo"))-1))),0)</f>
        <v>0</v>
      </c>
      <c r="J2788" s="6" t="str" cm="1">
        <f t="array" ref="J2788">IFERROR(TRIM(MID(E2788,MIN(FIND({" ";"g";"k";"m";"o"},E2788&amp;" gkmo")),10)),"unknown")</f>
        <v/>
      </c>
      <c r="K2788" s="6" t="str">
        <f t="shared" si="172"/>
        <v>unknown</v>
      </c>
      <c r="L2788" s="6" t="str">
        <f t="shared" si="173"/>
        <v>Trekk Power</v>
      </c>
      <c r="M2788" s="6" t="str">
        <f t="shared" si="174"/>
        <v>Biscoff Bar</v>
      </c>
      <c r="N2788" s="6" t="str">
        <f t="shared" si="175"/>
        <v>United Kingdom</v>
      </c>
    </row>
    <row r="2789" spans="1:14" x14ac:dyDescent="0.25">
      <c r="A2789" s="6" t="s">
        <v>6569</v>
      </c>
      <c r="B2789" s="6">
        <v>11169</v>
      </c>
      <c r="C2789" s="6" t="s">
        <v>6570</v>
      </c>
      <c r="D2789" s="7" t="s">
        <v>6571</v>
      </c>
      <c r="E2789" s="6"/>
      <c r="F2789" s="6" t="s">
        <v>177</v>
      </c>
      <c r="G2789" s="8">
        <v>46023</v>
      </c>
      <c r="H2789" s="6">
        <v>5.1100000000000003</v>
      </c>
      <c r="I2789" s="6" cm="1">
        <f t="array" ref="I2789">IFERROR(VALUE(TRIM(LEFT(E2789,MIN(FIND({" ";"g";"k";"m";"o"},E2789&amp;" gkmo"))-1))),0)</f>
        <v>0</v>
      </c>
      <c r="J2789" s="6" t="str" cm="1">
        <f t="array" ref="J2789">IFERROR(TRIM(MID(E2789,MIN(FIND({" ";"g";"k";"m";"o"},E2789&amp;" gkmo")),10)),"unknown")</f>
        <v/>
      </c>
      <c r="K2789" s="6" t="str">
        <f t="shared" si="172"/>
        <v>unknown</v>
      </c>
      <c r="L2789" s="6" t="str">
        <f t="shared" si="173"/>
        <v>Bio &amp; Me</v>
      </c>
      <c r="M2789" s="6" t="str">
        <f t="shared" si="174"/>
        <v>Toffee Apple Oat Bars</v>
      </c>
      <c r="N2789" s="6" t="str">
        <f t="shared" si="175"/>
        <v>United Kingdom</v>
      </c>
    </row>
    <row r="2790" spans="1:14" x14ac:dyDescent="0.25">
      <c r="A2790" s="6" t="s">
        <v>6572</v>
      </c>
      <c r="B2790" s="6">
        <v>6608</v>
      </c>
      <c r="C2790" s="6" t="s">
        <v>6573</v>
      </c>
      <c r="D2790" s="7" t="s">
        <v>112</v>
      </c>
      <c r="E2790" s="6" t="s">
        <v>6574</v>
      </c>
      <c r="F2790" s="6" t="s">
        <v>6575</v>
      </c>
      <c r="G2790" s="8">
        <v>45551</v>
      </c>
      <c r="H2790" s="6">
        <v>13.16</v>
      </c>
      <c r="I2790" s="6" cm="1">
        <f t="array" ref="I2790">IFERROR(VALUE(TRIM(LEFT(E2790,MIN(FIND({" ";"g";"k";"m";"o"},E2790&amp;" gkmo"))-1))),0)</f>
        <v>5.5</v>
      </c>
      <c r="J2790" s="6" t="str" cm="1">
        <f t="array" ref="J2790">IFERROR(TRIM(MID(E2790,MIN(FIND({" ";"g";"k";"m";"o"},E2790&amp;" gkmo")),10)),"unknown")</f>
        <v>oz, 158 g</v>
      </c>
      <c r="K2790" s="6" t="str">
        <f t="shared" si="172"/>
        <v>g</v>
      </c>
      <c r="L2790" s="6" t="str">
        <f t="shared" si="173"/>
        <v>Pringles</v>
      </c>
      <c r="M2790" s="6" t="str">
        <f t="shared" si="174"/>
        <v>Sour Cream &amp; Onion Flavored Potato Crisps</v>
      </c>
      <c r="N2790" s="6" t="str">
        <f t="shared" si="175"/>
        <v>Bolivia,Israel,Philippines,United States</v>
      </c>
    </row>
    <row r="2791" spans="1:14" x14ac:dyDescent="0.25">
      <c r="A2791" s="6" t="s">
        <v>6576</v>
      </c>
      <c r="B2791" s="6">
        <v>11334</v>
      </c>
      <c r="C2791" s="6" t="s">
        <v>6577</v>
      </c>
      <c r="D2791" s="7" t="s">
        <v>6578</v>
      </c>
      <c r="E2791" s="6" t="s">
        <v>5311</v>
      </c>
      <c r="F2791" s="6" t="s">
        <v>220</v>
      </c>
      <c r="G2791" s="8">
        <v>45561</v>
      </c>
      <c r="H2791" s="6">
        <v>12.92</v>
      </c>
      <c r="I2791" s="6" cm="1">
        <f t="array" ref="I2791">IFERROR(VALUE(TRIM(LEFT(E2791,MIN(FIND({" ";"g";"k";"m";"o"},E2791&amp;" gkmo"))-1))),0)</f>
        <v>150</v>
      </c>
      <c r="J2791" s="6" t="str" cm="1">
        <f t="array" ref="J2791">IFERROR(TRIM(MID(E2791,MIN(FIND({" ";"g";"k";"m";"o"},E2791&amp;" gkmo")),10)),"unknown")</f>
        <v>g e</v>
      </c>
      <c r="K2791" s="6" t="str">
        <f t="shared" si="172"/>
        <v>g</v>
      </c>
      <c r="L2791" s="6" t="str">
        <f t="shared" si="173"/>
        <v>M&amp;S Food</v>
      </c>
      <c r="M2791" s="6" t="str">
        <f t="shared" si="174"/>
        <v>Hand Cooked Sea Salt &amp; Balsamic Vinegar Crisps</v>
      </c>
      <c r="N2791" s="6" t="str">
        <f t="shared" si="175"/>
        <v>France, United Kingdom</v>
      </c>
    </row>
    <row r="2792" spans="1:14" x14ac:dyDescent="0.25">
      <c r="A2792" s="6" t="s">
        <v>6579</v>
      </c>
      <c r="B2792" s="6">
        <v>12422</v>
      </c>
      <c r="C2792" s="6" t="s">
        <v>6580</v>
      </c>
      <c r="D2792" s="7" t="s">
        <v>578</v>
      </c>
      <c r="E2792" s="6" t="s">
        <v>64</v>
      </c>
      <c r="F2792" s="6" t="s">
        <v>220</v>
      </c>
      <c r="G2792" s="8">
        <v>45553</v>
      </c>
      <c r="H2792" s="6">
        <v>5.71</v>
      </c>
      <c r="I2792" s="6" cm="1">
        <f t="array" ref="I2792">IFERROR(VALUE(TRIM(LEFT(E2792,MIN(FIND({" ";"g";"k";"m";"o"},E2792&amp;" gkmo"))-1))),0)</f>
        <v>150</v>
      </c>
      <c r="J2792" s="6" t="str" cm="1">
        <f t="array" ref="J2792">IFERROR(TRIM(MID(E2792,MIN(FIND({" ";"g";"k";"m";"o"},E2792&amp;" gkmo")),10)),"unknown")</f>
        <v>g</v>
      </c>
      <c r="K2792" s="6" t="str">
        <f t="shared" si="172"/>
        <v>g</v>
      </c>
      <c r="L2792" s="6" t="str">
        <f t="shared" si="173"/>
        <v>Marks &amp; Spencer</v>
      </c>
      <c r="M2792" s="6" t="str">
        <f t="shared" si="174"/>
        <v>Ready Salted Potato Sticks</v>
      </c>
      <c r="N2792" s="6" t="str">
        <f t="shared" si="175"/>
        <v>France, United Kingdom</v>
      </c>
    </row>
    <row r="2793" spans="1:14" x14ac:dyDescent="0.25">
      <c r="A2793" s="6" t="s">
        <v>6581</v>
      </c>
      <c r="B2793" s="6">
        <v>14062</v>
      </c>
      <c r="C2793" s="6" t="s">
        <v>6582</v>
      </c>
      <c r="D2793" s="7" t="s">
        <v>3635</v>
      </c>
      <c r="E2793" s="6" t="s">
        <v>6583</v>
      </c>
      <c r="F2793" s="6" t="s">
        <v>1864</v>
      </c>
      <c r="G2793" s="8">
        <v>46054</v>
      </c>
      <c r="H2793" s="6">
        <v>16.670000000000002</v>
      </c>
      <c r="I2793" s="6" cm="1">
        <f t="array" ref="I2793">IFERROR(VALUE(TRIM(LEFT(E2793,MIN(FIND({" ";"g";"k";"m";"o"},E2793&amp;" gkmo"))-1))),0)</f>
        <v>1.1299999999999999</v>
      </c>
      <c r="J2793" s="6" t="str" cm="1">
        <f t="array" ref="J2793">IFERROR(TRIM(MID(E2793,MIN(FIND({" ";"g";"k";"m";"o"},E2793&amp;" gkmo")),10)),"unknown")</f>
        <v>kg</v>
      </c>
      <c r="K2793" s="6" t="str">
        <f t="shared" si="172"/>
        <v>kg</v>
      </c>
      <c r="L2793" s="6" t="str">
        <f t="shared" si="173"/>
        <v>Kirkland Signature</v>
      </c>
      <c r="M2793" s="6" t="str">
        <f t="shared" si="174"/>
        <v>Super Extra-Large Peanuts</v>
      </c>
      <c r="N2793" s="6" t="str">
        <f t="shared" si="175"/>
        <v>France,United States</v>
      </c>
    </row>
    <row r="2794" spans="1:14" x14ac:dyDescent="0.25">
      <c r="A2794" s="6" t="s">
        <v>6584</v>
      </c>
      <c r="B2794" s="6">
        <v>7612</v>
      </c>
      <c r="C2794" s="6" t="s">
        <v>4495</v>
      </c>
      <c r="D2794" s="7" t="s">
        <v>4496</v>
      </c>
      <c r="E2794" s="6" t="s">
        <v>6585</v>
      </c>
      <c r="F2794" s="6" t="s">
        <v>3860</v>
      </c>
      <c r="G2794" s="8">
        <v>45514</v>
      </c>
      <c r="H2794" s="6">
        <v>13.16</v>
      </c>
      <c r="I2794" s="6" cm="1">
        <f t="array" ref="I2794">IFERROR(VALUE(TRIM(LEFT(E2794,MIN(FIND({" ";"g";"k";"m";"o"},E2794&amp;" gkmo"))-1))),0)</f>
        <v>4.25</v>
      </c>
      <c r="J2794" s="6" t="str" cm="1">
        <f t="array" ref="J2794">IFERROR(TRIM(MID(E2794,MIN(FIND({" ";"g";"k";"m";"o"},E2794&amp;" gkmo")),10)),"unknown")</f>
        <v>oz</v>
      </c>
      <c r="K2794" s="6" t="str">
        <f t="shared" si="172"/>
        <v>unknown</v>
      </c>
      <c r="L2794" s="6" t="str">
        <f t="shared" si="173"/>
        <v>Simple Mills</v>
      </c>
      <c r="M2794" s="6" t="str">
        <f t="shared" si="174"/>
        <v>Almond Flour Crackers Fine Ground Sea Salt</v>
      </c>
      <c r="N2794" s="6" t="str">
        <f t="shared" si="175"/>
        <v>United States, World</v>
      </c>
    </row>
    <row r="2795" spans="1:14" x14ac:dyDescent="0.25">
      <c r="A2795" s="6" t="s">
        <v>6586</v>
      </c>
      <c r="B2795" s="6">
        <v>6334</v>
      </c>
      <c r="C2795" s="6" t="s">
        <v>6587</v>
      </c>
      <c r="D2795" s="7" t="s">
        <v>1167</v>
      </c>
      <c r="E2795" s="6" t="s">
        <v>39</v>
      </c>
      <c r="F2795" s="6" t="s">
        <v>7564</v>
      </c>
      <c r="G2795" s="8">
        <v>45556</v>
      </c>
      <c r="H2795" s="6">
        <v>13.16</v>
      </c>
      <c r="I2795" s="6" cm="1">
        <f t="array" ref="I2795">IFERROR(VALUE(TRIM(LEFT(E2795,MIN(FIND({" ";"g";"k";"m";"o"},E2795&amp;" gkmo"))-1))),0)</f>
        <v>150</v>
      </c>
      <c r="J2795" s="6" t="str" cm="1">
        <f t="array" ref="J2795">IFERROR(TRIM(MID(E2795,MIN(FIND({" ";"g";"k";"m";"o"},E2795&amp;" gkmo")),10)),"unknown")</f>
        <v>g</v>
      </c>
      <c r="K2795" s="6" t="str">
        <f t="shared" si="172"/>
        <v>g</v>
      </c>
      <c r="L2795" s="6" t="str">
        <f t="shared" si="173"/>
        <v>Lidl</v>
      </c>
      <c r="M2795" s="6" t="str">
        <f t="shared" si="174"/>
        <v>Puff Pastry Twist</v>
      </c>
      <c r="N2795" s="6" t="str">
        <f t="shared" si="175"/>
        <v>Frankrijk,Duitsland,Hongarije,België</v>
      </c>
    </row>
    <row r="2796" spans="1:14" x14ac:dyDescent="0.25">
      <c r="A2796" s="6" t="s">
        <v>6588</v>
      </c>
      <c r="B2796" s="6">
        <v>12848</v>
      </c>
      <c r="C2796" s="6" t="s">
        <v>6589</v>
      </c>
      <c r="D2796" s="7" t="s">
        <v>2514</v>
      </c>
      <c r="E2796" s="6" t="s">
        <v>2045</v>
      </c>
      <c r="F2796" s="6" t="s">
        <v>8187</v>
      </c>
      <c r="G2796" s="8">
        <v>45616</v>
      </c>
      <c r="H2796" s="6">
        <v>13.09</v>
      </c>
      <c r="I2796" s="6" cm="1">
        <f t="array" ref="I2796">IFERROR(VALUE(TRIM(LEFT(E2796,MIN(FIND({" ";"g";"k";"m";"o"},E2796&amp;" gkmo"))-1))),0)</f>
        <v>175</v>
      </c>
      <c r="J2796" s="6" t="str" cm="1">
        <f t="array" ref="J2796">IFERROR(TRIM(MID(E2796,MIN(FIND({" ";"g";"k";"m";"o"},E2796&amp;" gkmo")),10)),"unknown")</f>
        <v>g</v>
      </c>
      <c r="K2796" s="6" t="str">
        <f t="shared" si="172"/>
        <v>g</v>
      </c>
      <c r="L2796" s="6" t="str">
        <f t="shared" si="173"/>
        <v>Favorina</v>
      </c>
      <c r="M2796" s="6" t="str">
        <f t="shared" si="174"/>
        <v>Marzipan Log</v>
      </c>
      <c r="N2796" s="6" t="str">
        <f t="shared" si="175"/>
        <v>Czech Republic,France,Germany,Netherlands</v>
      </c>
    </row>
    <row r="2797" spans="1:14" x14ac:dyDescent="0.25">
      <c r="A2797" s="6" t="s">
        <v>6590</v>
      </c>
      <c r="B2797" s="6">
        <v>12859</v>
      </c>
      <c r="C2797" s="6" t="s">
        <v>6591</v>
      </c>
      <c r="D2797" s="7" t="s">
        <v>1176</v>
      </c>
      <c r="E2797" s="6"/>
      <c r="F2797" s="6" t="s">
        <v>1092</v>
      </c>
      <c r="G2797" s="8">
        <v>45754</v>
      </c>
      <c r="H2797" s="6">
        <v>8.82</v>
      </c>
      <c r="I2797" s="6" cm="1">
        <f t="array" ref="I2797">IFERROR(VALUE(TRIM(LEFT(E2797,MIN(FIND({" ";"g";"k";"m";"o"},E2797&amp;" gkmo"))-1))),0)</f>
        <v>0</v>
      </c>
      <c r="J2797" s="6" t="str" cm="1">
        <f t="array" ref="J2797">IFERROR(TRIM(MID(E2797,MIN(FIND({" ";"g";"k";"m";"o"},E2797&amp;" gkmo")),10)),"unknown")</f>
        <v/>
      </c>
      <c r="K2797" s="6" t="str">
        <f t="shared" si="172"/>
        <v>unknown</v>
      </c>
      <c r="L2797" s="6" t="str">
        <f t="shared" si="173"/>
        <v>Snack Day</v>
      </c>
      <c r="M2797" s="6" t="str">
        <f t="shared" si="174"/>
        <v>Crackers Emmental</v>
      </c>
      <c r="N2797" s="6" t="str">
        <f t="shared" si="175"/>
        <v>Frankrijk</v>
      </c>
    </row>
    <row r="2798" spans="1:14" x14ac:dyDescent="0.25">
      <c r="A2798" s="6" t="s">
        <v>6592</v>
      </c>
      <c r="B2798" s="6">
        <v>6677</v>
      </c>
      <c r="C2798" s="6" t="s">
        <v>7516</v>
      </c>
      <c r="D2798" s="7" t="s">
        <v>7017</v>
      </c>
      <c r="E2798" s="6" t="s">
        <v>151</v>
      </c>
      <c r="F2798" s="6" t="s">
        <v>8001</v>
      </c>
      <c r="G2798" s="8">
        <v>46015</v>
      </c>
      <c r="H2798" s="6">
        <v>23.42</v>
      </c>
      <c r="I2798" s="6" cm="1">
        <f t="array" ref="I2798">IFERROR(VALUE(TRIM(LEFT(E2798,MIN(FIND({" ";"g";"k";"m";"o"},E2798&amp;" gkmo"))-1))),0)</f>
        <v>200</v>
      </c>
      <c r="J2798" s="6" t="str" cm="1">
        <f t="array" ref="J2798">IFERROR(TRIM(MID(E2798,MIN(FIND({" ";"g";"k";"m";"o"},E2798&amp;" gkmo")),10)),"unknown")</f>
        <v>g</v>
      </c>
      <c r="K2798" s="6" t="str">
        <f t="shared" si="172"/>
        <v>g</v>
      </c>
      <c r="L2798" s="6" t="str">
        <f t="shared" si="173"/>
        <v>Unknown</v>
      </c>
      <c r="M2798" s="6" t="str">
        <f t="shared" si="174"/>
        <v>Flips Cacahuète</v>
      </c>
      <c r="N2798" s="6" t="str">
        <f t="shared" si="175"/>
        <v>France,France</v>
      </c>
    </row>
    <row r="2799" spans="1:14" x14ac:dyDescent="0.25">
      <c r="A2799" s="6" t="s">
        <v>6593</v>
      </c>
      <c r="B2799" s="6">
        <v>9233</v>
      </c>
      <c r="C2799" s="6" t="s">
        <v>6594</v>
      </c>
      <c r="D2799" s="7" t="s">
        <v>961</v>
      </c>
      <c r="E2799" s="6" t="s">
        <v>39</v>
      </c>
      <c r="F2799" s="6" t="s">
        <v>139</v>
      </c>
      <c r="G2799" s="8">
        <v>45992</v>
      </c>
      <c r="H2799" s="6">
        <v>13.09</v>
      </c>
      <c r="I2799" s="6" cm="1">
        <f t="array" ref="I2799">IFERROR(VALUE(TRIM(LEFT(E2799,MIN(FIND({" ";"g";"k";"m";"o"},E2799&amp;" gkmo"))-1))),0)</f>
        <v>150</v>
      </c>
      <c r="J2799" s="6" t="str" cm="1">
        <f t="array" ref="J2799">IFERROR(TRIM(MID(E2799,MIN(FIND({" ";"g";"k";"m";"o"},E2799&amp;" gkmo")),10)),"unknown")</f>
        <v>g</v>
      </c>
      <c r="K2799" s="6" t="str">
        <f t="shared" si="172"/>
        <v>g</v>
      </c>
      <c r="L2799" s="6" t="str">
        <f t="shared" si="173"/>
        <v>Sondey</v>
      </c>
      <c r="M2799" s="6" t="str">
        <f t="shared" si="174"/>
        <v>Bio Biscuits Tablette Chocolat Noir</v>
      </c>
      <c r="N2799" s="6" t="str">
        <f t="shared" si="175"/>
        <v>France</v>
      </c>
    </row>
    <row r="2800" spans="1:14" x14ac:dyDescent="0.25">
      <c r="A2800" s="6" t="s">
        <v>6595</v>
      </c>
      <c r="B2800" s="6">
        <v>10103</v>
      </c>
      <c r="C2800" s="6" t="s">
        <v>7422</v>
      </c>
      <c r="D2800" s="7" t="s">
        <v>814</v>
      </c>
      <c r="E2800" s="6" t="s">
        <v>6596</v>
      </c>
      <c r="F2800" s="6" t="s">
        <v>139</v>
      </c>
      <c r="G2800" s="8">
        <v>45602</v>
      </c>
      <c r="H2800" s="6">
        <v>13.16</v>
      </c>
      <c r="I2800" s="6" cm="1">
        <f t="array" ref="I2800">IFERROR(VALUE(TRIM(LEFT(E2800,MIN(FIND({" ";"g";"k";"m";"o"},E2800&amp;" gkmo"))-1))),0)</f>
        <v>125</v>
      </c>
      <c r="J2800" s="6" t="str" cm="1">
        <f t="array" ref="J2800">IFERROR(TRIM(MID(E2800,MIN(FIND({" ";"g";"k";"m";"o"},E2800&amp;" gkmo")),10)),"unknown")</f>
        <v>g, 2 sach</v>
      </c>
      <c r="K2800" s="6" t="str">
        <f t="shared" si="172"/>
        <v>g</v>
      </c>
      <c r="L2800" s="6" t="str">
        <f t="shared" si="173"/>
        <v>Mondelez</v>
      </c>
      <c r="M2800" s="6" t="str">
        <f t="shared" si="174"/>
        <v>Feuilleté Doré Collection Lu</v>
      </c>
      <c r="N2800" s="6" t="str">
        <f t="shared" si="175"/>
        <v>France</v>
      </c>
    </row>
    <row r="2801" spans="1:14" x14ac:dyDescent="0.25">
      <c r="A2801" s="6" t="s">
        <v>6597</v>
      </c>
      <c r="B2801" s="6">
        <v>13035</v>
      </c>
      <c r="C2801" s="6" t="s">
        <v>7423</v>
      </c>
      <c r="D2801" s="7" t="s">
        <v>306</v>
      </c>
      <c r="E2801" s="6" t="s">
        <v>6598</v>
      </c>
      <c r="F2801" s="6" t="s">
        <v>139</v>
      </c>
      <c r="G2801" s="8">
        <v>45977</v>
      </c>
      <c r="H2801" s="6">
        <v>13.16</v>
      </c>
      <c r="I2801" s="6" cm="1">
        <f t="array" ref="I2801">IFERROR(VALUE(TRIM(LEFT(E2801,MIN(FIND({" ";"g";"k";"m";"o"},E2801&amp;" gkmo"))-1))),0)</f>
        <v>110</v>
      </c>
      <c r="J2801" s="6" t="str" cm="1">
        <f t="array" ref="J2801">IFERROR(TRIM(MID(E2801,MIN(FIND({" ";"g";"k";"m";"o"},E2801&amp;" gkmo")),10)),"unknown")</f>
        <v>g X 2</v>
      </c>
      <c r="K2801" s="6" t="str">
        <f t="shared" si="172"/>
        <v>g</v>
      </c>
      <c r="L2801" s="6" t="str">
        <f t="shared" si="173"/>
        <v>Lu</v>
      </c>
      <c r="M2801" s="6" t="str">
        <f t="shared" si="174"/>
        <v>Résille D'Or</v>
      </c>
      <c r="N2801" s="6" t="str">
        <f t="shared" si="175"/>
        <v>France</v>
      </c>
    </row>
    <row r="2802" spans="1:14" x14ac:dyDescent="0.25">
      <c r="A2802" s="6" t="s">
        <v>6599</v>
      </c>
      <c r="B2802" s="6">
        <v>11608</v>
      </c>
      <c r="C2802" s="6" t="s">
        <v>6600</v>
      </c>
      <c r="D2802" s="7" t="s">
        <v>7017</v>
      </c>
      <c r="E2802" s="6" t="s">
        <v>6601</v>
      </c>
      <c r="F2802" s="6" t="s">
        <v>139</v>
      </c>
      <c r="G2802" s="8">
        <v>45573</v>
      </c>
      <c r="H2802" s="6">
        <v>22.16</v>
      </c>
      <c r="I2802" s="6" cm="1">
        <f t="array" ref="I2802">IFERROR(VALUE(TRIM(LEFT(E2802,MIN(FIND({" ";"g";"k";"m";"o"},E2802&amp;" gkmo"))-1))),0)</f>
        <v>200</v>
      </c>
      <c r="J2802" s="6" t="str" cm="1">
        <f t="array" ref="J2802">IFERROR(TRIM(MID(E2802,MIN(FIND({" ";"g";"k";"m";"o"},E2802&amp;" gkmo")),10)),"unknown")</f>
        <v>g (2 * 10</v>
      </c>
      <c r="K2802" s="6" t="str">
        <f t="shared" si="172"/>
        <v>g</v>
      </c>
      <c r="L2802" s="6" t="str">
        <f t="shared" si="173"/>
        <v>Unknown</v>
      </c>
      <c r="M2802" s="6" t="str">
        <f t="shared" si="174"/>
        <v>Galak Chocolat Blanc</v>
      </c>
      <c r="N2802" s="6" t="str">
        <f t="shared" si="175"/>
        <v>France</v>
      </c>
    </row>
    <row r="2803" spans="1:14" x14ac:dyDescent="0.25">
      <c r="A2803" s="6" t="s">
        <v>6602</v>
      </c>
      <c r="B2803" s="6">
        <v>14265</v>
      </c>
      <c r="C2803" s="6" t="s">
        <v>7517</v>
      </c>
      <c r="D2803" s="7" t="s">
        <v>7585</v>
      </c>
      <c r="E2803" s="6" t="s">
        <v>151</v>
      </c>
      <c r="F2803" s="6" t="s">
        <v>213</v>
      </c>
      <c r="G2803" s="8">
        <v>45328</v>
      </c>
      <c r="H2803" s="6">
        <v>15.59</v>
      </c>
      <c r="I2803" s="6" cm="1">
        <f t="array" ref="I2803">IFERROR(VALUE(TRIM(LEFT(E2803,MIN(FIND({" ";"g";"k";"m";"o"},E2803&amp;" gkmo"))-1))),0)</f>
        <v>200</v>
      </c>
      <c r="J2803" s="6" t="str" cm="1">
        <f t="array" ref="J2803">IFERROR(TRIM(MID(E2803,MIN(FIND({" ";"g";"k";"m";"o"},E2803&amp;" gkmo")),10)),"unknown")</f>
        <v>g</v>
      </c>
      <c r="K2803" s="6" t="str">
        <f t="shared" si="172"/>
        <v>g</v>
      </c>
      <c r="L2803" s="6" t="str">
        <f t="shared" si="173"/>
        <v>Cà´Te D'Or</v>
      </c>
      <c r="M2803" s="6" t="str">
        <f t="shared" si="174"/>
        <v>Carrés Lait Noisettes Entières</v>
      </c>
      <c r="N2803" s="6" t="str">
        <f t="shared" si="175"/>
        <v>Belgium,France</v>
      </c>
    </row>
    <row r="2804" spans="1:14" x14ac:dyDescent="0.25">
      <c r="A2804" s="6" t="s">
        <v>6603</v>
      </c>
      <c r="B2804" s="6">
        <v>11716</v>
      </c>
      <c r="C2804" s="6" t="s">
        <v>6604</v>
      </c>
      <c r="D2804" s="7" t="s">
        <v>1345</v>
      </c>
      <c r="E2804" s="6" t="s">
        <v>1721</v>
      </c>
      <c r="F2804" s="6" t="s">
        <v>139</v>
      </c>
      <c r="G2804" s="8">
        <v>45964</v>
      </c>
      <c r="H2804" s="6">
        <v>6.94</v>
      </c>
      <c r="I2804" s="6" cm="1">
        <f t="array" ref="I2804">IFERROR(VALUE(TRIM(LEFT(E2804,MIN(FIND({" ";"g";"k";"m";"o"},E2804&amp;" gkmo"))-1))),0)</f>
        <v>30</v>
      </c>
      <c r="J2804" s="6" t="str" cm="1">
        <f t="array" ref="J2804">IFERROR(TRIM(MID(E2804,MIN(FIND({" ";"g";"k";"m";"o"},E2804&amp;" gkmo")),10)),"unknown")</f>
        <v>g</v>
      </c>
      <c r="K2804" s="6" t="str">
        <f t="shared" si="172"/>
        <v>g</v>
      </c>
      <c r="L2804" s="6" t="str">
        <f t="shared" si="173"/>
        <v>Haribo</v>
      </c>
      <c r="M2804" s="6" t="str">
        <f t="shared" si="174"/>
        <v>Fraiseðÿ“Tagada</v>
      </c>
      <c r="N2804" s="6" t="str">
        <f t="shared" si="175"/>
        <v>France</v>
      </c>
    </row>
    <row r="2805" spans="1:14" x14ac:dyDescent="0.25">
      <c r="A2805" s="6" t="s">
        <v>6605</v>
      </c>
      <c r="B2805" s="6">
        <v>5948</v>
      </c>
      <c r="C2805" s="6" t="s">
        <v>7424</v>
      </c>
      <c r="D2805" s="7" t="s">
        <v>7068</v>
      </c>
      <c r="E2805" s="6"/>
      <c r="F2805" s="6" t="s">
        <v>139</v>
      </c>
      <c r="G2805" s="8">
        <v>45331</v>
      </c>
      <c r="H2805" s="6">
        <v>16.940000000000001</v>
      </c>
      <c r="I2805" s="6" cm="1">
        <f t="array" ref="I2805">IFERROR(VALUE(TRIM(LEFT(E2805,MIN(FIND({" ";"g";"k";"m";"o"},E2805&amp;" gkmo"))-1))),0)</f>
        <v>0</v>
      </c>
      <c r="J2805" s="6" t="str" cm="1">
        <f t="array" ref="J2805">IFERROR(TRIM(MID(E2805,MIN(FIND({" ";"g";"k";"m";"o"},E2805&amp;" gkmo")),10)),"unknown")</f>
        <v/>
      </c>
      <c r="K2805" s="6" t="str">
        <f t="shared" si="172"/>
        <v>unknown</v>
      </c>
      <c r="L2805" s="6" t="str">
        <f t="shared" si="173"/>
        <v>Gerblé</v>
      </c>
      <c r="M2805" s="6" t="str">
        <f t="shared" si="174"/>
        <v>Biscuit Sésame Gerblé</v>
      </c>
      <c r="N2805" s="6" t="str">
        <f t="shared" si="175"/>
        <v>France</v>
      </c>
    </row>
    <row r="2806" spans="1:14" x14ac:dyDescent="0.25">
      <c r="A2806" s="6" t="s">
        <v>6606</v>
      </c>
      <c r="B2806" s="6">
        <v>13807</v>
      </c>
      <c r="C2806" s="6" t="s">
        <v>7518</v>
      </c>
      <c r="D2806" s="7" t="s">
        <v>7030</v>
      </c>
      <c r="E2806" s="6" t="s">
        <v>6607</v>
      </c>
      <c r="F2806" s="6" t="s">
        <v>139</v>
      </c>
      <c r="G2806" s="8">
        <v>45791</v>
      </c>
      <c r="H2806" s="6">
        <v>5.13</v>
      </c>
      <c r="I2806" s="6" cm="1">
        <f t="array" ref="I2806">IFERROR(VALUE(TRIM(LEFT(E2806,MIN(FIND({" ";"g";"k";"m";"o"},E2806&amp;" gkmo"))-1))),0)</f>
        <v>123.5</v>
      </c>
      <c r="J2806" s="6" t="str" cm="1">
        <f t="array" ref="J2806">IFERROR(TRIM(MID(E2806,MIN(FIND({" ";"g";"k";"m";"o"},E2806&amp;" gkmo")),10)),"unknown")</f>
        <v>g, 12 gal</v>
      </c>
      <c r="K2806" s="6" t="str">
        <f t="shared" si="172"/>
        <v>g</v>
      </c>
      <c r="L2806" s="6" t="str">
        <f t="shared" si="173"/>
        <v>Gerblé</v>
      </c>
      <c r="M2806" s="6" t="str">
        <f t="shared" si="174"/>
        <v>Galettes Mais Oignon Crème Ciboulette</v>
      </c>
      <c r="N2806" s="6" t="str">
        <f t="shared" si="175"/>
        <v>France</v>
      </c>
    </row>
    <row r="2807" spans="1:14" x14ac:dyDescent="0.25">
      <c r="A2807" s="6" t="s">
        <v>6608</v>
      </c>
      <c r="B2807" s="6">
        <v>8827</v>
      </c>
      <c r="C2807" s="6" t="s">
        <v>6609</v>
      </c>
      <c r="D2807" s="7" t="s">
        <v>310</v>
      </c>
      <c r="E2807" s="6" t="s">
        <v>1109</v>
      </c>
      <c r="F2807" s="6" t="s">
        <v>139</v>
      </c>
      <c r="G2807" s="8">
        <v>45616</v>
      </c>
      <c r="H2807" s="6">
        <v>13.16</v>
      </c>
      <c r="I2807" s="6" cm="1">
        <f t="array" ref="I2807">IFERROR(VALUE(TRIM(LEFT(E2807,MIN(FIND({" ";"g";"k";"m";"o"},E2807&amp;" gkmo"))-1))),0)</f>
        <v>240</v>
      </c>
      <c r="J2807" s="6" t="str" cm="1">
        <f t="array" ref="J2807">IFERROR(TRIM(MID(E2807,MIN(FIND({" ";"g";"k";"m";"o"},E2807&amp;" gkmo")),10)),"unknown")</f>
        <v>g</v>
      </c>
      <c r="K2807" s="6" t="str">
        <f t="shared" si="172"/>
        <v>g</v>
      </c>
      <c r="L2807" s="6" t="str">
        <f t="shared" si="173"/>
        <v>St Michel</v>
      </c>
      <c r="M2807" s="6" t="str">
        <f t="shared" si="174"/>
        <v>Mini Brownie Chocolat</v>
      </c>
      <c r="N2807" s="6" t="str">
        <f t="shared" si="175"/>
        <v>France</v>
      </c>
    </row>
    <row r="2808" spans="1:14" x14ac:dyDescent="0.25">
      <c r="A2808" s="6" t="s">
        <v>6610</v>
      </c>
      <c r="B2808" s="6">
        <v>5582</v>
      </c>
      <c r="C2808" s="6" t="s">
        <v>7425</v>
      </c>
      <c r="D2808" s="7" t="s">
        <v>3638</v>
      </c>
      <c r="E2808" s="6" t="s">
        <v>39</v>
      </c>
      <c r="F2808" s="6" t="s">
        <v>139</v>
      </c>
      <c r="G2808" s="8">
        <v>45872</v>
      </c>
      <c r="H2808" s="6">
        <v>19.95</v>
      </c>
      <c r="I2808" s="6" cm="1">
        <f t="array" ref="I2808">IFERROR(VALUE(TRIM(LEFT(E2808,MIN(FIND({" ";"g";"k";"m";"o"},E2808&amp;" gkmo"))-1))),0)</f>
        <v>150</v>
      </c>
      <c r="J2808" s="6" t="str" cm="1">
        <f t="array" ref="J2808">IFERROR(TRIM(MID(E2808,MIN(FIND({" ";"g";"k";"m";"o"},E2808&amp;" gkmo")),10)),"unknown")</f>
        <v>g</v>
      </c>
      <c r="K2808" s="6" t="str">
        <f t="shared" si="172"/>
        <v>g</v>
      </c>
      <c r="L2808" s="6" t="str">
        <f t="shared" si="173"/>
        <v>Carrefour, Reflets De France</v>
      </c>
      <c r="M2808" s="6" t="str">
        <f t="shared" si="174"/>
        <v>Sablés Aux Pommes</v>
      </c>
      <c r="N2808" s="6" t="str">
        <f t="shared" si="175"/>
        <v>France</v>
      </c>
    </row>
    <row r="2809" spans="1:14" x14ac:dyDescent="0.25">
      <c r="A2809" s="6" t="s">
        <v>6611</v>
      </c>
      <c r="B2809" s="6">
        <v>9263</v>
      </c>
      <c r="C2809" s="6" t="s">
        <v>6612</v>
      </c>
      <c r="D2809" s="7" t="s">
        <v>6613</v>
      </c>
      <c r="E2809" s="6" t="s">
        <v>151</v>
      </c>
      <c r="F2809" s="6" t="s">
        <v>139</v>
      </c>
      <c r="G2809" s="8">
        <v>45607</v>
      </c>
      <c r="H2809" s="6">
        <v>6.16</v>
      </c>
      <c r="I2809" s="6" cm="1">
        <f t="array" ref="I2809">IFERROR(VALUE(TRIM(LEFT(E2809,MIN(FIND({" ";"g";"k";"m";"o"},E2809&amp;" gkmo"))-1))),0)</f>
        <v>200</v>
      </c>
      <c r="J2809" s="6" t="str" cm="1">
        <f t="array" ref="J2809">IFERROR(TRIM(MID(E2809,MIN(FIND({" ";"g";"k";"m";"o"},E2809&amp;" gkmo")),10)),"unknown")</f>
        <v>g</v>
      </c>
      <c r="K2809" s="6" t="str">
        <f t="shared" si="172"/>
        <v>g</v>
      </c>
      <c r="L2809" s="6" t="str">
        <f t="shared" si="173"/>
        <v>Carrefour Classic</v>
      </c>
      <c r="M2809" s="6" t="str">
        <f t="shared" si="174"/>
        <v>Nature</v>
      </c>
      <c r="N2809" s="6" t="str">
        <f t="shared" si="175"/>
        <v>France</v>
      </c>
    </row>
    <row r="2810" spans="1:14" x14ac:dyDescent="0.25">
      <c r="A2810" s="6" t="s">
        <v>6614</v>
      </c>
      <c r="B2810" s="6">
        <v>5855</v>
      </c>
      <c r="C2810" s="6" t="s">
        <v>6615</v>
      </c>
      <c r="D2810" s="7" t="s">
        <v>7426</v>
      </c>
      <c r="E2810" s="6" t="s">
        <v>151</v>
      </c>
      <c r="F2810" s="6" t="s">
        <v>213</v>
      </c>
      <c r="G2810" s="8">
        <v>45939</v>
      </c>
      <c r="H2810" s="6">
        <v>7.61</v>
      </c>
      <c r="I2810" s="6" cm="1">
        <f t="array" ref="I2810">IFERROR(VALUE(TRIM(LEFT(E2810,MIN(FIND({" ";"g";"k";"m";"o"},E2810&amp;" gkmo"))-1))),0)</f>
        <v>200</v>
      </c>
      <c r="J2810" s="6" t="str" cm="1">
        <f t="array" ref="J2810">IFERROR(TRIM(MID(E2810,MIN(FIND({" ";"g";"k";"m";"o"},E2810&amp;" gkmo")),10)),"unknown")</f>
        <v>g</v>
      </c>
      <c r="K2810" s="6" t="str">
        <f t="shared" si="172"/>
        <v>g</v>
      </c>
      <c r="L2810" s="6" t="str">
        <f t="shared" si="173"/>
        <v>Chabrior, Filet Bleu, Intermarché</v>
      </c>
      <c r="M2810" s="6" t="str">
        <f t="shared" si="174"/>
        <v>Petit Beurre - 200G Bio</v>
      </c>
      <c r="N2810" s="6" t="str">
        <f t="shared" si="175"/>
        <v>Belgium,France</v>
      </c>
    </row>
    <row r="2811" spans="1:14" x14ac:dyDescent="0.25">
      <c r="A2811" s="6" t="s">
        <v>6616</v>
      </c>
      <c r="B2811" s="6">
        <v>7197</v>
      </c>
      <c r="C2811" s="6" t="s">
        <v>6617</v>
      </c>
      <c r="D2811" s="7" t="s">
        <v>2199</v>
      </c>
      <c r="E2811" s="6" t="s">
        <v>39</v>
      </c>
      <c r="F2811" s="6" t="s">
        <v>139</v>
      </c>
      <c r="G2811" s="8">
        <v>45338</v>
      </c>
      <c r="H2811" s="6">
        <v>24.61</v>
      </c>
      <c r="I2811" s="6" cm="1">
        <f t="array" ref="I2811">IFERROR(VALUE(TRIM(LEFT(E2811,MIN(FIND({" ";"g";"k";"m";"o"},E2811&amp;" gkmo"))-1))),0)</f>
        <v>150</v>
      </c>
      <c r="J2811" s="6" t="str" cm="1">
        <f t="array" ref="J2811">IFERROR(TRIM(MID(E2811,MIN(FIND({" ";"g";"k";"m";"o"},E2811&amp;" gkmo")),10)),"unknown")</f>
        <v>g</v>
      </c>
      <c r="K2811" s="6" t="str">
        <f t="shared" si="172"/>
        <v>g</v>
      </c>
      <c r="L2811" s="6" t="str">
        <f t="shared" si="173"/>
        <v>U, U Bio</v>
      </c>
      <c r="M2811" s="6" t="str">
        <f t="shared" si="174"/>
        <v>Biscuits Petit Beurre Bio Paquet De 150G</v>
      </c>
      <c r="N2811" s="6" t="str">
        <f t="shared" si="175"/>
        <v>France</v>
      </c>
    </row>
    <row r="2812" spans="1:14" x14ac:dyDescent="0.25">
      <c r="A2812" s="6" t="s">
        <v>6618</v>
      </c>
      <c r="B2812" s="6">
        <v>5852</v>
      </c>
      <c r="C2812" s="6" t="s">
        <v>6619</v>
      </c>
      <c r="D2812" s="7" t="s">
        <v>3594</v>
      </c>
      <c r="E2812" s="6" t="s">
        <v>6620</v>
      </c>
      <c r="F2812" s="6" t="s">
        <v>139</v>
      </c>
      <c r="G2812" s="8">
        <v>45510</v>
      </c>
      <c r="H2812" s="6">
        <v>18.739999999999998</v>
      </c>
      <c r="I2812" s="6" cm="1">
        <f t="array" ref="I2812">IFERROR(VALUE(TRIM(LEFT(E2812,MIN(FIND({" ";"g";"k";"m";"o"},E2812&amp;" gkmo"))-1))),0)</f>
        <v>525</v>
      </c>
      <c r="J2812" s="6" t="str" cm="1">
        <f t="array" ref="J2812">IFERROR(TRIM(MID(E2812,MIN(FIND({" ";"g";"k";"m";"o"},E2812&amp;" gkmo")),10)),"unknown")</f>
        <v>g</v>
      </c>
      <c r="K2812" s="6" t="str">
        <f t="shared" si="172"/>
        <v>g</v>
      </c>
      <c r="L2812" s="6" t="str">
        <f t="shared" si="173"/>
        <v>U</v>
      </c>
      <c r="M2812" s="6" t="str">
        <f t="shared" si="174"/>
        <v>Pains Au Lait X15 - 525G</v>
      </c>
      <c r="N2812" s="6" t="str">
        <f t="shared" si="175"/>
        <v>France</v>
      </c>
    </row>
    <row r="2813" spans="1:14" x14ac:dyDescent="0.25">
      <c r="A2813" s="6" t="s">
        <v>6621</v>
      </c>
      <c r="B2813" s="6">
        <v>9950</v>
      </c>
      <c r="C2813" s="6" t="s">
        <v>7879</v>
      </c>
      <c r="D2813" s="7" t="s">
        <v>3594</v>
      </c>
      <c r="E2813" s="6" t="s">
        <v>352</v>
      </c>
      <c r="F2813" s="6" t="s">
        <v>139</v>
      </c>
      <c r="G2813" s="8">
        <v>45957</v>
      </c>
      <c r="H2813" s="6">
        <v>2.59</v>
      </c>
      <c r="I2813" s="6" cm="1">
        <f t="array" ref="I2813">IFERROR(VALUE(TRIM(LEFT(E2813,MIN(FIND({" ";"g";"k";"m";"o"},E2813&amp;" gkmo"))-1))),0)</f>
        <v>170</v>
      </c>
      <c r="J2813" s="6" t="str" cm="1">
        <f t="array" ref="J2813">IFERROR(TRIM(MID(E2813,MIN(FIND({" ";"g";"k";"m";"o"},E2813&amp;" gkmo")),10)),"unknown")</f>
        <v>g</v>
      </c>
      <c r="K2813" s="6" t="str">
        <f t="shared" si="172"/>
        <v>g</v>
      </c>
      <c r="L2813" s="6" t="str">
        <f t="shared" si="173"/>
        <v>U</v>
      </c>
      <c r="M2813" s="6" t="str">
        <f t="shared" si="174"/>
        <v>Tuiles Goà»T Salé Paquet De 170G</v>
      </c>
      <c r="N2813" s="6" t="str">
        <f t="shared" si="175"/>
        <v>France</v>
      </c>
    </row>
    <row r="2814" spans="1:14" x14ac:dyDescent="0.25">
      <c r="A2814" s="6" t="s">
        <v>6622</v>
      </c>
      <c r="B2814" s="6">
        <v>9342</v>
      </c>
      <c r="C2814" s="6" t="s">
        <v>7427</v>
      </c>
      <c r="D2814" s="7" t="s">
        <v>3594</v>
      </c>
      <c r="E2814" s="6"/>
      <c r="F2814" s="6" t="s">
        <v>139</v>
      </c>
      <c r="G2814" s="8">
        <v>46038</v>
      </c>
      <c r="H2814" s="6">
        <v>6.97</v>
      </c>
      <c r="I2814" s="6" cm="1">
        <f t="array" ref="I2814">IFERROR(VALUE(TRIM(LEFT(E2814,MIN(FIND({" ";"g";"k";"m";"o"},E2814&amp;" gkmo"))-1))),0)</f>
        <v>0</v>
      </c>
      <c r="J2814" s="6" t="str" cm="1">
        <f t="array" ref="J2814">IFERROR(TRIM(MID(E2814,MIN(FIND({" ";"g";"k";"m";"o"},E2814&amp;" gkmo")),10)),"unknown")</f>
        <v/>
      </c>
      <c r="K2814" s="6" t="str">
        <f t="shared" si="172"/>
        <v>unknown</v>
      </c>
      <c r="L2814" s="6" t="str">
        <f t="shared" si="173"/>
        <v>U</v>
      </c>
      <c r="M2814" s="6" t="str">
        <f t="shared" si="174"/>
        <v>Barres De Céréales Saveur Pomme Verte 6X125G</v>
      </c>
      <c r="N2814" s="6" t="str">
        <f t="shared" si="175"/>
        <v>France</v>
      </c>
    </row>
    <row r="2815" spans="1:14" x14ac:dyDescent="0.25">
      <c r="A2815" s="6" t="s">
        <v>6623</v>
      </c>
      <c r="B2815" s="6">
        <v>8725</v>
      </c>
      <c r="C2815" s="6" t="s">
        <v>6624</v>
      </c>
      <c r="D2815" s="7" t="s">
        <v>7106</v>
      </c>
      <c r="E2815" s="6" t="s">
        <v>1845</v>
      </c>
      <c r="F2815" s="6" t="s">
        <v>139</v>
      </c>
      <c r="G2815" s="8">
        <v>45830</v>
      </c>
      <c r="H2815" s="6">
        <v>6.82</v>
      </c>
      <c r="I2815" s="6" cm="1">
        <f t="array" ref="I2815">IFERROR(VALUE(TRIM(LEFT(E2815,MIN(FIND({" ";"g";"k";"m";"o"},E2815&amp;" gkmo"))-1))),0)</f>
        <v>800</v>
      </c>
      <c r="J2815" s="6" t="str" cm="1">
        <f t="array" ref="J2815">IFERROR(TRIM(MID(E2815,MIN(FIND({" ";"g";"k";"m";"o"},E2815&amp;" gkmo")),10)),"unknown")</f>
        <v>g</v>
      </c>
      <c r="K2815" s="6" t="str">
        <f t="shared" si="172"/>
        <v>g</v>
      </c>
      <c r="L2815" s="6" t="str">
        <f t="shared" si="173"/>
        <v>Ker Cadélac</v>
      </c>
      <c r="M2815" s="6" t="str">
        <f t="shared" si="174"/>
        <v>Mon Cake Nature</v>
      </c>
      <c r="N2815" s="6" t="str">
        <f t="shared" si="175"/>
        <v>France</v>
      </c>
    </row>
    <row r="2816" spans="1:14" x14ac:dyDescent="0.25">
      <c r="A2816" s="6" t="s">
        <v>6625</v>
      </c>
      <c r="B2816" s="6">
        <v>13356</v>
      </c>
      <c r="C2816" s="6" t="s">
        <v>6626</v>
      </c>
      <c r="D2816" s="7" t="s">
        <v>7017</v>
      </c>
      <c r="E2816" s="6" t="s">
        <v>6627</v>
      </c>
      <c r="F2816" s="6" t="s">
        <v>139</v>
      </c>
      <c r="G2816" s="8">
        <v>45356</v>
      </c>
      <c r="H2816" s="6">
        <v>9.8000000000000007</v>
      </c>
      <c r="I2816" s="6" cm="1">
        <f t="array" ref="I2816">IFERROR(VALUE(TRIM(LEFT(E2816,MIN(FIND({" ";"g";"k";"m";"o"},E2816&amp;" gkmo"))-1))),0)</f>
        <v>6</v>
      </c>
      <c r="J2816" s="6" t="str" cm="1">
        <f t="array" ref="J2816">IFERROR(TRIM(MID(E2816,MIN(FIND({" ";"g";"k";"m";"o"},E2816&amp;" gkmo")),10)),"unknown")</f>
        <v>* 27.5 g</v>
      </c>
      <c r="K2816" s="6" t="str">
        <f t="shared" si="172"/>
        <v>g</v>
      </c>
      <c r="L2816" s="6" t="str">
        <f t="shared" si="173"/>
        <v>Unknown</v>
      </c>
      <c r="M2816" s="6" t="str">
        <f t="shared" si="174"/>
        <v>La Classique Nature</v>
      </c>
      <c r="N2816" s="6" t="str">
        <f t="shared" si="175"/>
        <v>France</v>
      </c>
    </row>
    <row r="2817" spans="1:14" x14ac:dyDescent="0.25">
      <c r="A2817" s="6" t="s">
        <v>6628</v>
      </c>
      <c r="B2817" s="6">
        <v>7796</v>
      </c>
      <c r="C2817" s="6" t="s">
        <v>7880</v>
      </c>
      <c r="D2817" s="7" t="s">
        <v>7909</v>
      </c>
      <c r="E2817" s="6" t="s">
        <v>132</v>
      </c>
      <c r="F2817" s="6" t="s">
        <v>139</v>
      </c>
      <c r="G2817" s="8">
        <v>45397</v>
      </c>
      <c r="H2817" s="6">
        <v>22.59</v>
      </c>
      <c r="I2817" s="6" cm="1">
        <f t="array" ref="I2817">IFERROR(VALUE(TRIM(LEFT(E2817,MIN(FIND({" ";"g";"k";"m";"o"},E2817&amp;" gkmo"))-1))),0)</f>
        <v>350</v>
      </c>
      <c r="J2817" s="6" t="str" cm="1">
        <f t="array" ref="J2817">IFERROR(TRIM(MID(E2817,MIN(FIND({" ";"g";"k";"m";"o"},E2817&amp;" gkmo")),10)),"unknown")</f>
        <v>g</v>
      </c>
      <c r="K2817" s="6" t="str">
        <f t="shared" si="172"/>
        <v>g</v>
      </c>
      <c r="L2817" s="6" t="str">
        <f t="shared" si="173"/>
        <v>Saint Amour</v>
      </c>
      <c r="M2817" s="6" t="str">
        <f t="shared" si="174"/>
        <v>Gà¢Teau Au Fromage Blanc</v>
      </c>
      <c r="N2817" s="6" t="str">
        <f t="shared" si="175"/>
        <v>France</v>
      </c>
    </row>
    <row r="2818" spans="1:14" x14ac:dyDescent="0.25">
      <c r="A2818" s="6" t="s">
        <v>6629</v>
      </c>
      <c r="B2818" s="6">
        <v>14093</v>
      </c>
      <c r="C2818" s="6" t="s">
        <v>7428</v>
      </c>
      <c r="D2818" s="7" t="s">
        <v>6630</v>
      </c>
      <c r="E2818" s="6" t="s">
        <v>423</v>
      </c>
      <c r="F2818" s="6" t="s">
        <v>139</v>
      </c>
      <c r="G2818" s="8">
        <v>45579</v>
      </c>
      <c r="H2818" s="6">
        <v>12.85</v>
      </c>
      <c r="I2818" s="6" cm="1">
        <f t="array" ref="I2818">IFERROR(VALUE(TRIM(LEFT(E2818,MIN(FIND({" ";"g";"k";"m";"o"},E2818&amp;" gkmo"))-1))),0)</f>
        <v>125</v>
      </c>
      <c r="J2818" s="6" t="str" cm="1">
        <f t="array" ref="J2818">IFERROR(TRIM(MID(E2818,MIN(FIND({" ";"g";"k";"m";"o"},E2818&amp;" gkmo")),10)),"unknown")</f>
        <v>g</v>
      </c>
      <c r="K2818" s="6" t="str">
        <f t="shared" ref="K2818:K2881" si="176">IF(E2818="","unknown",IF(OR(J2818="g",LEFT(J2818,1)="g"),"g",IF(OR(LEFT(J2818,2)="kg",LEFT(J2818,2)="ki"),"kg",IF(OR(LEFT(J2818,2)="ml",LEFT(J2818,1)="m"),"ml",IF(LEFT(J2818,1)="l","l",IF(ISNUMBER(SEARCH("g",E2818)),"g",IF(ISNUMBER(SEARCH("kg",E2818)),"kg",IF(ISNUMBER(SEARCH("ml",E2818)),"ml","unknown"))))))))</f>
        <v>g</v>
      </c>
      <c r="L2818" s="6" t="str">
        <f t="shared" ref="L2818:L2881" si="177">IF(D2818="","Unknown",PROPER(TRIM(D2818)))</f>
        <v>Grany, Lu</v>
      </c>
      <c r="M2818" s="6" t="str">
        <f t="shared" ref="M2818:M2881" si="178">IF(C2818="Unknown","Unknown",PROPER(TRIM(C2818)))</f>
        <v>Grany RizðÿŠ Soufflé &amp; Chocolat Ðÿ«</v>
      </c>
      <c r="N2818" s="6" t="str">
        <f t="shared" si="175"/>
        <v>France</v>
      </c>
    </row>
    <row r="2819" spans="1:14" x14ac:dyDescent="0.25">
      <c r="A2819" s="6" t="s">
        <v>6631</v>
      </c>
      <c r="B2819" s="6">
        <v>13513</v>
      </c>
      <c r="C2819" s="6" t="s">
        <v>6632</v>
      </c>
      <c r="D2819" s="7" t="s">
        <v>7429</v>
      </c>
      <c r="E2819" s="6" t="s">
        <v>10</v>
      </c>
      <c r="F2819" s="6" t="s">
        <v>139</v>
      </c>
      <c r="G2819" s="8">
        <v>45363</v>
      </c>
      <c r="H2819" s="6">
        <v>10.050000000000001</v>
      </c>
      <c r="I2819" s="6" cm="1">
        <f t="array" ref="I2819">IFERROR(VALUE(TRIM(LEFT(E2819,MIN(FIND({" ";"g";"k";"m";"o"},E2819&amp;" gkmo"))-1))),0)</f>
        <v>100</v>
      </c>
      <c r="J2819" s="6" t="str" cm="1">
        <f t="array" ref="J2819">IFERROR(TRIM(MID(E2819,MIN(FIND({" ";"g";"k";"m";"o"},E2819&amp;" gkmo")),10)),"unknown")</f>
        <v>g</v>
      </c>
      <c r="K2819" s="6" t="str">
        <f t="shared" si="176"/>
        <v>g</v>
      </c>
      <c r="L2819" s="6" t="str">
        <f t="shared" si="177"/>
        <v>Karéléa</v>
      </c>
      <c r="M2819" s="6" t="str">
        <f t="shared" si="178"/>
        <v>Langues De Chat</v>
      </c>
      <c r="N2819" s="6" t="str">
        <f t="shared" ref="N2819:N2882" si="179">IF(F2819="","Unknown",PROPER(TRIM(F2819)))</f>
        <v>France</v>
      </c>
    </row>
    <row r="2820" spans="1:14" x14ac:dyDescent="0.25">
      <c r="A2820" s="6" t="s">
        <v>6633</v>
      </c>
      <c r="B2820" s="6">
        <v>10515</v>
      </c>
      <c r="C2820" s="6" t="s">
        <v>6634</v>
      </c>
      <c r="D2820" s="7" t="s">
        <v>854</v>
      </c>
      <c r="E2820" s="6"/>
      <c r="F2820" s="6" t="s">
        <v>139</v>
      </c>
      <c r="G2820" s="8">
        <v>45473</v>
      </c>
      <c r="H2820" s="6">
        <v>13.16</v>
      </c>
      <c r="I2820" s="6" cm="1">
        <f t="array" ref="I2820">IFERROR(VALUE(TRIM(LEFT(E2820,MIN(FIND({" ";"g";"k";"m";"o"},E2820&amp;" gkmo"))-1))),0)</f>
        <v>0</v>
      </c>
      <c r="J2820" s="6" t="str" cm="1">
        <f t="array" ref="J2820">IFERROR(TRIM(MID(E2820,MIN(FIND({" ";"g";"k";"m";"o"},E2820&amp;" gkmo")),10)),"unknown")</f>
        <v/>
      </c>
      <c r="K2820" s="6" t="str">
        <f t="shared" si="176"/>
        <v>unknown</v>
      </c>
      <c r="L2820" s="6" t="str">
        <f t="shared" si="177"/>
        <v>Carrefour</v>
      </c>
      <c r="M2820" s="6" t="str">
        <f t="shared" si="178"/>
        <v>Coleslaw Chou Blanc Et Carottes</v>
      </c>
      <c r="N2820" s="6" t="str">
        <f t="shared" si="179"/>
        <v>France</v>
      </c>
    </row>
    <row r="2821" spans="1:14" x14ac:dyDescent="0.25">
      <c r="A2821" s="6" t="s">
        <v>6635</v>
      </c>
      <c r="B2821" s="6">
        <v>13537</v>
      </c>
      <c r="C2821" s="6" t="s">
        <v>6636</v>
      </c>
      <c r="D2821" s="7" t="s">
        <v>854</v>
      </c>
      <c r="E2821" s="6" t="s">
        <v>151</v>
      </c>
      <c r="F2821" s="6" t="s">
        <v>139</v>
      </c>
      <c r="G2821" s="8">
        <v>45423</v>
      </c>
      <c r="H2821" s="6">
        <v>24.48</v>
      </c>
      <c r="I2821" s="6" cm="1">
        <f t="array" ref="I2821">IFERROR(VALUE(TRIM(LEFT(E2821,MIN(FIND({" ";"g";"k";"m";"o"},E2821&amp;" gkmo"))-1))),0)</f>
        <v>200</v>
      </c>
      <c r="J2821" s="6" t="str" cm="1">
        <f t="array" ref="J2821">IFERROR(TRIM(MID(E2821,MIN(FIND({" ";"g";"k";"m";"o"},E2821&amp;" gkmo")),10)),"unknown")</f>
        <v>g</v>
      </c>
      <c r="K2821" s="6" t="str">
        <f t="shared" si="176"/>
        <v>g</v>
      </c>
      <c r="L2821" s="6" t="str">
        <f t="shared" si="177"/>
        <v>Carrefour</v>
      </c>
      <c r="M2821" s="6" t="str">
        <f t="shared" si="178"/>
        <v>Dessert Noir</v>
      </c>
      <c r="N2821" s="6" t="str">
        <f t="shared" si="179"/>
        <v>France</v>
      </c>
    </row>
    <row r="2822" spans="1:14" x14ac:dyDescent="0.25">
      <c r="A2822" s="6" t="s">
        <v>6637</v>
      </c>
      <c r="B2822" s="6">
        <v>10460</v>
      </c>
      <c r="C2822" s="6" t="s">
        <v>6638</v>
      </c>
      <c r="D2822" s="7" t="s">
        <v>854</v>
      </c>
      <c r="E2822" s="6" t="s">
        <v>291</v>
      </c>
      <c r="F2822" s="6" t="s">
        <v>8293</v>
      </c>
      <c r="G2822" s="8">
        <v>45940</v>
      </c>
      <c r="H2822" s="6">
        <v>7.93</v>
      </c>
      <c r="I2822" s="6" cm="1">
        <f t="array" ref="I2822">IFERROR(VALUE(TRIM(LEFT(E2822,MIN(FIND({" ";"g";"k";"m";"o"},E2822&amp;" gkmo"))-1))),0)</f>
        <v>140</v>
      </c>
      <c r="J2822" s="6" t="str" cm="1">
        <f t="array" ref="J2822">IFERROR(TRIM(MID(E2822,MIN(FIND({" ";"g";"k";"m";"o"},E2822&amp;" gkmo")),10)),"unknown")</f>
        <v>g</v>
      </c>
      <c r="K2822" s="6" t="str">
        <f t="shared" si="176"/>
        <v>g</v>
      </c>
      <c r="L2822" s="6" t="str">
        <f t="shared" si="177"/>
        <v>Carrefour</v>
      </c>
      <c r="M2822" s="6" t="str">
        <f t="shared" si="178"/>
        <v>Barres Gourmandes</v>
      </c>
      <c r="N2822" s="6" t="str">
        <f t="shared" si="179"/>
        <v>Belgium,France, Italie, Spain</v>
      </c>
    </row>
    <row r="2823" spans="1:14" x14ac:dyDescent="0.25">
      <c r="A2823" s="6" t="s">
        <v>6639</v>
      </c>
      <c r="B2823" s="6">
        <v>14441</v>
      </c>
      <c r="C2823" s="6" t="s">
        <v>7430</v>
      </c>
      <c r="D2823" s="7" t="s">
        <v>7519</v>
      </c>
      <c r="E2823" s="6" t="s">
        <v>1592</v>
      </c>
      <c r="F2823" s="6" t="s">
        <v>139</v>
      </c>
      <c r="G2823" s="8">
        <v>45636</v>
      </c>
      <c r="H2823" s="6">
        <v>13.16</v>
      </c>
      <c r="I2823" s="6" cm="1">
        <f t="array" ref="I2823">IFERROR(VALUE(TRIM(LEFT(E2823,MIN(FIND({" ";"g";"k";"m";"o"},E2823&amp;" gkmo"))-1))),0)</f>
        <v>265</v>
      </c>
      <c r="J2823" s="6" t="str" cm="1">
        <f t="array" ref="J2823">IFERROR(TRIM(MID(E2823,MIN(FIND({" ";"g";"k";"m";"o"},E2823&amp;" gkmo")),10)),"unknown")</f>
        <v>g</v>
      </c>
      <c r="K2823" s="6" t="str">
        <f t="shared" si="176"/>
        <v>g</v>
      </c>
      <c r="L2823" s="6" t="str">
        <f t="shared" si="177"/>
        <v>Marque Repère, Notre Jardin</v>
      </c>
      <c r="M2823" s="6" t="str">
        <f t="shared" si="178"/>
        <v>Macédoine De Légumes</v>
      </c>
      <c r="N2823" s="6" t="str">
        <f t="shared" si="179"/>
        <v>France</v>
      </c>
    </row>
    <row r="2824" spans="1:14" x14ac:dyDescent="0.25">
      <c r="A2824" s="6" t="s">
        <v>6640</v>
      </c>
      <c r="B2824" s="6">
        <v>10239</v>
      </c>
      <c r="C2824" s="6" t="s">
        <v>6591</v>
      </c>
      <c r="D2824" s="7" t="s">
        <v>7520</v>
      </c>
      <c r="E2824" s="6" t="s">
        <v>10</v>
      </c>
      <c r="F2824" s="6" t="s">
        <v>139</v>
      </c>
      <c r="G2824" s="8">
        <v>45327</v>
      </c>
      <c r="H2824" s="6">
        <v>9.8800000000000008</v>
      </c>
      <c r="I2824" s="6" cm="1">
        <f t="array" ref="I2824">IFERROR(VALUE(TRIM(LEFT(E2824,MIN(FIND({" ";"g";"k";"m";"o"},E2824&amp;" gkmo"))-1))),0)</f>
        <v>100</v>
      </c>
      <c r="J2824" s="6" t="str" cm="1">
        <f t="array" ref="J2824">IFERROR(TRIM(MID(E2824,MIN(FIND({" ";"g";"k";"m";"o"},E2824&amp;" gkmo")),10)),"unknown")</f>
        <v>g</v>
      </c>
      <c r="K2824" s="6" t="str">
        <f t="shared" si="176"/>
        <v>g</v>
      </c>
      <c r="L2824" s="6" t="str">
        <f t="shared" si="177"/>
        <v>Tokapimarque Repère</v>
      </c>
      <c r="M2824" s="6" t="str">
        <f t="shared" si="178"/>
        <v>Crackers Emmental</v>
      </c>
      <c r="N2824" s="6" t="str">
        <f t="shared" si="179"/>
        <v>France</v>
      </c>
    </row>
    <row r="2825" spans="1:14" x14ac:dyDescent="0.25">
      <c r="A2825" s="6" t="s">
        <v>6641</v>
      </c>
      <c r="B2825" s="6">
        <v>13414</v>
      </c>
      <c r="C2825" s="6" t="s">
        <v>7431</v>
      </c>
      <c r="D2825" s="7" t="s">
        <v>7496</v>
      </c>
      <c r="E2825" s="6" t="s">
        <v>82</v>
      </c>
      <c r="F2825" s="6" t="s">
        <v>8188</v>
      </c>
      <c r="G2825" s="8">
        <v>45501</v>
      </c>
      <c r="H2825" s="6">
        <v>22.07</v>
      </c>
      <c r="I2825" s="6" cm="1">
        <f t="array" ref="I2825">IFERROR(VALUE(TRIM(LEFT(E2825,MIN(FIND({" ";"g";"k";"m";"o"},E2825&amp;" gkmo"))-1))),0)</f>
        <v>230</v>
      </c>
      <c r="J2825" s="6" t="str" cm="1">
        <f t="array" ref="J2825">IFERROR(TRIM(MID(E2825,MIN(FIND({" ";"g";"k";"m";"o"},E2825&amp;" gkmo")),10)),"unknown")</f>
        <v>g</v>
      </c>
      <c r="K2825" s="6" t="str">
        <f t="shared" si="176"/>
        <v>g</v>
      </c>
      <c r="L2825" s="6" t="str">
        <f t="shared" si="177"/>
        <v>Bio Village, Marque Repère</v>
      </c>
      <c r="M2825" s="6" t="str">
        <f t="shared" si="178"/>
        <v>Biscuits Sésame</v>
      </c>
      <c r="N2825" s="6" t="str">
        <f t="shared" si="179"/>
        <v>France, Reunion, Belgium</v>
      </c>
    </row>
    <row r="2826" spans="1:14" x14ac:dyDescent="0.25">
      <c r="A2826" s="6" t="s">
        <v>6642</v>
      </c>
      <c r="B2826" s="6">
        <v>12710</v>
      </c>
      <c r="C2826" s="6" t="s">
        <v>6643</v>
      </c>
      <c r="D2826" s="7" t="s">
        <v>7496</v>
      </c>
      <c r="E2826" s="6" t="s">
        <v>39</v>
      </c>
      <c r="F2826" s="6" t="s">
        <v>139</v>
      </c>
      <c r="G2826" s="8">
        <v>46018</v>
      </c>
      <c r="H2826" s="6">
        <v>11.86</v>
      </c>
      <c r="I2826" s="6" cm="1">
        <f t="array" ref="I2826">IFERROR(VALUE(TRIM(LEFT(E2826,MIN(FIND({" ";"g";"k";"m";"o"},E2826&amp;" gkmo"))-1))),0)</f>
        <v>150</v>
      </c>
      <c r="J2826" s="6" t="str" cm="1">
        <f t="array" ref="J2826">IFERROR(TRIM(MID(E2826,MIN(FIND({" ";"g";"k";"m";"o"},E2826&amp;" gkmo")),10)),"unknown")</f>
        <v>g</v>
      </c>
      <c r="K2826" s="6" t="str">
        <f t="shared" si="176"/>
        <v>g</v>
      </c>
      <c r="L2826" s="6" t="str">
        <f t="shared" si="177"/>
        <v>Bio Village, Marque Repère</v>
      </c>
      <c r="M2826" s="6" t="str">
        <f t="shared" si="178"/>
        <v>Biscuits Tablette Chocolat Noir</v>
      </c>
      <c r="N2826" s="6" t="str">
        <f t="shared" si="179"/>
        <v>France</v>
      </c>
    </row>
    <row r="2827" spans="1:14" x14ac:dyDescent="0.25">
      <c r="A2827" s="6" t="s">
        <v>6644</v>
      </c>
      <c r="B2827" s="6">
        <v>6308</v>
      </c>
      <c r="C2827" s="6" t="s">
        <v>7881</v>
      </c>
      <c r="D2827" s="7" t="s">
        <v>6645</v>
      </c>
      <c r="E2827" s="6" t="s">
        <v>297</v>
      </c>
      <c r="F2827" s="6" t="s">
        <v>139</v>
      </c>
      <c r="G2827" s="8">
        <v>45387</v>
      </c>
      <c r="H2827" s="6">
        <v>10.86</v>
      </c>
      <c r="I2827" s="6" cm="1">
        <f t="array" ref="I2827">IFERROR(VALUE(TRIM(LEFT(E2827,MIN(FIND({" ";"g";"k";"m";"o"},E2827&amp;" gkmo"))-1))),0)</f>
        <v>360</v>
      </c>
      <c r="J2827" s="6" t="str" cm="1">
        <f t="array" ref="J2827">IFERROR(TRIM(MID(E2827,MIN(FIND({" ";"g";"k";"m";"o"},E2827&amp;" gkmo")),10)),"unknown")</f>
        <v>g</v>
      </c>
      <c r="K2827" s="6" t="str">
        <f t="shared" si="176"/>
        <v>g</v>
      </c>
      <c r="L2827" s="6" t="str">
        <f t="shared" si="177"/>
        <v>Leclerc, Nos Regions Ont Du Talent</v>
      </c>
      <c r="M2827" s="6" t="str">
        <f t="shared" si="178"/>
        <v>8 Mini Gà¢Ches Pur Beurre À  La Cràªme Fraà®Che</v>
      </c>
      <c r="N2827" s="6" t="str">
        <f t="shared" si="179"/>
        <v>France</v>
      </c>
    </row>
    <row r="2828" spans="1:14" x14ac:dyDescent="0.25">
      <c r="A2828" s="6" t="s">
        <v>6646</v>
      </c>
      <c r="B2828" s="6">
        <v>13279</v>
      </c>
      <c r="C2828" s="6" t="s">
        <v>7432</v>
      </c>
      <c r="D2828" s="7" t="s">
        <v>1551</v>
      </c>
      <c r="E2828" s="6" t="s">
        <v>151</v>
      </c>
      <c r="F2828" s="6" t="s">
        <v>139</v>
      </c>
      <c r="G2828" s="8">
        <v>45566</v>
      </c>
      <c r="H2828" s="6">
        <v>9.32</v>
      </c>
      <c r="I2828" s="6" cm="1">
        <f t="array" ref="I2828">IFERROR(VALUE(TRIM(LEFT(E2828,MIN(FIND({" ";"g";"k";"m";"o"},E2828&amp;" gkmo"))-1))),0)</f>
        <v>200</v>
      </c>
      <c r="J2828" s="6" t="str" cm="1">
        <f t="array" ref="J2828">IFERROR(TRIM(MID(E2828,MIN(FIND({" ";"g";"k";"m";"o"},E2828&amp;" gkmo")),10)),"unknown")</f>
        <v>g</v>
      </c>
      <c r="K2828" s="6" t="str">
        <f t="shared" si="176"/>
        <v>g</v>
      </c>
      <c r="L2828" s="6" t="str">
        <f t="shared" si="177"/>
        <v>Biocoop</v>
      </c>
      <c r="M2828" s="6" t="str">
        <f t="shared" si="178"/>
        <v>Cookies Pépites De Chocolat Noir &amp; Cacao</v>
      </c>
      <c r="N2828" s="6" t="str">
        <f t="shared" si="179"/>
        <v>France</v>
      </c>
    </row>
    <row r="2829" spans="1:14" x14ac:dyDescent="0.25">
      <c r="A2829" s="6" t="s">
        <v>6647</v>
      </c>
      <c r="B2829" s="6">
        <v>5339</v>
      </c>
      <c r="C2829" s="6" t="s">
        <v>286</v>
      </c>
      <c r="D2829" s="7" t="s">
        <v>7017</v>
      </c>
      <c r="E2829" s="6"/>
      <c r="F2829" s="6" t="s">
        <v>8189</v>
      </c>
      <c r="G2829" s="8">
        <v>45357</v>
      </c>
      <c r="H2829" s="6">
        <v>21.49</v>
      </c>
      <c r="I2829" s="6" cm="1">
        <f t="array" ref="I2829">IFERROR(VALUE(TRIM(LEFT(E2829,MIN(FIND({" ";"g";"k";"m";"o"},E2829&amp;" gkmo"))-1))),0)</f>
        <v>0</v>
      </c>
      <c r="J2829" s="6" t="str" cm="1">
        <f t="array" ref="J2829">IFERROR(TRIM(MID(E2829,MIN(FIND({" ";"g";"k";"m";"o"},E2829&amp;" gkmo")),10)),"unknown")</f>
        <v/>
      </c>
      <c r="K2829" s="6" t="str">
        <f t="shared" si="176"/>
        <v>unknown</v>
      </c>
      <c r="L2829" s="6" t="str">
        <f t="shared" si="177"/>
        <v>Unknown</v>
      </c>
      <c r="M2829" s="6" t="str">
        <f t="shared" si="178"/>
        <v>Raffaello</v>
      </c>
      <c r="N2829" s="6" t="str">
        <f t="shared" si="179"/>
        <v>Austria, Belgium, France, Germany, Switzerland, Morocco</v>
      </c>
    </row>
    <row r="2830" spans="1:14" x14ac:dyDescent="0.25">
      <c r="A2830" s="6" t="s">
        <v>6648</v>
      </c>
      <c r="B2830" s="6">
        <v>6488</v>
      </c>
      <c r="C2830" s="6" t="s">
        <v>6649</v>
      </c>
      <c r="D2830" s="7" t="s">
        <v>799</v>
      </c>
      <c r="E2830" s="6" t="s">
        <v>649</v>
      </c>
      <c r="F2830" s="6" t="s">
        <v>7882</v>
      </c>
      <c r="G2830" s="8">
        <v>45749</v>
      </c>
      <c r="H2830" s="6">
        <v>11.59</v>
      </c>
      <c r="I2830" s="6" cm="1">
        <f t="array" ref="I2830">IFERROR(VALUE(TRIM(LEFT(E2830,MIN(FIND({" ";"g";"k";"m";"o"},E2830&amp;" gkmo"))-1))),0)</f>
        <v>35</v>
      </c>
      <c r="J2830" s="6" t="str" cm="1">
        <f t="array" ref="J2830">IFERROR(TRIM(MID(E2830,MIN(FIND({" ";"g";"k";"m";"o"},E2830&amp;" gkmo")),10)),"unknown")</f>
        <v>g</v>
      </c>
      <c r="K2830" s="6" t="str">
        <f t="shared" si="176"/>
        <v>g</v>
      </c>
      <c r="L2830" s="6" t="str">
        <f t="shared" si="177"/>
        <v>Kinder,Ferrero</v>
      </c>
      <c r="M2830" s="6" t="str">
        <f t="shared" si="178"/>
        <v>Maxi King 3Er-Pack</v>
      </c>
      <c r="N2830" s="6" t="str">
        <f t="shared" si="179"/>
        <v>À–Sterreich,Belgien,Frankreich,Deutschland,Schweiz</v>
      </c>
    </row>
    <row r="2831" spans="1:14" x14ac:dyDescent="0.25">
      <c r="A2831" s="6" t="s">
        <v>6650</v>
      </c>
      <c r="B2831" s="6">
        <v>8850</v>
      </c>
      <c r="C2831" s="6" t="s">
        <v>6651</v>
      </c>
      <c r="D2831" s="7" t="s">
        <v>6402</v>
      </c>
      <c r="E2831" s="6" t="s">
        <v>284</v>
      </c>
      <c r="F2831" s="6" t="s">
        <v>139</v>
      </c>
      <c r="G2831" s="8">
        <v>45682</v>
      </c>
      <c r="H2831" s="6">
        <v>15.54</v>
      </c>
      <c r="I2831" s="6" cm="1">
        <f t="array" ref="I2831">IFERROR(VALUE(TRIM(LEFT(E2831,MIN(FIND({" ";"g";"k";"m";"o"},E2831&amp;" gkmo"))-1))),0)</f>
        <v>180</v>
      </c>
      <c r="J2831" s="6" t="str" cm="1">
        <f t="array" ref="J2831">IFERROR(TRIM(MID(E2831,MIN(FIND({" ";"g";"k";"m";"o"},E2831&amp;" gkmo")),10)),"unknown")</f>
        <v>g</v>
      </c>
      <c r="K2831" s="6" t="str">
        <f t="shared" si="176"/>
        <v>g</v>
      </c>
      <c r="L2831" s="6" t="str">
        <f t="shared" si="177"/>
        <v>Chupa Chups</v>
      </c>
      <c r="M2831" s="6" t="str">
        <f t="shared" si="178"/>
        <v>180G Chupa Chups Mini Assosrti</v>
      </c>
      <c r="N2831" s="6" t="str">
        <f t="shared" si="179"/>
        <v>France</v>
      </c>
    </row>
    <row r="2832" spans="1:14" x14ac:dyDescent="0.25">
      <c r="A2832" s="6" t="s">
        <v>6652</v>
      </c>
      <c r="B2832" s="6">
        <v>13958</v>
      </c>
      <c r="C2832" s="6" t="s">
        <v>2408</v>
      </c>
      <c r="D2832" s="7" t="s">
        <v>7433</v>
      </c>
      <c r="E2832" s="6" t="s">
        <v>1570</v>
      </c>
      <c r="F2832" s="6" t="s">
        <v>8190</v>
      </c>
      <c r="G2832" s="8">
        <v>45371</v>
      </c>
      <c r="H2832" s="6">
        <v>13.16</v>
      </c>
      <c r="I2832" s="6" cm="1">
        <f t="array" ref="I2832">IFERROR(VALUE(TRIM(LEFT(E2832,MIN(FIND({" ";"g";"k";"m";"o"},E2832&amp;" gkmo"))-1))),0)</f>
        <v>480</v>
      </c>
      <c r="J2832" s="6" t="str" cm="1">
        <f t="array" ref="J2832">IFERROR(TRIM(MID(E2832,MIN(FIND({" ";"g";"k";"m";"o"},E2832&amp;" gkmo")),10)),"unknown")</f>
        <v>g</v>
      </c>
      <c r="K2832" s="6" t="str">
        <f t="shared" si="176"/>
        <v>g</v>
      </c>
      <c r="L2832" s="6" t="str">
        <f t="shared" si="177"/>
        <v>Nestlé, Quality Street</v>
      </c>
      <c r="M2832" s="6" t="str">
        <f t="shared" si="178"/>
        <v>Quality Street</v>
      </c>
      <c r="N2832" s="6" t="str">
        <f t="shared" si="179"/>
        <v>Belgium, France, Germany, Netherlands, Morocco</v>
      </c>
    </row>
    <row r="2833" spans="1:14" x14ac:dyDescent="0.25">
      <c r="A2833" s="6" t="s">
        <v>6653</v>
      </c>
      <c r="B2833" s="6">
        <v>6995</v>
      </c>
      <c r="C2833" s="6" t="s">
        <v>6654</v>
      </c>
      <c r="D2833" s="7" t="s">
        <v>6655</v>
      </c>
      <c r="E2833" s="6" t="s">
        <v>6656</v>
      </c>
      <c r="F2833" s="6" t="s">
        <v>400</v>
      </c>
      <c r="G2833" s="8">
        <v>46014</v>
      </c>
      <c r="H2833" s="6">
        <v>21.8</v>
      </c>
      <c r="I2833" s="6" cm="1">
        <f t="array" ref="I2833">IFERROR(VALUE(TRIM(LEFT(E2833,MIN(FIND({" ";"g";"k";"m";"o"},E2833&amp;" gkmo"))-1))),0)</f>
        <v>282</v>
      </c>
      <c r="J2833" s="6" t="str" cm="1">
        <f t="array" ref="J2833">IFERROR(TRIM(MID(E2833,MIN(FIND({" ";"g";"k";"m";"o"},E2833&amp;" gkmo")),10)),"unknown")</f>
        <v>g (6 x 47</v>
      </c>
      <c r="K2833" s="6" t="str">
        <f t="shared" si="176"/>
        <v>g</v>
      </c>
      <c r="L2833" s="6" t="str">
        <f t="shared" si="177"/>
        <v>Mr Kipling</v>
      </c>
      <c r="M2833" s="6" t="str">
        <f t="shared" si="178"/>
        <v>6 Cherry Bakewells</v>
      </c>
      <c r="N2833" s="6" t="str">
        <f t="shared" si="179"/>
        <v>France,United Kingdom</v>
      </c>
    </row>
    <row r="2834" spans="1:14" x14ac:dyDescent="0.25">
      <c r="A2834" s="6" t="s">
        <v>6657</v>
      </c>
      <c r="B2834" s="6">
        <v>6602</v>
      </c>
      <c r="C2834" s="6" t="s">
        <v>6658</v>
      </c>
      <c r="D2834" s="7" t="s">
        <v>1255</v>
      </c>
      <c r="E2834" s="6" t="s">
        <v>5679</v>
      </c>
      <c r="F2834" s="6" t="s">
        <v>7936</v>
      </c>
      <c r="G2834" s="8">
        <v>45958</v>
      </c>
      <c r="H2834" s="6">
        <v>7.51</v>
      </c>
      <c r="I2834" s="6" cm="1">
        <f t="array" ref="I2834">IFERROR(VALUE(TRIM(LEFT(E2834,MIN(FIND({" ";"g";"k";"m";"o"},E2834&amp;" gkmo"))-1))),0)</f>
        <v>6</v>
      </c>
      <c r="J2834" s="6" t="str" cm="1">
        <f t="array" ref="J2834">IFERROR(TRIM(MID(E2834,MIN(FIND({" ";"g";"k";"m";"o"},E2834&amp;" gkmo")),10)),"unknown")</f>
        <v>x 24 g</v>
      </c>
      <c r="K2834" s="6" t="str">
        <f t="shared" si="176"/>
        <v>g</v>
      </c>
      <c r="L2834" s="6" t="str">
        <f t="shared" si="177"/>
        <v>Kp Snacks</v>
      </c>
      <c r="M2834" s="6" t="str">
        <f t="shared" si="178"/>
        <v>No Artificial Colo No Artificial Flavours No Msg H</v>
      </c>
      <c r="N2834" s="6" t="str">
        <f t="shared" si="179"/>
        <v>France, Ireland, United-Kingdom</v>
      </c>
    </row>
    <row r="2835" spans="1:14" x14ac:dyDescent="0.25">
      <c r="A2835" s="6" t="s">
        <v>6659</v>
      </c>
      <c r="B2835" s="6">
        <v>10173</v>
      </c>
      <c r="C2835" s="6" t="s">
        <v>4831</v>
      </c>
      <c r="D2835" s="7" t="s">
        <v>6660</v>
      </c>
      <c r="E2835" s="6" t="s">
        <v>6661</v>
      </c>
      <c r="F2835" s="6" t="s">
        <v>8411</v>
      </c>
      <c r="G2835" s="8">
        <v>45695</v>
      </c>
      <c r="H2835" s="6">
        <v>7.35</v>
      </c>
      <c r="I2835" s="6" cm="1">
        <f t="array" ref="I2835">IFERROR(VALUE(TRIM(LEFT(E2835,MIN(FIND({" ";"g";"k";"m";"o"},E2835&amp;" gkmo"))-1))),0)</f>
        <v>34</v>
      </c>
      <c r="J2835" s="6" t="str" cm="1">
        <f t="array" ref="J2835">IFERROR(TRIM(MID(E2835,MIN(FIND({" ";"g";"k";"m";"o"},E2835&amp;" gkmo")),10)),"unknown")</f>
        <v>g</v>
      </c>
      <c r="K2835" s="6" t="str">
        <f t="shared" si="176"/>
        <v>g</v>
      </c>
      <c r="L2835" s="6" t="str">
        <f t="shared" si="177"/>
        <v>Walkers Quavers</v>
      </c>
      <c r="M2835" s="6" t="str">
        <f t="shared" si="178"/>
        <v>Cheese Flavour Potato Snacks</v>
      </c>
      <c r="N2835" s="6" t="str">
        <f t="shared" si="179"/>
        <v>France, United Kingdom, Spain</v>
      </c>
    </row>
    <row r="2836" spans="1:14" x14ac:dyDescent="0.25">
      <c r="A2836" s="6" t="s">
        <v>6662</v>
      </c>
      <c r="B2836" s="6">
        <v>9200</v>
      </c>
      <c r="C2836" s="6" t="s">
        <v>7017</v>
      </c>
      <c r="D2836" s="7" t="s">
        <v>6663</v>
      </c>
      <c r="E2836" s="6" t="s">
        <v>160</v>
      </c>
      <c r="F2836" s="6" t="s">
        <v>8191</v>
      </c>
      <c r="G2836" s="8">
        <v>45777</v>
      </c>
      <c r="H2836" s="6">
        <v>13.16</v>
      </c>
      <c r="I2836" s="6" cm="1">
        <f t="array" ref="I2836">IFERROR(VALUE(TRIM(LEFT(E2836,MIN(FIND({" ";"g";"k";"m";"o"},E2836&amp;" gkmo"))-1))),0)</f>
        <v>165</v>
      </c>
      <c r="J2836" s="6" t="str" cm="1">
        <f t="array" ref="J2836">IFERROR(TRIM(MID(E2836,MIN(FIND({" ";"g";"k";"m";"o"},E2836&amp;" gkmo")),10)),"unknown")</f>
        <v>g</v>
      </c>
      <c r="K2836" s="6" t="str">
        <f t="shared" si="176"/>
        <v>g</v>
      </c>
      <c r="L2836" s="6" t="str">
        <f t="shared" si="177"/>
        <v>Pringels</v>
      </c>
      <c r="M2836" s="6" t="str">
        <f t="shared" si="178"/>
        <v>Unknown</v>
      </c>
      <c r="N2836" s="6" t="str">
        <f t="shared" si="179"/>
        <v>Belgium, Morocco, Romania</v>
      </c>
    </row>
    <row r="2837" spans="1:14" x14ac:dyDescent="0.25">
      <c r="A2837" s="6" t="s">
        <v>6664</v>
      </c>
      <c r="B2837" s="6">
        <v>10592</v>
      </c>
      <c r="C2837" s="6" t="s">
        <v>6665</v>
      </c>
      <c r="D2837" s="7" t="s">
        <v>3986</v>
      </c>
      <c r="E2837" s="6" t="s">
        <v>1962</v>
      </c>
      <c r="F2837" s="6" t="s">
        <v>3183</v>
      </c>
      <c r="G2837" s="8">
        <v>45610</v>
      </c>
      <c r="H2837" s="6">
        <v>1.69</v>
      </c>
      <c r="I2837" s="6" cm="1">
        <f t="array" ref="I2837">IFERROR(VALUE(TRIM(LEFT(E2837,MIN(FIND({" ";"g";"k";"m";"o"},E2837&amp;" gkmo"))-1))),0)</f>
        <v>135</v>
      </c>
      <c r="J2837" s="6" t="str" cm="1">
        <f t="array" ref="J2837">IFERROR(TRIM(MID(E2837,MIN(FIND({" ";"g";"k";"m";"o"},E2837&amp;" gkmo")),10)),"unknown")</f>
        <v>g</v>
      </c>
      <c r="K2837" s="6" t="str">
        <f t="shared" si="176"/>
        <v>g</v>
      </c>
      <c r="L2837" s="6" t="str">
        <f t="shared" si="177"/>
        <v>Mister Free'D</v>
      </c>
      <c r="M2837" s="6" t="str">
        <f t="shared" si="178"/>
        <v>Blue Maize Tortilla Chips</v>
      </c>
      <c r="N2837" s="6" t="str">
        <f t="shared" si="179"/>
        <v>France,Germany,United Kingdom</v>
      </c>
    </row>
    <row r="2838" spans="1:14" x14ac:dyDescent="0.25">
      <c r="A2838" s="6" t="s">
        <v>6666</v>
      </c>
      <c r="B2838" s="6">
        <v>11340</v>
      </c>
      <c r="C2838" s="6" t="s">
        <v>6667</v>
      </c>
      <c r="D2838" s="7" t="s">
        <v>5662</v>
      </c>
      <c r="E2838" s="6" t="s">
        <v>1265</v>
      </c>
      <c r="F2838" s="6" t="s">
        <v>8192</v>
      </c>
      <c r="G2838" s="8">
        <v>45898</v>
      </c>
      <c r="H2838" s="6">
        <v>5.38</v>
      </c>
      <c r="I2838" s="6" cm="1">
        <f t="array" ref="I2838">IFERROR(VALUE(TRIM(LEFT(E2838,MIN(FIND({" ";"g";"k";"m";"o"},E2838&amp;" gkmo"))-1))),0)</f>
        <v>185</v>
      </c>
      <c r="J2838" s="6" t="str" cm="1">
        <f t="array" ref="J2838">IFERROR(TRIM(MID(E2838,MIN(FIND({" ";"g";"k";"m";"o"},E2838&amp;" gkmo")),10)),"unknown")</f>
        <v>g</v>
      </c>
      <c r="K2838" s="6" t="str">
        <f t="shared" si="176"/>
        <v>g</v>
      </c>
      <c r="L2838" s="6" t="str">
        <f t="shared" si="177"/>
        <v>7 Days</v>
      </c>
      <c r="M2838" s="6" t="str">
        <f t="shared" si="178"/>
        <v>Mini Croissants</v>
      </c>
      <c r="N2838" s="6" t="str">
        <f t="shared" si="179"/>
        <v>Bulgaria, United Kingdom, Romania</v>
      </c>
    </row>
    <row r="2839" spans="1:14" x14ac:dyDescent="0.25">
      <c r="A2839" s="6" t="s">
        <v>6668</v>
      </c>
      <c r="B2839" s="6">
        <v>8804</v>
      </c>
      <c r="C2839" s="6" t="s">
        <v>6669</v>
      </c>
      <c r="D2839" s="7" t="s">
        <v>7434</v>
      </c>
      <c r="E2839" s="6" t="s">
        <v>6670</v>
      </c>
      <c r="F2839" s="6" t="s">
        <v>139</v>
      </c>
      <c r="G2839" s="8">
        <v>46044</v>
      </c>
      <c r="H2839" s="6">
        <v>21.22</v>
      </c>
      <c r="I2839" s="6" cm="1">
        <f t="array" ref="I2839">IFERROR(VALUE(TRIM(LEFT(E2839,MIN(FIND({" ";"g";"k";"m";"o"},E2839&amp;" gkmo"))-1))),0)</f>
        <v>10</v>
      </c>
      <c r="J2839" s="6" t="str" cm="1">
        <f t="array" ref="J2839">IFERROR(TRIM(MID(E2839,MIN(FIND({" ";"g";"k";"m";"o"},E2839&amp;" gkmo")),10)),"unknown")</f>
        <v>x 42 g</v>
      </c>
      <c r="K2839" s="6" t="str">
        <f t="shared" si="176"/>
        <v>g</v>
      </c>
      <c r="L2839" s="6" t="str">
        <f t="shared" si="177"/>
        <v>Nestlé, Lion</v>
      </c>
      <c r="M2839" s="6" t="str">
        <f t="shared" si="178"/>
        <v>Barres Lion</v>
      </c>
      <c r="N2839" s="6" t="str">
        <f t="shared" si="179"/>
        <v>France</v>
      </c>
    </row>
    <row r="2840" spans="1:14" x14ac:dyDescent="0.25">
      <c r="A2840" s="6" t="s">
        <v>6671</v>
      </c>
      <c r="B2840" s="6">
        <v>5521</v>
      </c>
      <c r="C2840" s="6" t="s">
        <v>6672</v>
      </c>
      <c r="D2840" s="7" t="s">
        <v>7017</v>
      </c>
      <c r="E2840" s="6" t="s">
        <v>10</v>
      </c>
      <c r="F2840" s="6" t="s">
        <v>6673</v>
      </c>
      <c r="G2840" s="8">
        <v>45944</v>
      </c>
      <c r="H2840" s="6">
        <v>20.05</v>
      </c>
      <c r="I2840" s="6" cm="1">
        <f t="array" ref="I2840">IFERROR(VALUE(TRIM(LEFT(E2840,MIN(FIND({" ";"g";"k";"m";"o"},E2840&amp;" gkmo"))-1))),0)</f>
        <v>100</v>
      </c>
      <c r="J2840" s="6" t="str" cm="1">
        <f t="array" ref="J2840">IFERROR(TRIM(MID(E2840,MIN(FIND({" ";"g";"k";"m";"o"},E2840&amp;" gkmo")),10)),"unknown")</f>
        <v>g</v>
      </c>
      <c r="K2840" s="6" t="str">
        <f t="shared" si="176"/>
        <v>g</v>
      </c>
      <c r="L2840" s="6" t="str">
        <f t="shared" si="177"/>
        <v>Unknown</v>
      </c>
      <c r="M2840" s="6" t="str">
        <f t="shared" si="178"/>
        <v>Nestle L'Atelier - Noir 70% - 100G</v>
      </c>
      <c r="N2840" s="6" t="str">
        <f t="shared" si="179"/>
        <v>France,Guyane</v>
      </c>
    </row>
    <row r="2841" spans="1:14" x14ac:dyDescent="0.25">
      <c r="A2841" s="6" t="s">
        <v>6674</v>
      </c>
      <c r="B2841" s="6">
        <v>5726</v>
      </c>
      <c r="C2841" s="6" t="s">
        <v>6675</v>
      </c>
      <c r="D2841" s="7" t="s">
        <v>2538</v>
      </c>
      <c r="E2841" s="6" t="s">
        <v>423</v>
      </c>
      <c r="F2841" s="6" t="s">
        <v>139</v>
      </c>
      <c r="G2841" s="8">
        <v>45906</v>
      </c>
      <c r="H2841" s="6">
        <v>8.25</v>
      </c>
      <c r="I2841" s="6" cm="1">
        <f t="array" ref="I2841">IFERROR(VALUE(TRIM(LEFT(E2841,MIN(FIND({" ";"g";"k";"m";"o"},E2841&amp;" gkmo"))-1))),0)</f>
        <v>125</v>
      </c>
      <c r="J2841" s="6" t="str" cm="1">
        <f t="array" ref="J2841">IFERROR(TRIM(MID(E2841,MIN(FIND({" ";"g";"k";"m";"o"},E2841&amp;" gkmo")),10)),"unknown")</f>
        <v>g</v>
      </c>
      <c r="K2841" s="6" t="str">
        <f t="shared" si="176"/>
        <v>g</v>
      </c>
      <c r="L2841" s="6" t="str">
        <f t="shared" si="177"/>
        <v>Kambly</v>
      </c>
      <c r="M2841" s="6" t="str">
        <f t="shared" si="178"/>
        <v>Florentin 125G - Kambly - 125G</v>
      </c>
      <c r="N2841" s="6" t="str">
        <f t="shared" si="179"/>
        <v>France</v>
      </c>
    </row>
    <row r="2842" spans="1:14" x14ac:dyDescent="0.25">
      <c r="A2842" s="6" t="s">
        <v>6676</v>
      </c>
      <c r="B2842" s="6">
        <v>7584</v>
      </c>
      <c r="C2842" s="6" t="s">
        <v>6677</v>
      </c>
      <c r="D2842" s="7" t="s">
        <v>3949</v>
      </c>
      <c r="E2842" s="6" t="s">
        <v>295</v>
      </c>
      <c r="F2842" s="6" t="s">
        <v>5800</v>
      </c>
      <c r="G2842" s="8">
        <v>45940</v>
      </c>
      <c r="H2842" s="6">
        <v>13.2</v>
      </c>
      <c r="I2842" s="6" cm="1">
        <f t="array" ref="I2842">IFERROR(VALUE(TRIM(LEFT(E2842,MIN(FIND({" ";"g";"k";"m";"o"},E2842&amp;" gkmo"))-1))),0)</f>
        <v>22</v>
      </c>
      <c r="J2842" s="6" t="str" cm="1">
        <f t="array" ref="J2842">IFERROR(TRIM(MID(E2842,MIN(FIND({" ";"g";"k";"m";"o"},E2842&amp;" gkmo")),10)),"unknown")</f>
        <v>g</v>
      </c>
      <c r="K2842" s="6" t="str">
        <f t="shared" si="176"/>
        <v>g</v>
      </c>
      <c r="L2842" s="6" t="str">
        <f t="shared" si="177"/>
        <v>Hollywood</v>
      </c>
      <c r="M2842" s="6" t="str">
        <f t="shared" si="178"/>
        <v>2Fruity Parfum Fraise-Citron Vert</v>
      </c>
      <c r="N2842" s="6" t="str">
        <f t="shared" si="179"/>
        <v>France,Martinique</v>
      </c>
    </row>
    <row r="2843" spans="1:14" x14ac:dyDescent="0.25">
      <c r="A2843" s="6" t="s">
        <v>6678</v>
      </c>
      <c r="B2843" s="6">
        <v>8115</v>
      </c>
      <c r="C2843" s="6" t="s">
        <v>6679</v>
      </c>
      <c r="D2843" s="7" t="s">
        <v>1370</v>
      </c>
      <c r="E2843" s="6" t="s">
        <v>335</v>
      </c>
      <c r="F2843" s="6" t="s">
        <v>400</v>
      </c>
      <c r="G2843" s="8">
        <v>45742</v>
      </c>
      <c r="H2843" s="6">
        <v>13.16</v>
      </c>
      <c r="I2843" s="6" cm="1">
        <f t="array" ref="I2843">IFERROR(VALUE(TRIM(LEFT(E2843,MIN(FIND({" ";"g";"k";"m";"o"},E2843&amp;" gkmo"))-1))),0)</f>
        <v>250</v>
      </c>
      <c r="J2843" s="6" t="str" cm="1">
        <f t="array" ref="J2843">IFERROR(TRIM(MID(E2843,MIN(FIND({" ";"g";"k";"m";"o"},E2843&amp;" gkmo")),10)),"unknown")</f>
        <v>g</v>
      </c>
      <c r="K2843" s="6" t="str">
        <f t="shared" si="176"/>
        <v>g</v>
      </c>
      <c r="L2843" s="6" t="str">
        <f t="shared" si="177"/>
        <v>Belvita</v>
      </c>
      <c r="M2843" s="6" t="str">
        <f t="shared" si="178"/>
        <v>Breakfast Biscuits Soft Bakes Filled Choco Hazelnut</v>
      </c>
      <c r="N2843" s="6" t="str">
        <f t="shared" si="179"/>
        <v>France,United Kingdom</v>
      </c>
    </row>
    <row r="2844" spans="1:14" x14ac:dyDescent="0.25">
      <c r="A2844" s="6" t="s">
        <v>6680</v>
      </c>
      <c r="B2844" s="6">
        <v>12333</v>
      </c>
      <c r="C2844" s="6" t="s">
        <v>7435</v>
      </c>
      <c r="D2844" s="7" t="s">
        <v>6681</v>
      </c>
      <c r="E2844" s="6" t="s">
        <v>335</v>
      </c>
      <c r="F2844" s="6" t="s">
        <v>213</v>
      </c>
      <c r="G2844" s="8">
        <v>45947</v>
      </c>
      <c r="H2844" s="6">
        <v>1.39</v>
      </c>
      <c r="I2844" s="6" cm="1">
        <f t="array" ref="I2844">IFERROR(VALUE(TRIM(LEFT(E2844,MIN(FIND({" ";"g";"k";"m";"o"},E2844&amp;" gkmo"))-1))),0)</f>
        <v>250</v>
      </c>
      <c r="J2844" s="6" t="str" cm="1">
        <f t="array" ref="J2844">IFERROR(TRIM(MID(E2844,MIN(FIND({" ";"g";"k";"m";"o"},E2844&amp;" gkmo")),10)),"unknown")</f>
        <v>g</v>
      </c>
      <c r="K2844" s="6" t="str">
        <f t="shared" si="176"/>
        <v>g</v>
      </c>
      <c r="L2844" s="6" t="str">
        <f t="shared" si="177"/>
        <v>Mondelä“Z, Belvita</v>
      </c>
      <c r="M2844" s="6" t="str">
        <f t="shared" si="178"/>
        <v>Petit Déjeuner Moelleux Coeur Gourmand Fraise</v>
      </c>
      <c r="N2844" s="6" t="str">
        <f t="shared" si="179"/>
        <v>Belgium,France</v>
      </c>
    </row>
    <row r="2845" spans="1:14" x14ac:dyDescent="0.25">
      <c r="A2845" s="6" t="s">
        <v>6682</v>
      </c>
      <c r="B2845" s="6">
        <v>6577</v>
      </c>
      <c r="C2845" s="6" t="s">
        <v>6683</v>
      </c>
      <c r="D2845" s="7" t="s">
        <v>6684</v>
      </c>
      <c r="E2845" s="6" t="s">
        <v>436</v>
      </c>
      <c r="F2845" s="6" t="s">
        <v>7595</v>
      </c>
      <c r="G2845" s="8">
        <v>46011</v>
      </c>
      <c r="H2845" s="6">
        <v>4.37</v>
      </c>
      <c r="I2845" s="6" cm="1">
        <f t="array" ref="I2845">IFERROR(VALUE(TRIM(LEFT(E2845,MIN(FIND({" ";"g";"k";"m";"o"},E2845&amp;" gkmo"))-1))),0)</f>
        <v>90</v>
      </c>
      <c r="J2845" s="6" t="str" cm="1">
        <f t="array" ref="J2845">IFERROR(TRIM(MID(E2845,MIN(FIND({" ";"g";"k";"m";"o"},E2845&amp;" gkmo")),10)),"unknown")</f>
        <v>g</v>
      </c>
      <c r="K2845" s="6" t="str">
        <f t="shared" si="176"/>
        <v>g</v>
      </c>
      <c r="L2845" s="6" t="str">
        <f t="shared" si="177"/>
        <v>Suchard,Mondelez</v>
      </c>
      <c r="M2845" s="6" t="str">
        <f t="shared" si="178"/>
        <v>Fino 85% Negro</v>
      </c>
      <c r="N2845" s="6" t="str">
        <f t="shared" si="179"/>
        <v>Espaà±A</v>
      </c>
    </row>
    <row r="2846" spans="1:14" x14ac:dyDescent="0.25">
      <c r="A2846" s="6" t="s">
        <v>6685</v>
      </c>
      <c r="B2846" s="6">
        <v>13339</v>
      </c>
      <c r="C2846" s="6" t="s">
        <v>6686</v>
      </c>
      <c r="D2846" s="7" t="s">
        <v>6687</v>
      </c>
      <c r="E2846" s="6" t="s">
        <v>1706</v>
      </c>
      <c r="F2846" s="6" t="s">
        <v>113</v>
      </c>
      <c r="G2846" s="8">
        <v>45397</v>
      </c>
      <c r="H2846" s="6">
        <v>16.2</v>
      </c>
      <c r="I2846" s="6" cm="1">
        <f t="array" ref="I2846">IFERROR(VALUE(TRIM(LEFT(E2846,MIN(FIND({" ";"g";"k";"m";"o"},E2846&amp;" gkmo"))-1))),0)</f>
        <v>245</v>
      </c>
      <c r="J2846" s="6" t="str" cm="1">
        <f t="array" ref="J2846">IFERROR(TRIM(MID(E2846,MIN(FIND({" ";"g";"k";"m";"o"},E2846&amp;" gkmo")),10)),"unknown")</f>
        <v>g</v>
      </c>
      <c r="K2846" s="6" t="str">
        <f t="shared" si="176"/>
        <v>g</v>
      </c>
      <c r="L2846" s="6" t="str">
        <f t="shared" si="177"/>
        <v>Bauli, Doria</v>
      </c>
      <c r="M2846" s="6" t="str">
        <f t="shared" si="178"/>
        <v>Semplicissimi Cereali Riso Nero 1 Porzione 31G.</v>
      </c>
      <c r="N2846" s="6" t="str">
        <f t="shared" si="179"/>
        <v>Italia</v>
      </c>
    </row>
    <row r="2847" spans="1:14" x14ac:dyDescent="0.25">
      <c r="A2847" s="6" t="s">
        <v>6688</v>
      </c>
      <c r="B2847" s="6">
        <v>6654</v>
      </c>
      <c r="C2847" s="6" t="s">
        <v>6689</v>
      </c>
      <c r="D2847" s="7" t="s">
        <v>1542</v>
      </c>
      <c r="E2847" s="6" t="s">
        <v>284</v>
      </c>
      <c r="F2847" s="6" t="s">
        <v>8193</v>
      </c>
      <c r="G2847" s="8">
        <v>46007</v>
      </c>
      <c r="H2847" s="6">
        <v>13.16</v>
      </c>
      <c r="I2847" s="6" cm="1">
        <f t="array" ref="I2847">IFERROR(VALUE(TRIM(LEFT(E2847,MIN(FIND({" ";"g";"k";"m";"o"},E2847&amp;" gkmo"))-1))),0)</f>
        <v>180</v>
      </c>
      <c r="J2847" s="6" t="str" cm="1">
        <f t="array" ref="J2847">IFERROR(TRIM(MID(E2847,MIN(FIND({" ";"g";"k";"m";"o"},E2847&amp;" gkmo")),10)),"unknown")</f>
        <v>g</v>
      </c>
      <c r="K2847" s="6" t="str">
        <f t="shared" si="176"/>
        <v>g</v>
      </c>
      <c r="L2847" s="6" t="str">
        <f t="shared" si="177"/>
        <v>Balconi</v>
      </c>
      <c r="M2847" s="6" t="str">
        <f t="shared" si="178"/>
        <v>Mini Rolls Chocolate</v>
      </c>
      <c r="N2847" s="6" t="str">
        <f t="shared" si="179"/>
        <v>Mexico, Morocco</v>
      </c>
    </row>
    <row r="2848" spans="1:14" x14ac:dyDescent="0.25">
      <c r="A2848" s="6" t="s">
        <v>6690</v>
      </c>
      <c r="B2848" s="6">
        <v>9581</v>
      </c>
      <c r="C2848" s="6" t="s">
        <v>6691</v>
      </c>
      <c r="D2848" s="7" t="s">
        <v>6692</v>
      </c>
      <c r="E2848" s="6" t="s">
        <v>6406</v>
      </c>
      <c r="F2848" s="6" t="s">
        <v>139</v>
      </c>
      <c r="G2848" s="8">
        <v>45472</v>
      </c>
      <c r="H2848" s="6">
        <v>13.65</v>
      </c>
      <c r="I2848" s="6" cm="1">
        <f t="array" ref="I2848">IFERROR(VALUE(TRIM(LEFT(E2848,MIN(FIND({" ";"g";"k";"m";"o"},E2848&amp;" gkmo"))-1))),0)</f>
        <v>900</v>
      </c>
      <c r="J2848" s="6" t="str" cm="1">
        <f t="array" ref="J2848">IFERROR(TRIM(MID(E2848,MIN(FIND({" ";"g";"k";"m";"o"},E2848&amp;" gkmo")),10)),"unknown")</f>
        <v>g</v>
      </c>
      <c r="K2848" s="6" t="str">
        <f t="shared" si="176"/>
        <v>g</v>
      </c>
      <c r="L2848" s="6" t="str">
        <f t="shared" si="177"/>
        <v>Grand Frais, Pasticceria Dei Fiori, Valentino</v>
      </c>
      <c r="M2848" s="6" t="str">
        <f t="shared" si="178"/>
        <v>Panettone</v>
      </c>
      <c r="N2848" s="6" t="str">
        <f t="shared" si="179"/>
        <v>France</v>
      </c>
    </row>
    <row r="2849" spans="1:14" x14ac:dyDescent="0.25">
      <c r="A2849" s="6" t="s">
        <v>6693</v>
      </c>
      <c r="B2849" s="6">
        <v>12823</v>
      </c>
      <c r="C2849" s="6" t="s">
        <v>6694</v>
      </c>
      <c r="D2849" s="7" t="s">
        <v>6695</v>
      </c>
      <c r="E2849" s="6"/>
      <c r="F2849" s="6" t="s">
        <v>8194</v>
      </c>
      <c r="G2849" s="8">
        <v>46002</v>
      </c>
      <c r="H2849" s="6">
        <v>17.52</v>
      </c>
      <c r="I2849" s="6" cm="1">
        <f t="array" ref="I2849">IFERROR(VALUE(TRIM(LEFT(E2849,MIN(FIND({" ";"g";"k";"m";"o"},E2849&amp;" gkmo"))-1))),0)</f>
        <v>0</v>
      </c>
      <c r="J2849" s="6" t="str" cm="1">
        <f t="array" ref="J2849">IFERROR(TRIM(MID(E2849,MIN(FIND({" ";"g";"k";"m";"o"},E2849&amp;" gkmo")),10)),"unknown")</f>
        <v/>
      </c>
      <c r="K2849" s="6" t="str">
        <f t="shared" si="176"/>
        <v>unknown</v>
      </c>
      <c r="L2849" s="6" t="str">
        <f t="shared" si="177"/>
        <v>Vitavigor, Vita Vigor</v>
      </c>
      <c r="M2849" s="6" t="str">
        <f t="shared" si="178"/>
        <v>Grissini Nature Vita Vigor</v>
      </c>
      <c r="N2849" s="6" t="str">
        <f t="shared" si="179"/>
        <v>Australie,France,Japon,France</v>
      </c>
    </row>
    <row r="2850" spans="1:14" x14ac:dyDescent="0.25">
      <c r="A2850" s="6" t="s">
        <v>6696</v>
      </c>
      <c r="B2850" s="6">
        <v>11998</v>
      </c>
      <c r="C2850" s="6" t="s">
        <v>6697</v>
      </c>
      <c r="D2850" s="7" t="s">
        <v>6698</v>
      </c>
      <c r="E2850" s="6" t="s">
        <v>2544</v>
      </c>
      <c r="F2850" s="6" t="s">
        <v>8226</v>
      </c>
      <c r="G2850" s="8">
        <v>46022</v>
      </c>
      <c r="H2850" s="6">
        <v>16.309999999999999</v>
      </c>
      <c r="I2850" s="6" cm="1">
        <f t="array" ref="I2850">IFERROR(VALUE(TRIM(LEFT(E2850,MIN(FIND({" ";"g";"k";"m";"o"},E2850&amp;" gkmo"))-1))),0)</f>
        <v>700</v>
      </c>
      <c r="J2850" s="6" t="str" cm="1">
        <f t="array" ref="J2850">IFERROR(TRIM(MID(E2850,MIN(FIND({" ";"g";"k";"m";"o"},E2850&amp;" gkmo")),10)),"unknown")</f>
        <v>g</v>
      </c>
      <c r="K2850" s="6" t="str">
        <f t="shared" si="176"/>
        <v>g</v>
      </c>
      <c r="L2850" s="6" t="str">
        <f t="shared" si="177"/>
        <v>Dolciando, Eurospin</v>
      </c>
      <c r="M2850" s="6" t="str">
        <f t="shared" si="178"/>
        <v>Frollini Con Gocce Di Cioccolato</v>
      </c>
      <c r="N2850" s="6" t="str">
        <f t="shared" si="179"/>
        <v>France,Italia</v>
      </c>
    </row>
    <row r="2851" spans="1:14" x14ac:dyDescent="0.25">
      <c r="A2851" s="6" t="s">
        <v>6699</v>
      </c>
      <c r="B2851" s="6">
        <v>14538</v>
      </c>
      <c r="C2851" s="6" t="s">
        <v>6700</v>
      </c>
      <c r="D2851" s="7" t="s">
        <v>1172</v>
      </c>
      <c r="E2851" s="6"/>
      <c r="F2851" s="6" t="s">
        <v>5123</v>
      </c>
      <c r="G2851" s="8">
        <v>45697</v>
      </c>
      <c r="H2851" s="6">
        <v>6.55</v>
      </c>
      <c r="I2851" s="6" cm="1">
        <f t="array" ref="I2851">IFERROR(VALUE(TRIM(LEFT(E2851,MIN(FIND({" ";"g";"k";"m";"o"},E2851&amp;" gkmo"))-1))),0)</f>
        <v>0</v>
      </c>
      <c r="J2851" s="6" t="str" cm="1">
        <f t="array" ref="J2851">IFERROR(TRIM(MID(E2851,MIN(FIND({" ";"g";"k";"m";"o"},E2851&amp;" gkmo")),10)),"unknown")</f>
        <v/>
      </c>
      <c r="K2851" s="6" t="str">
        <f t="shared" si="176"/>
        <v>unknown</v>
      </c>
      <c r="L2851" s="6" t="str">
        <f t="shared" si="177"/>
        <v>Barilla, Mulino Bianco</v>
      </c>
      <c r="M2851" s="6" t="str">
        <f t="shared" si="178"/>
        <v>Campagnole Con Farina Di Riso</v>
      </c>
      <c r="N2851" s="6" t="str">
        <f t="shared" si="179"/>
        <v>France,Italy,Switzerland</v>
      </c>
    </row>
    <row r="2852" spans="1:14" x14ac:dyDescent="0.25">
      <c r="A2852" s="6" t="s">
        <v>6701</v>
      </c>
      <c r="B2852" s="6">
        <v>7181</v>
      </c>
      <c r="C2852" s="6" t="s">
        <v>6702</v>
      </c>
      <c r="D2852" s="7" t="s">
        <v>6703</v>
      </c>
      <c r="E2852" s="6" t="s">
        <v>106</v>
      </c>
      <c r="F2852" s="6" t="s">
        <v>6704</v>
      </c>
      <c r="G2852" s="8">
        <v>45641</v>
      </c>
      <c r="H2852" s="6">
        <v>17.73</v>
      </c>
      <c r="I2852" s="6" cm="1">
        <f t="array" ref="I2852">IFERROR(VALUE(TRIM(LEFT(E2852,MIN(FIND({" ";"g";"k";"m";"o"},E2852&amp;" gkmo"))-1))),0)</f>
        <v>20</v>
      </c>
      <c r="J2852" s="6" t="str" cm="1">
        <f t="array" ref="J2852">IFERROR(TRIM(MID(E2852,MIN(FIND({" ";"g";"k";"m";"o"},E2852&amp;" gkmo")),10)),"unknown")</f>
        <v>g</v>
      </c>
      <c r="K2852" s="6" t="str">
        <f t="shared" si="176"/>
        <v>g</v>
      </c>
      <c r="L2852" s="6" t="str">
        <f t="shared" si="177"/>
        <v>Kinder, À¸„À¸´À¸™À¹€À¸”À¸­À¸£À¹Œ</v>
      </c>
      <c r="M2852" s="6" t="str">
        <f t="shared" si="178"/>
        <v>Kinder Joy Boy</v>
      </c>
      <c r="N2852" s="6" t="str">
        <f t="shared" si="179"/>
        <v>China, Frankreich, Marokko, Spanien, Thailand, Germany</v>
      </c>
    </row>
    <row r="2853" spans="1:14" x14ac:dyDescent="0.25">
      <c r="A2853" s="6" t="s">
        <v>6705</v>
      </c>
      <c r="B2853" s="6">
        <v>11647</v>
      </c>
      <c r="C2853" s="6" t="s">
        <v>6706</v>
      </c>
      <c r="D2853" s="7" t="s">
        <v>6707</v>
      </c>
      <c r="E2853" s="6" t="s">
        <v>6708</v>
      </c>
      <c r="F2853" s="6" t="s">
        <v>8219</v>
      </c>
      <c r="G2853" s="8">
        <v>45418</v>
      </c>
      <c r="H2853" s="6">
        <v>8.32</v>
      </c>
      <c r="I2853" s="6" cm="1">
        <f t="array" ref="I2853">IFERROR(VALUE(TRIM(LEFT(E2853,MIN(FIND({" ";"g";"k";"m";"o"},E2853&amp;" gkmo"))-1))),0)</f>
        <v>3</v>
      </c>
      <c r="J2853" s="6" t="str" cm="1">
        <f t="array" ref="J2853">IFERROR(TRIM(MID(E2853,MIN(FIND({" ";"g";"k";"m";"o"},E2853&amp;" gkmo")),10)),"unknown")</f>
        <v>x 133 g</v>
      </c>
      <c r="K2853" s="6" t="str">
        <f t="shared" si="176"/>
        <v>g</v>
      </c>
      <c r="L2853" s="6" t="str">
        <f t="shared" si="177"/>
        <v>Rio</v>
      </c>
      <c r="M2853" s="6" t="str">
        <f t="shared" si="178"/>
        <v>Petit</v>
      </c>
      <c r="N2853" s="6" t="str">
        <f t="shared" si="179"/>
        <v>France,Marruecos,Espaà±A</v>
      </c>
    </row>
    <row r="2854" spans="1:14" x14ac:dyDescent="0.25">
      <c r="A2854" s="6" t="s">
        <v>6709</v>
      </c>
      <c r="B2854" s="6">
        <v>13019</v>
      </c>
      <c r="C2854" s="6" t="s">
        <v>7883</v>
      </c>
      <c r="D2854" s="7" t="s">
        <v>7017</v>
      </c>
      <c r="E2854" s="6" t="s">
        <v>39</v>
      </c>
      <c r="F2854" s="6" t="s">
        <v>1185</v>
      </c>
      <c r="G2854" s="8">
        <v>45910</v>
      </c>
      <c r="H2854" s="6">
        <v>18.97</v>
      </c>
      <c r="I2854" s="6" cm="1">
        <f t="array" ref="I2854">IFERROR(VALUE(TRIM(LEFT(E2854,MIN(FIND({" ";"g";"k";"m";"o"},E2854&amp;" gkmo"))-1))),0)</f>
        <v>150</v>
      </c>
      <c r="J2854" s="6" t="str" cm="1">
        <f t="array" ref="J2854">IFERROR(TRIM(MID(E2854,MIN(FIND({" ";"g";"k";"m";"o"},E2854&amp;" gkmo")),10)),"unknown")</f>
        <v>g</v>
      </c>
      <c r="K2854" s="6" t="str">
        <f t="shared" si="176"/>
        <v>g</v>
      </c>
      <c r="L2854" s="6" t="str">
        <f t="shared" si="177"/>
        <v>Unknown</v>
      </c>
      <c r="M2854" s="6" t="str">
        <f t="shared" si="178"/>
        <v>Chocolate Puro Con Almendras Enteras 0% Azàºcares Aà±Adidos</v>
      </c>
      <c r="N2854" s="6" t="str">
        <f t="shared" si="179"/>
        <v>Spain</v>
      </c>
    </row>
    <row r="2855" spans="1:14" x14ac:dyDescent="0.25">
      <c r="A2855" s="6" t="s">
        <v>6710</v>
      </c>
      <c r="B2855" s="6">
        <v>8262</v>
      </c>
      <c r="C2855" s="6" t="s">
        <v>6711</v>
      </c>
      <c r="D2855" s="7" t="s">
        <v>7578</v>
      </c>
      <c r="E2855" s="6"/>
      <c r="F2855" s="6" t="s">
        <v>8231</v>
      </c>
      <c r="G2855" s="8">
        <v>45850</v>
      </c>
      <c r="H2855" s="6">
        <v>7.36</v>
      </c>
      <c r="I2855" s="6" cm="1">
        <f t="array" ref="I2855">IFERROR(VALUE(TRIM(LEFT(E2855,MIN(FIND({" ";"g";"k";"m";"o"},E2855&amp;" gkmo"))-1))),0)</f>
        <v>0</v>
      </c>
      <c r="J2855" s="6" t="str" cm="1">
        <f t="array" ref="J2855">IFERROR(TRIM(MID(E2855,MIN(FIND({" ";"g";"k";"m";"o"},E2855&amp;" gkmo")),10)),"unknown")</f>
        <v/>
      </c>
      <c r="K2855" s="6" t="str">
        <f t="shared" si="176"/>
        <v>unknown</v>
      </c>
      <c r="L2855" s="6" t="str">
        <f t="shared" si="177"/>
        <v>Gullà³N</v>
      </c>
      <c r="M2855" s="6" t="str">
        <f t="shared" si="178"/>
        <v>Gullon Maria Doroda</v>
      </c>
      <c r="N2855" s="6" t="str">
        <f t="shared" si="179"/>
        <v>France,Espaà±A</v>
      </c>
    </row>
    <row r="2856" spans="1:14" x14ac:dyDescent="0.25">
      <c r="A2856" s="6" t="s">
        <v>6712</v>
      </c>
      <c r="B2856" s="6">
        <v>8689</v>
      </c>
      <c r="C2856" s="6" t="s">
        <v>6713</v>
      </c>
      <c r="D2856" s="7" t="s">
        <v>6714</v>
      </c>
      <c r="E2856" s="6" t="s">
        <v>151</v>
      </c>
      <c r="F2856" s="6" t="s">
        <v>8219</v>
      </c>
      <c r="G2856" s="8">
        <v>45461</v>
      </c>
      <c r="H2856" s="6">
        <v>21.29</v>
      </c>
      <c r="I2856" s="6" cm="1">
        <f t="array" ref="I2856">IFERROR(VALUE(TRIM(LEFT(E2856,MIN(FIND({" ";"g";"k";"m";"o"},E2856&amp;" gkmo"))-1))),0)</f>
        <v>200</v>
      </c>
      <c r="J2856" s="6" t="str" cm="1">
        <f t="array" ref="J2856">IFERROR(TRIM(MID(E2856,MIN(FIND({" ";"g";"k";"m";"o"},E2856&amp;" gkmo")),10)),"unknown")</f>
        <v>g</v>
      </c>
      <c r="K2856" s="6" t="str">
        <f t="shared" si="176"/>
        <v>g</v>
      </c>
      <c r="L2856" s="6" t="str">
        <f t="shared" si="177"/>
        <v>Zanuy,Liven</v>
      </c>
      <c r="M2856" s="6" t="str">
        <f t="shared" si="178"/>
        <v>Tortilla Chips Nachos</v>
      </c>
      <c r="N2856" s="6" t="str">
        <f t="shared" si="179"/>
        <v>France,Marruecos,Espaà±A</v>
      </c>
    </row>
    <row r="2857" spans="1:14" x14ac:dyDescent="0.25">
      <c r="A2857" s="6" t="s">
        <v>6715</v>
      </c>
      <c r="B2857" s="6">
        <v>8835</v>
      </c>
      <c r="C2857" s="6" t="s">
        <v>6716</v>
      </c>
      <c r="D2857" s="7" t="s">
        <v>452</v>
      </c>
      <c r="E2857" s="6" t="s">
        <v>335</v>
      </c>
      <c r="F2857" s="6" t="s">
        <v>1185</v>
      </c>
      <c r="G2857" s="8">
        <v>45616</v>
      </c>
      <c r="H2857" s="6">
        <v>14.05</v>
      </c>
      <c r="I2857" s="6" cm="1">
        <f t="array" ref="I2857">IFERROR(VALUE(TRIM(LEFT(E2857,MIN(FIND({" ";"g";"k";"m";"o"},E2857&amp;" gkmo"))-1))),0)</f>
        <v>250</v>
      </c>
      <c r="J2857" s="6" t="str" cm="1">
        <f t="array" ref="J2857">IFERROR(TRIM(MID(E2857,MIN(FIND({" ";"g";"k";"m";"o"},E2857&amp;" gkmo")),10)),"unknown")</f>
        <v>g</v>
      </c>
      <c r="K2857" s="6" t="str">
        <f t="shared" si="176"/>
        <v>g</v>
      </c>
      <c r="L2857" s="6" t="str">
        <f t="shared" si="177"/>
        <v>Hacendado</v>
      </c>
      <c r="M2857" s="6" t="str">
        <f t="shared" si="178"/>
        <v>Cocktail Rodeo</v>
      </c>
      <c r="N2857" s="6" t="str">
        <f t="shared" si="179"/>
        <v>Spain</v>
      </c>
    </row>
    <row r="2858" spans="1:14" x14ac:dyDescent="0.25">
      <c r="A2858" s="6" t="s">
        <v>6717</v>
      </c>
      <c r="B2858" s="6">
        <v>8033</v>
      </c>
      <c r="C2858" s="6" t="s">
        <v>6718</v>
      </c>
      <c r="D2858" s="7" t="s">
        <v>7033</v>
      </c>
      <c r="E2858" s="6" t="s">
        <v>727</v>
      </c>
      <c r="F2858" s="6" t="s">
        <v>6719</v>
      </c>
      <c r="G2858" s="8">
        <v>45900</v>
      </c>
      <c r="H2858" s="6">
        <v>13.16</v>
      </c>
      <c r="I2858" s="6" cm="1">
        <f t="array" ref="I2858">IFERROR(VALUE(TRIM(LEFT(E2858,MIN(FIND({" ";"g";"k";"m";"o"},E2858&amp;" gkmo"))-1))),0)</f>
        <v>25</v>
      </c>
      <c r="J2858" s="6" t="str" cm="1">
        <f t="array" ref="J2858">IFERROR(TRIM(MID(E2858,MIN(FIND({" ";"g";"k";"m";"o"},E2858&amp;" gkmo")),10)),"unknown")</f>
        <v>g</v>
      </c>
      <c r="K2858" s="6" t="str">
        <f t="shared" si="176"/>
        <v>g</v>
      </c>
      <c r="L2858" s="6" t="str">
        <f t="shared" si="177"/>
        <v>Nestlé</v>
      </c>
      <c r="M2858" s="6" t="str">
        <f t="shared" si="178"/>
        <v>Nesquik Cereal Riegel, Schoko</v>
      </c>
      <c r="N2858" s="6" t="str">
        <f t="shared" si="179"/>
        <v>France,Romania</v>
      </c>
    </row>
    <row r="2859" spans="1:14" x14ac:dyDescent="0.25">
      <c r="A2859" s="6" t="s">
        <v>6720</v>
      </c>
      <c r="B2859" s="6">
        <v>6767</v>
      </c>
      <c r="C2859" s="6" t="s">
        <v>7436</v>
      </c>
      <c r="D2859" s="7" t="s">
        <v>6721</v>
      </c>
      <c r="E2859" s="6" t="s">
        <v>151</v>
      </c>
      <c r="F2859" s="6" t="s">
        <v>139</v>
      </c>
      <c r="G2859" s="8">
        <v>45757</v>
      </c>
      <c r="H2859" s="6">
        <v>1.3</v>
      </c>
      <c r="I2859" s="6" cm="1">
        <f t="array" ref="I2859">IFERROR(VALUE(TRIM(LEFT(E2859,MIN(FIND({" ";"g";"k";"m";"o"},E2859&amp;" gkmo"))-1))),0)</f>
        <v>200</v>
      </c>
      <c r="J2859" s="6" t="str" cm="1">
        <f t="array" ref="J2859">IFERROR(TRIM(MID(E2859,MIN(FIND({" ";"g";"k";"m";"o"},E2859&amp;" gkmo")),10)),"unknown")</f>
        <v>g</v>
      </c>
      <c r="K2859" s="6" t="str">
        <f t="shared" si="176"/>
        <v>g</v>
      </c>
      <c r="L2859" s="6" t="str">
        <f t="shared" si="177"/>
        <v>Tastino - Lidl</v>
      </c>
      <c r="M2859" s="6" t="str">
        <f t="shared" si="178"/>
        <v>Crackers Protéiné</v>
      </c>
      <c r="N2859" s="6" t="str">
        <f t="shared" si="179"/>
        <v>France</v>
      </c>
    </row>
    <row r="2860" spans="1:14" x14ac:dyDescent="0.25">
      <c r="A2860" s="6" t="s">
        <v>6722</v>
      </c>
      <c r="B2860" s="6">
        <v>5323</v>
      </c>
      <c r="C2860" s="6" t="s">
        <v>286</v>
      </c>
      <c r="D2860" s="7" t="s">
        <v>287</v>
      </c>
      <c r="E2860" s="6" t="s">
        <v>2065</v>
      </c>
      <c r="F2860" s="6" t="s">
        <v>8245</v>
      </c>
      <c r="G2860" s="8">
        <v>45499</v>
      </c>
      <c r="H2860" s="6">
        <v>12.68</v>
      </c>
      <c r="I2860" s="6" cm="1">
        <f t="array" ref="I2860">IFERROR(VALUE(TRIM(LEFT(E2860,MIN(FIND({" ";"g";"k";"m";"o"},E2860&amp;" gkmo"))-1))),0)</f>
        <v>30</v>
      </c>
      <c r="J2860" s="6" t="str" cm="1">
        <f t="array" ref="J2860">IFERROR(TRIM(MID(E2860,MIN(FIND({" ";"g";"k";"m";"o"},E2860&amp;" gkmo")),10)),"unknown")</f>
        <v>g</v>
      </c>
      <c r="K2860" s="6" t="str">
        <f t="shared" si="176"/>
        <v>g</v>
      </c>
      <c r="L2860" s="6" t="str">
        <f t="shared" si="177"/>
        <v>Ferrero</v>
      </c>
      <c r="M2860" s="6" t="str">
        <f t="shared" si="178"/>
        <v>Raffaello</v>
      </c>
      <c r="N2860" s="6" t="str">
        <f t="shared" si="179"/>
        <v>France,Marruecos</v>
      </c>
    </row>
    <row r="2861" spans="1:14" x14ac:dyDescent="0.25">
      <c r="A2861" s="6" t="s">
        <v>6723</v>
      </c>
      <c r="B2861" s="6">
        <v>13400</v>
      </c>
      <c r="C2861" s="6" t="s">
        <v>6724</v>
      </c>
      <c r="D2861" s="7" t="s">
        <v>7017</v>
      </c>
      <c r="E2861" s="6" t="s">
        <v>228</v>
      </c>
      <c r="F2861" s="6" t="s">
        <v>113</v>
      </c>
      <c r="G2861" s="8">
        <v>46016</v>
      </c>
      <c r="H2861" s="6">
        <v>22.36</v>
      </c>
      <c r="I2861" s="6" cm="1">
        <f t="array" ref="I2861">IFERROR(VALUE(TRIM(LEFT(E2861,MIN(FIND({" ";"g";"k";"m";"o"},E2861&amp;" gkmo"))-1))),0)</f>
        <v>350</v>
      </c>
      <c r="J2861" s="6" t="str" cm="1">
        <f t="array" ref="J2861">IFERROR(TRIM(MID(E2861,MIN(FIND({" ";"g";"k";"m";"o"},E2861&amp;" gkmo")),10)),"unknown")</f>
        <v>g</v>
      </c>
      <c r="K2861" s="6" t="str">
        <f t="shared" si="176"/>
        <v>g</v>
      </c>
      <c r="L2861" s="6" t="str">
        <f t="shared" si="177"/>
        <v>Unknown</v>
      </c>
      <c r="M2861" s="6" t="str">
        <f t="shared" si="178"/>
        <v>Biscuit Novellino Lait Et Miel</v>
      </c>
      <c r="N2861" s="6" t="str">
        <f t="shared" si="179"/>
        <v>Italia</v>
      </c>
    </row>
    <row r="2862" spans="1:14" x14ac:dyDescent="0.25">
      <c r="A2862" s="6" t="s">
        <v>6725</v>
      </c>
      <c r="B2862" s="6">
        <v>11053</v>
      </c>
      <c r="C2862" s="6" t="s">
        <v>3473</v>
      </c>
      <c r="D2862" s="7" t="s">
        <v>310</v>
      </c>
      <c r="E2862" s="6" t="s">
        <v>4784</v>
      </c>
      <c r="F2862" s="6" t="s">
        <v>139</v>
      </c>
      <c r="G2862" s="8">
        <v>45454</v>
      </c>
      <c r="H2862" s="6">
        <v>20.95</v>
      </c>
      <c r="I2862" s="6" cm="1">
        <f t="array" ref="I2862">IFERROR(VALUE(TRIM(LEFT(E2862,MIN(FIND({" ";"g";"k";"m";"o"},E2862&amp;" gkmo"))-1))),0)</f>
        <v>800</v>
      </c>
      <c r="J2862" s="6" t="str" cm="1">
        <f t="array" ref="J2862">IFERROR(TRIM(MID(E2862,MIN(FIND({" ";"g";"k";"m";"o"},E2862&amp;" gkmo")),10)),"unknown")</f>
        <v>g</v>
      </c>
      <c r="K2862" s="6" t="str">
        <f t="shared" si="176"/>
        <v>g</v>
      </c>
      <c r="L2862" s="6" t="str">
        <f t="shared" si="177"/>
        <v>St Michel</v>
      </c>
      <c r="M2862" s="6" t="str">
        <f t="shared" si="178"/>
        <v>Madeleines</v>
      </c>
      <c r="N2862" s="6" t="str">
        <f t="shared" si="179"/>
        <v>France</v>
      </c>
    </row>
    <row r="2863" spans="1:14" x14ac:dyDescent="0.25">
      <c r="A2863" s="6" t="s">
        <v>6726</v>
      </c>
      <c r="B2863" s="6">
        <v>9856</v>
      </c>
      <c r="C2863" s="6" t="s">
        <v>6727</v>
      </c>
      <c r="D2863" s="7" t="s">
        <v>6728</v>
      </c>
      <c r="E2863" s="6" t="s">
        <v>64</v>
      </c>
      <c r="F2863" s="6" t="s">
        <v>177</v>
      </c>
      <c r="G2863" s="8">
        <v>45920</v>
      </c>
      <c r="H2863" s="6">
        <v>24.29</v>
      </c>
      <c r="I2863" s="6" cm="1">
        <f t="array" ref="I2863">IFERROR(VALUE(TRIM(LEFT(E2863,MIN(FIND({" ";"g";"k";"m";"o"},E2863&amp;" gkmo"))-1))),0)</f>
        <v>150</v>
      </c>
      <c r="J2863" s="6" t="str" cm="1">
        <f t="array" ref="J2863">IFERROR(TRIM(MID(E2863,MIN(FIND({" ";"g";"k";"m";"o"},E2863&amp;" gkmo")),10)),"unknown")</f>
        <v>g</v>
      </c>
      <c r="K2863" s="6" t="str">
        <f t="shared" si="176"/>
        <v>g</v>
      </c>
      <c r="L2863" s="6" t="str">
        <f t="shared" si="177"/>
        <v>Marks &amp; Spencer,Mcvities</v>
      </c>
      <c r="M2863" s="6" t="str">
        <f t="shared" si="178"/>
        <v>Salted Giant Pretzel</v>
      </c>
      <c r="N2863" s="6" t="str">
        <f t="shared" si="179"/>
        <v>United Kingdom</v>
      </c>
    </row>
    <row r="2864" spans="1:14" x14ac:dyDescent="0.25">
      <c r="A2864" s="6" t="s">
        <v>6729</v>
      </c>
      <c r="B2864" s="6">
        <v>6889</v>
      </c>
      <c r="C2864" s="6" t="s">
        <v>6730</v>
      </c>
      <c r="D2864" s="7" t="s">
        <v>452</v>
      </c>
      <c r="E2864" s="6" t="s">
        <v>151</v>
      </c>
      <c r="F2864" s="6" t="s">
        <v>8195</v>
      </c>
      <c r="G2864" s="8">
        <v>45376</v>
      </c>
      <c r="H2864" s="6">
        <v>22.06</v>
      </c>
      <c r="I2864" s="6" cm="1">
        <f t="array" ref="I2864">IFERROR(VALUE(TRIM(LEFT(E2864,MIN(FIND({" ";"g";"k";"m";"o"},E2864&amp;" gkmo"))-1))),0)</f>
        <v>200</v>
      </c>
      <c r="J2864" s="6" t="str" cm="1">
        <f t="array" ref="J2864">IFERROR(TRIM(MID(E2864,MIN(FIND({" ";"g";"k";"m";"o"},E2864&amp;" gkmo")),10)),"unknown")</f>
        <v>g</v>
      </c>
      <c r="K2864" s="6" t="str">
        <f t="shared" si="176"/>
        <v>g</v>
      </c>
      <c r="L2864" s="6" t="str">
        <f t="shared" si="177"/>
        <v>Hacendado</v>
      </c>
      <c r="M2864" s="6" t="str">
        <f t="shared" si="178"/>
        <v>Chocolate Negro 72% Cacao Con Almendras Enteras</v>
      </c>
      <c r="N2864" s="6" t="str">
        <f t="shared" si="179"/>
        <v>Spain, United-States</v>
      </c>
    </row>
    <row r="2865" spans="1:14" x14ac:dyDescent="0.25">
      <c r="A2865" s="6" t="s">
        <v>6731</v>
      </c>
      <c r="B2865" s="6">
        <v>10583</v>
      </c>
      <c r="C2865" s="6" t="s">
        <v>6732</v>
      </c>
      <c r="D2865" s="7" t="s">
        <v>726</v>
      </c>
      <c r="E2865" s="6" t="s">
        <v>295</v>
      </c>
      <c r="F2865" s="6" t="s">
        <v>8196</v>
      </c>
      <c r="G2865" s="8">
        <v>45871</v>
      </c>
      <c r="H2865" s="6">
        <v>10.66</v>
      </c>
      <c r="I2865" s="6" cm="1">
        <f t="array" ref="I2865">IFERROR(VALUE(TRIM(LEFT(E2865,MIN(FIND({" ";"g";"k";"m";"o"},E2865&amp;" gkmo"))-1))),0)</f>
        <v>22</v>
      </c>
      <c r="J2865" s="6" t="str" cm="1">
        <f t="array" ref="J2865">IFERROR(TRIM(MID(E2865,MIN(FIND({" ";"g";"k";"m";"o"},E2865&amp;" gkmo")),10)),"unknown")</f>
        <v>g</v>
      </c>
      <c r="K2865" s="6" t="str">
        <f t="shared" si="176"/>
        <v>g</v>
      </c>
      <c r="L2865" s="6" t="str">
        <f t="shared" si="177"/>
        <v>Walkers</v>
      </c>
      <c r="M2865" s="6" t="str">
        <f t="shared" si="178"/>
        <v>Squares Salt &amp; Vinegar</v>
      </c>
      <c r="N2865" s="6" t="str">
        <f t="shared" si="179"/>
        <v>Guernsey, United-Kingdom</v>
      </c>
    </row>
    <row r="2866" spans="1:14" x14ac:dyDescent="0.25">
      <c r="A2866" s="6" t="s">
        <v>6733</v>
      </c>
      <c r="B2866" s="6">
        <v>6391</v>
      </c>
      <c r="C2866" s="6" t="s">
        <v>6734</v>
      </c>
      <c r="D2866" s="7" t="s">
        <v>357</v>
      </c>
      <c r="E2866" s="6" t="s">
        <v>5109</v>
      </c>
      <c r="F2866" s="6" t="s">
        <v>400</v>
      </c>
      <c r="G2866" s="8">
        <v>45455</v>
      </c>
      <c r="H2866" s="6">
        <v>4.18</v>
      </c>
      <c r="I2866" s="6" cm="1">
        <f t="array" ref="I2866">IFERROR(VALUE(TRIM(LEFT(E2866,MIN(FIND({" ";"g";"k";"m";"o"},E2866&amp;" gkmo"))-1))),0)</f>
        <v>20</v>
      </c>
      <c r="J2866" s="6" t="str" cm="1">
        <f t="array" ref="J2866">IFERROR(TRIM(MID(E2866,MIN(FIND({" ";"g";"k";"m";"o"},E2866&amp;" gkmo")),10)),"unknown")</f>
        <v>g</v>
      </c>
      <c r="K2866" s="6" t="str">
        <f t="shared" si="176"/>
        <v>g</v>
      </c>
      <c r="L2866" s="6" t="str">
        <f t="shared" si="177"/>
        <v>Proper</v>
      </c>
      <c r="M2866" s="6" t="str">
        <f t="shared" si="178"/>
        <v>Proper Chips Sea Salt Lentil Chips</v>
      </c>
      <c r="N2866" s="6" t="str">
        <f t="shared" si="179"/>
        <v>France,United Kingdom</v>
      </c>
    </row>
    <row r="2867" spans="1:14" x14ac:dyDescent="0.25">
      <c r="A2867" s="6" t="s">
        <v>6735</v>
      </c>
      <c r="B2867" s="6">
        <v>5537</v>
      </c>
      <c r="C2867" s="6" t="s">
        <v>6736</v>
      </c>
      <c r="D2867" s="7" t="s">
        <v>7017</v>
      </c>
      <c r="E2867" s="6"/>
      <c r="F2867" s="6" t="s">
        <v>7914</v>
      </c>
      <c r="G2867" s="8">
        <v>45355</v>
      </c>
      <c r="H2867" s="6">
        <v>12.49</v>
      </c>
      <c r="I2867" s="6" cm="1">
        <f t="array" ref="I2867">IFERROR(VALUE(TRIM(LEFT(E2867,MIN(FIND({" ";"g";"k";"m";"o"},E2867&amp;" gkmo"))-1))),0)</f>
        <v>0</v>
      </c>
      <c r="J2867" s="6" t="str" cm="1">
        <f t="array" ref="J2867">IFERROR(TRIM(MID(E2867,MIN(FIND({" ";"g";"k";"m";"o"},E2867&amp;" gkmo")),10)),"unknown")</f>
        <v/>
      </c>
      <c r="K2867" s="6" t="str">
        <f t="shared" si="176"/>
        <v>unknown</v>
      </c>
      <c r="L2867" s="6" t="str">
        <f t="shared" si="177"/>
        <v>Unknown</v>
      </c>
      <c r="M2867" s="6" t="str">
        <f t="shared" si="178"/>
        <v>Rollino Cacao</v>
      </c>
      <c r="N2867" s="6" t="str">
        <f t="shared" si="179"/>
        <v>Spain, Marruecos, Morocco</v>
      </c>
    </row>
    <row r="2868" spans="1:14" x14ac:dyDescent="0.25">
      <c r="A2868" s="6" t="s">
        <v>6737</v>
      </c>
      <c r="B2868" s="6">
        <v>7227</v>
      </c>
      <c r="C2868" s="6" t="s">
        <v>7017</v>
      </c>
      <c r="D2868" s="7" t="s">
        <v>135</v>
      </c>
      <c r="E2868" s="6" t="s">
        <v>6738</v>
      </c>
      <c r="F2868" s="6" t="s">
        <v>8096</v>
      </c>
      <c r="G2868" s="8">
        <v>45627</v>
      </c>
      <c r="H2868" s="6">
        <v>13.16</v>
      </c>
      <c r="I2868" s="6" cm="1">
        <f t="array" ref="I2868">IFERROR(VALUE(TRIM(LEFT(E2868,MIN(FIND({" ";"g";"k";"m";"o"},E2868&amp;" gkmo"))-1))),0)</f>
        <v>6</v>
      </c>
      <c r="J2868" s="6" t="str" cm="1">
        <f t="array" ref="J2868">IFERROR(TRIM(MID(E2868,MIN(FIND({" ";"g";"k";"m";"o"},E2868&amp;" gkmo")),10)),"unknown")</f>
        <v>x 100 g</v>
      </c>
      <c r="K2868" s="6" t="str">
        <f t="shared" si="176"/>
        <v>g</v>
      </c>
      <c r="L2868" s="6" t="str">
        <f t="shared" si="177"/>
        <v>Milka</v>
      </c>
      <c r="M2868" s="6" t="str">
        <f t="shared" si="178"/>
        <v>Unknown</v>
      </c>
      <c r="N2868" s="6" t="str">
        <f t="shared" si="179"/>
        <v>France, Romania</v>
      </c>
    </row>
    <row r="2869" spans="1:14" x14ac:dyDescent="0.25">
      <c r="A2869" s="6" t="s">
        <v>6739</v>
      </c>
      <c r="B2869" s="6">
        <v>11880</v>
      </c>
      <c r="C2869" s="6" t="s">
        <v>6740</v>
      </c>
      <c r="D2869" s="7" t="s">
        <v>2506</v>
      </c>
      <c r="E2869" s="6" t="s">
        <v>6741</v>
      </c>
      <c r="F2869" s="6" t="s">
        <v>8197</v>
      </c>
      <c r="G2869" s="8">
        <v>45945</v>
      </c>
      <c r="H2869" s="6">
        <v>9.25</v>
      </c>
      <c r="I2869" s="6" cm="1">
        <f t="array" ref="I2869">IFERROR(VALUE(TRIM(LEFT(E2869,MIN(FIND({" ";"g";"k";"m";"o"},E2869&amp;" gkmo"))-1))),0)</f>
        <v>80</v>
      </c>
      <c r="J2869" s="6" t="str" cm="1">
        <f t="array" ref="J2869">IFERROR(TRIM(MID(E2869,MIN(FIND({" ";"g";"k";"m";"o"},E2869&amp;" gkmo")),10)),"unknown")</f>
        <v>gm</v>
      </c>
      <c r="K2869" s="6" t="str">
        <f t="shared" si="176"/>
        <v>g</v>
      </c>
      <c r="L2869" s="6" t="str">
        <f t="shared" si="177"/>
        <v>Roshen</v>
      </c>
      <c r="M2869" s="6" t="str">
        <f t="shared" si="178"/>
        <v>Roshen Mlkchoc Aerated</v>
      </c>
      <c r="N2869" s="6" t="str">
        <f t="shared" si="179"/>
        <v>Bulgaria, Romania, Ukraine</v>
      </c>
    </row>
    <row r="2870" spans="1:14" x14ac:dyDescent="0.25">
      <c r="A2870" s="6" t="s">
        <v>6742</v>
      </c>
      <c r="B2870" s="6">
        <v>11207</v>
      </c>
      <c r="C2870" s="6" t="s">
        <v>6743</v>
      </c>
      <c r="D2870" s="7" t="s">
        <v>1088</v>
      </c>
      <c r="E2870" s="6" t="s">
        <v>18</v>
      </c>
      <c r="F2870" s="6" t="s">
        <v>177</v>
      </c>
      <c r="G2870" s="8">
        <v>45700</v>
      </c>
      <c r="H2870" s="6">
        <v>1.65</v>
      </c>
      <c r="I2870" s="6" cm="1">
        <f t="array" ref="I2870">IFERROR(VALUE(TRIM(LEFT(E2870,MIN(FIND({" ";"g";"k";"m";"o"},E2870&amp;" gkmo"))-1))),0)</f>
        <v>100</v>
      </c>
      <c r="J2870" s="6" t="str" cm="1">
        <f t="array" ref="J2870">IFERROR(TRIM(MID(E2870,MIN(FIND({" ";"g";"k";"m";"o"},E2870&amp;" gkmo")),10)),"unknown")</f>
        <v>g</v>
      </c>
      <c r="K2870" s="6" t="str">
        <f t="shared" si="176"/>
        <v>g</v>
      </c>
      <c r="L2870" s="6" t="str">
        <f t="shared" si="177"/>
        <v>Waitrose</v>
      </c>
      <c r="M2870" s="6" t="str">
        <f t="shared" si="178"/>
        <v>Dark Peru 80%</v>
      </c>
      <c r="N2870" s="6" t="str">
        <f t="shared" si="179"/>
        <v>United Kingdom</v>
      </c>
    </row>
    <row r="2871" spans="1:14" x14ac:dyDescent="0.25">
      <c r="A2871" s="6" t="s">
        <v>6744</v>
      </c>
      <c r="B2871" s="6">
        <v>8588</v>
      </c>
      <c r="C2871" s="6" t="s">
        <v>6745</v>
      </c>
      <c r="D2871" s="7" t="s">
        <v>7017</v>
      </c>
      <c r="E2871" s="6"/>
      <c r="F2871" s="6" t="s">
        <v>860</v>
      </c>
      <c r="G2871" s="8">
        <v>45583</v>
      </c>
      <c r="H2871" s="6">
        <v>13.16</v>
      </c>
      <c r="I2871" s="6" cm="1">
        <f t="array" ref="I2871">IFERROR(VALUE(TRIM(LEFT(E2871,MIN(FIND({" ";"g";"k";"m";"o"},E2871&amp;" gkmo"))-1))),0)</f>
        <v>0</v>
      </c>
      <c r="J2871" s="6" t="str" cm="1">
        <f t="array" ref="J2871">IFERROR(TRIM(MID(E2871,MIN(FIND({" ";"g";"k";"m";"o"},E2871&amp;" gkmo")),10)),"unknown")</f>
        <v/>
      </c>
      <c r="K2871" s="6" t="str">
        <f t="shared" si="176"/>
        <v>unknown</v>
      </c>
      <c r="L2871" s="6" t="str">
        <f t="shared" si="177"/>
        <v>Unknown</v>
      </c>
      <c r="M2871" s="6" t="str">
        <f t="shared" si="178"/>
        <v>Cremali Mini Wafers</v>
      </c>
      <c r="N2871" s="6" t="str">
        <f t="shared" si="179"/>
        <v>Ma</v>
      </c>
    </row>
    <row r="2872" spans="1:14" x14ac:dyDescent="0.25">
      <c r="A2872" s="6" t="s">
        <v>6746</v>
      </c>
      <c r="B2872" s="6">
        <v>13964</v>
      </c>
      <c r="C2872" s="6" t="s">
        <v>6747</v>
      </c>
      <c r="D2872" s="7" t="s">
        <v>618</v>
      </c>
      <c r="E2872" s="6"/>
      <c r="F2872" s="6" t="s">
        <v>220</v>
      </c>
      <c r="G2872" s="8">
        <v>45482</v>
      </c>
      <c r="H2872" s="6">
        <v>23.52</v>
      </c>
      <c r="I2872" s="6" cm="1">
        <f t="array" ref="I2872">IFERROR(VALUE(TRIM(LEFT(E2872,MIN(FIND({" ";"g";"k";"m";"o"},E2872&amp;" gkmo"))-1))),0)</f>
        <v>0</v>
      </c>
      <c r="J2872" s="6" t="str" cm="1">
        <f t="array" ref="J2872">IFERROR(TRIM(MID(E2872,MIN(FIND({" ";"g";"k";"m";"o"},E2872&amp;" gkmo")),10)),"unknown")</f>
        <v/>
      </c>
      <c r="K2872" s="6" t="str">
        <f t="shared" si="176"/>
        <v>unknown</v>
      </c>
      <c r="L2872" s="6" t="str">
        <f t="shared" si="177"/>
        <v>By Sainsbury'S</v>
      </c>
      <c r="M2872" s="6" t="str">
        <f t="shared" si="178"/>
        <v>Cool Tortillas</v>
      </c>
      <c r="N2872" s="6" t="str">
        <f t="shared" si="179"/>
        <v>France, United Kingdom</v>
      </c>
    </row>
    <row r="2873" spans="1:14" x14ac:dyDescent="0.25">
      <c r="A2873" s="6" t="s">
        <v>6748</v>
      </c>
      <c r="B2873" s="6">
        <v>7235</v>
      </c>
      <c r="C2873" s="6" t="s">
        <v>6749</v>
      </c>
      <c r="D2873" s="7" t="s">
        <v>2050</v>
      </c>
      <c r="E2873" s="6" t="s">
        <v>10</v>
      </c>
      <c r="F2873" s="6" t="s">
        <v>7599</v>
      </c>
      <c r="G2873" s="8">
        <v>45579</v>
      </c>
      <c r="H2873" s="6">
        <v>14.37</v>
      </c>
      <c r="I2873" s="6" cm="1">
        <f t="array" ref="I2873">IFERROR(VALUE(TRIM(LEFT(E2873,MIN(FIND({" ";"g";"k";"m";"o"},E2873&amp;" gkmo"))-1))),0)</f>
        <v>100</v>
      </c>
      <c r="J2873" s="6" t="str" cm="1">
        <f t="array" ref="J2873">IFERROR(TRIM(MID(E2873,MIN(FIND({" ";"g";"k";"m";"o"},E2873&amp;" gkmo")),10)),"unknown")</f>
        <v>g</v>
      </c>
      <c r="K2873" s="6" t="str">
        <f t="shared" si="176"/>
        <v>g</v>
      </c>
      <c r="L2873" s="6" t="str">
        <f t="shared" si="177"/>
        <v>Milka,Mondelez</v>
      </c>
      <c r="M2873" s="6" t="str">
        <f t="shared" si="178"/>
        <v>Oreo White</v>
      </c>
      <c r="N2873" s="6" t="str">
        <f t="shared" si="179"/>
        <v>Marruecos,Espaà±A</v>
      </c>
    </row>
    <row r="2874" spans="1:14" x14ac:dyDescent="0.25">
      <c r="A2874" s="6" t="s">
        <v>6750</v>
      </c>
      <c r="B2874" s="6">
        <v>7969</v>
      </c>
      <c r="C2874" s="6" t="s">
        <v>472</v>
      </c>
      <c r="D2874" s="7" t="s">
        <v>6751</v>
      </c>
      <c r="E2874" s="6" t="s">
        <v>251</v>
      </c>
      <c r="F2874" s="6" t="s">
        <v>139</v>
      </c>
      <c r="G2874" s="8">
        <v>45365</v>
      </c>
      <c r="H2874" s="6">
        <v>14.47</v>
      </c>
      <c r="I2874" s="6" cm="1">
        <f t="array" ref="I2874">IFERROR(VALUE(TRIM(LEFT(E2874,MIN(FIND({" ";"g";"k";"m";"o"},E2874&amp;" gkmo"))-1))),0)</f>
        <v>435</v>
      </c>
      <c r="J2874" s="6" t="str" cm="1">
        <f t="array" ref="J2874">IFERROR(TRIM(MID(E2874,MIN(FIND({" ";"g";"k";"m";"o"},E2874&amp;" gkmo")),10)),"unknown")</f>
        <v>g</v>
      </c>
      <c r="K2874" s="6" t="str">
        <f t="shared" si="176"/>
        <v>g</v>
      </c>
      <c r="L2874" s="6" t="str">
        <f t="shared" si="177"/>
        <v>Alsa</v>
      </c>
      <c r="M2874" s="6" t="str">
        <f t="shared" si="178"/>
        <v>Moelleux Chocolat</v>
      </c>
      <c r="N2874" s="6" t="str">
        <f t="shared" si="179"/>
        <v>France</v>
      </c>
    </row>
    <row r="2875" spans="1:14" x14ac:dyDescent="0.25">
      <c r="A2875" s="6" t="s">
        <v>6752</v>
      </c>
      <c r="B2875" s="6">
        <v>8992</v>
      </c>
      <c r="C2875" s="6" t="s">
        <v>7884</v>
      </c>
      <c r="D2875" s="7" t="s">
        <v>7456</v>
      </c>
      <c r="E2875" s="6" t="s">
        <v>138</v>
      </c>
      <c r="F2875" s="6" t="s">
        <v>139</v>
      </c>
      <c r="G2875" s="8">
        <v>46021</v>
      </c>
      <c r="H2875" s="6">
        <v>13.39</v>
      </c>
      <c r="I2875" s="6" cm="1">
        <f t="array" ref="I2875">IFERROR(VALUE(TRIM(LEFT(E2875,MIN(FIND({" ";"g";"k";"m";"o"},E2875&amp;" gkmo"))-1))),0)</f>
        <v>400</v>
      </c>
      <c r="J2875" s="6" t="str" cm="1">
        <f t="array" ref="J2875">IFERROR(TRIM(MID(E2875,MIN(FIND({" ";"g";"k";"m";"o"},E2875&amp;" gkmo")),10)),"unknown")</f>
        <v>g</v>
      </c>
      <c r="K2875" s="6" t="str">
        <f t="shared" si="176"/>
        <v>g</v>
      </c>
      <c r="L2875" s="6" t="str">
        <f t="shared" si="177"/>
        <v>La Boulangère</v>
      </c>
      <c r="M2875" s="6" t="str">
        <f t="shared" si="178"/>
        <v>Gà¢Che Tranchée Bio</v>
      </c>
      <c r="N2875" s="6" t="str">
        <f t="shared" si="179"/>
        <v>France</v>
      </c>
    </row>
    <row r="2876" spans="1:14" x14ac:dyDescent="0.25">
      <c r="A2876" s="6" t="s">
        <v>6753</v>
      </c>
      <c r="B2876" s="6">
        <v>12976</v>
      </c>
      <c r="C2876" s="6" t="s">
        <v>6754</v>
      </c>
      <c r="D2876" s="7" t="s">
        <v>6755</v>
      </c>
      <c r="E2876" s="6"/>
      <c r="F2876" s="6" t="s">
        <v>6756</v>
      </c>
      <c r="G2876" s="8">
        <v>45523</v>
      </c>
      <c r="H2876" s="6">
        <v>11.35</v>
      </c>
      <c r="I2876" s="6" cm="1">
        <f t="array" ref="I2876">IFERROR(VALUE(TRIM(LEFT(E2876,MIN(FIND({" ";"g";"k";"m";"o"},E2876&amp;" gkmo"))-1))),0)</f>
        <v>0</v>
      </c>
      <c r="J2876" s="6" t="str" cm="1">
        <f t="array" ref="J2876">IFERROR(TRIM(MID(E2876,MIN(FIND({" ";"g";"k";"m";"o"},E2876&amp;" gkmo")),10)),"unknown")</f>
        <v/>
      </c>
      <c r="K2876" s="6" t="str">
        <f t="shared" si="176"/>
        <v>unknown</v>
      </c>
      <c r="L2876" s="6" t="str">
        <f t="shared" si="177"/>
        <v>Bauli</v>
      </c>
      <c r="M2876" s="6" t="str">
        <f t="shared" si="178"/>
        <v>Doriano Sea Salt Crackers</v>
      </c>
      <c r="N2876" s="6" t="str">
        <f t="shared" si="179"/>
        <v>Italy,United Kingdom</v>
      </c>
    </row>
    <row r="2877" spans="1:14" x14ac:dyDescent="0.25">
      <c r="A2877" s="6" t="s">
        <v>6757</v>
      </c>
      <c r="B2877" s="6">
        <v>6640</v>
      </c>
      <c r="C2877" s="6" t="s">
        <v>6758</v>
      </c>
      <c r="D2877" s="7" t="s">
        <v>1176</v>
      </c>
      <c r="E2877" s="6" t="s">
        <v>1790</v>
      </c>
      <c r="F2877" s="6" t="s">
        <v>1092</v>
      </c>
      <c r="G2877" s="8">
        <v>45396</v>
      </c>
      <c r="H2877" s="6">
        <v>1.81</v>
      </c>
      <c r="I2877" s="6" cm="1">
        <f t="array" ref="I2877">IFERROR(VALUE(TRIM(LEFT(E2877,MIN(FIND({" ";"g";"k";"m";"o"},E2877&amp;" gkmo"))-1))),0)</f>
        <v>75</v>
      </c>
      <c r="J2877" s="6" t="str" cm="1">
        <f t="array" ref="J2877">IFERROR(TRIM(MID(E2877,MIN(FIND({" ";"g";"k";"m";"o"},E2877&amp;" gkmo")),10)),"unknown")</f>
        <v>g</v>
      </c>
      <c r="K2877" s="6" t="str">
        <f t="shared" si="176"/>
        <v>g</v>
      </c>
      <c r="L2877" s="6" t="str">
        <f t="shared" si="177"/>
        <v>Snack Day</v>
      </c>
      <c r="M2877" s="6" t="str">
        <f t="shared" si="178"/>
        <v>Chips Snack</v>
      </c>
      <c r="N2877" s="6" t="str">
        <f t="shared" si="179"/>
        <v>Frankrijk</v>
      </c>
    </row>
    <row r="2878" spans="1:14" x14ac:dyDescent="0.25">
      <c r="A2878" s="6" t="s">
        <v>6759</v>
      </c>
      <c r="B2878" s="6">
        <v>11733</v>
      </c>
      <c r="C2878" s="6" t="s">
        <v>6760</v>
      </c>
      <c r="D2878" s="7" t="s">
        <v>173</v>
      </c>
      <c r="E2878" s="6" t="s">
        <v>6761</v>
      </c>
      <c r="F2878" s="6" t="s">
        <v>139</v>
      </c>
      <c r="G2878" s="8">
        <v>45838</v>
      </c>
      <c r="H2878" s="6">
        <v>2.67</v>
      </c>
      <c r="I2878" s="6" cm="1">
        <f t="array" ref="I2878">IFERROR(VALUE(TRIM(LEFT(E2878,MIN(FIND({" ";"g";"k";"m";"o"},E2878&amp;" gkmo"))-1))),0)</f>
        <v>103.5</v>
      </c>
      <c r="J2878" s="6" t="str" cm="1">
        <f t="array" ref="J2878">IFERROR(TRIM(MID(E2878,MIN(FIND({" ";"g";"k";"m";"o"},E2878&amp;" gkmo")),10)),"unknown")</f>
        <v>g</v>
      </c>
      <c r="K2878" s="6" t="str">
        <f t="shared" si="176"/>
        <v>g</v>
      </c>
      <c r="L2878" s="6" t="str">
        <f t="shared" si="177"/>
        <v>Kinder</v>
      </c>
      <c r="M2878" s="6" t="str">
        <f t="shared" si="178"/>
        <v>Happy Hippo</v>
      </c>
      <c r="N2878" s="6" t="str">
        <f t="shared" si="179"/>
        <v>France</v>
      </c>
    </row>
    <row r="2879" spans="1:14" x14ac:dyDescent="0.25">
      <c r="A2879" s="6" t="s">
        <v>6762</v>
      </c>
      <c r="B2879" s="6">
        <v>14727</v>
      </c>
      <c r="C2879" s="6" t="s">
        <v>6763</v>
      </c>
      <c r="D2879" s="7" t="s">
        <v>135</v>
      </c>
      <c r="E2879" s="6"/>
      <c r="F2879" s="6" t="s">
        <v>8198</v>
      </c>
      <c r="G2879" s="8">
        <v>45830</v>
      </c>
      <c r="H2879" s="6">
        <v>8.3800000000000008</v>
      </c>
      <c r="I2879" s="6" cm="1">
        <f t="array" ref="I2879">IFERROR(VALUE(TRIM(LEFT(E2879,MIN(FIND({" ";"g";"k";"m";"o"},E2879&amp;" gkmo"))-1))),0)</f>
        <v>0</v>
      </c>
      <c r="J2879" s="6" t="str" cm="1">
        <f t="array" ref="J2879">IFERROR(TRIM(MID(E2879,MIN(FIND({" ";"g";"k";"m";"o"},E2879&amp;" gkmo")),10)),"unknown")</f>
        <v/>
      </c>
      <c r="K2879" s="6" t="str">
        <f t="shared" si="176"/>
        <v>unknown</v>
      </c>
      <c r="L2879" s="6" t="str">
        <f t="shared" si="177"/>
        <v>Milka</v>
      </c>
      <c r="M2879" s="6" t="str">
        <f t="shared" si="178"/>
        <v>Milka Alune Intregi Ceo Lesnik</v>
      </c>
      <c r="N2879" s="6" t="str">
        <f t="shared" si="179"/>
        <v>Algeria, Romania, Morocco</v>
      </c>
    </row>
    <row r="2880" spans="1:14" x14ac:dyDescent="0.25">
      <c r="A2880" s="6" t="s">
        <v>6764</v>
      </c>
      <c r="B2880" s="6">
        <v>12034</v>
      </c>
      <c r="C2880" s="6" t="s">
        <v>6765</v>
      </c>
      <c r="D2880" s="7" t="s">
        <v>7017</v>
      </c>
      <c r="E2880" s="6" t="s">
        <v>6766</v>
      </c>
      <c r="F2880" s="6" t="s">
        <v>2973</v>
      </c>
      <c r="G2880" s="8">
        <v>45656</v>
      </c>
      <c r="H2880" s="6">
        <v>11.81</v>
      </c>
      <c r="I2880" s="6" cm="1">
        <f t="array" ref="I2880">IFERROR(VALUE(TRIM(LEFT(E2880,MIN(FIND({" ";"g";"k";"m";"o"},E2880&amp;" gkmo"))-1))),0)</f>
        <v>2</v>
      </c>
      <c r="J2880" s="6" t="str" cm="1">
        <f t="array" ref="J2880">IFERROR(TRIM(MID(E2880,MIN(FIND({" ";"g";"k";"m";"o"},E2880&amp;" gkmo")),10)),"unknown")</f>
        <v>x 35 g</v>
      </c>
      <c r="K2880" s="6" t="str">
        <f t="shared" si="176"/>
        <v>g</v>
      </c>
      <c r="L2880" s="6" t="str">
        <f t="shared" si="177"/>
        <v>Unknown</v>
      </c>
      <c r="M2880" s="6" t="str">
        <f t="shared" si="178"/>
        <v>Mylk &amp; Vanilla</v>
      </c>
      <c r="N2880" s="6" t="str">
        <f t="shared" si="179"/>
        <v>Gb</v>
      </c>
    </row>
    <row r="2881" spans="1:14" x14ac:dyDescent="0.25">
      <c r="A2881" s="6" t="s">
        <v>6767</v>
      </c>
      <c r="B2881" s="6">
        <v>11307</v>
      </c>
      <c r="C2881" s="6" t="s">
        <v>6768</v>
      </c>
      <c r="D2881" s="7" t="s">
        <v>6769</v>
      </c>
      <c r="E2881" s="6" t="s">
        <v>973</v>
      </c>
      <c r="F2881" s="6" t="s">
        <v>1764</v>
      </c>
      <c r="G2881" s="8">
        <v>45536</v>
      </c>
      <c r="H2881" s="6">
        <v>21.07</v>
      </c>
      <c r="I2881" s="6" cm="1">
        <f t="array" ref="I2881">IFERROR(VALUE(TRIM(LEFT(E2881,MIN(FIND({" ";"g";"k";"m";"o"},E2881&amp;" gkmo"))-1))),0)</f>
        <v>38</v>
      </c>
      <c r="J2881" s="6" t="str" cm="1">
        <f t="array" ref="J2881">IFERROR(TRIM(MID(E2881,MIN(FIND({" ";"g";"k";"m";"o"},E2881&amp;" gkmo")),10)),"unknown")</f>
        <v>g</v>
      </c>
      <c r="K2881" s="6" t="str">
        <f t="shared" si="176"/>
        <v>g</v>
      </c>
      <c r="L2881" s="6" t="str">
        <f t="shared" si="177"/>
        <v>Nomo</v>
      </c>
      <c r="M2881" s="6" t="str">
        <f t="shared" si="178"/>
        <v>Caramel Choc Bar</v>
      </c>
      <c r="N2881" s="6" t="str">
        <f t="shared" si="179"/>
        <v>Australia,United Kingdom</v>
      </c>
    </row>
    <row r="2882" spans="1:14" x14ac:dyDescent="0.25">
      <c r="A2882" s="6" t="s">
        <v>6770</v>
      </c>
      <c r="B2882" s="6">
        <v>12793</v>
      </c>
      <c r="C2882" s="6" t="s">
        <v>6771</v>
      </c>
      <c r="D2882" s="7" t="s">
        <v>452</v>
      </c>
      <c r="E2882" s="6" t="s">
        <v>10</v>
      </c>
      <c r="F2882" s="6" t="s">
        <v>7595</v>
      </c>
      <c r="G2882" s="8">
        <v>46052</v>
      </c>
      <c r="H2882" s="6">
        <v>17.09</v>
      </c>
      <c r="I2882" s="6" cm="1">
        <f t="array" ref="I2882">IFERROR(VALUE(TRIM(LEFT(E2882,MIN(FIND({" ";"g";"k";"m";"o"},E2882&amp;" gkmo"))-1))),0)</f>
        <v>100</v>
      </c>
      <c r="J2882" s="6" t="str" cm="1">
        <f t="array" ref="J2882">IFERROR(TRIM(MID(E2882,MIN(FIND({" ";"g";"k";"m";"o"},E2882&amp;" gkmo")),10)),"unknown")</f>
        <v>g</v>
      </c>
      <c r="K2882" s="6" t="str">
        <f t="shared" ref="K2882:K2945" si="180">IF(E2882="","unknown",IF(OR(J2882="g",LEFT(J2882,1)="g"),"g",IF(OR(LEFT(J2882,2)="kg",LEFT(J2882,2)="ki"),"kg",IF(OR(LEFT(J2882,2)="ml",LEFT(J2882,1)="m"),"ml",IF(LEFT(J2882,1)="l","l",IF(ISNUMBER(SEARCH("g",E2882)),"g",IF(ISNUMBER(SEARCH("kg",E2882)),"kg",IF(ISNUMBER(SEARCH("ml",E2882)),"ml","unknown"))))))))</f>
        <v>g</v>
      </c>
      <c r="L2882" s="6" t="str">
        <f t="shared" ref="L2882:L2945" si="181">IF(D2882="","Unknown",PROPER(TRIM(D2882)))</f>
        <v>Hacendado</v>
      </c>
      <c r="M2882" s="6" t="str">
        <f t="shared" ref="M2882:M2945" si="182">IF(C2882="Unknown","Unknown",PROPER(TRIM(C2882)))</f>
        <v>Chicles Fresa</v>
      </c>
      <c r="N2882" s="6" t="str">
        <f t="shared" si="179"/>
        <v>Espaà±A</v>
      </c>
    </row>
    <row r="2883" spans="1:14" x14ac:dyDescent="0.25">
      <c r="A2883" s="6" t="s">
        <v>6772</v>
      </c>
      <c r="B2883" s="6">
        <v>11425</v>
      </c>
      <c r="C2883" s="6" t="s">
        <v>6773</v>
      </c>
      <c r="D2883" s="7" t="s">
        <v>2750</v>
      </c>
      <c r="E2883" s="6"/>
      <c r="F2883" s="6" t="s">
        <v>2973</v>
      </c>
      <c r="G2883" s="8">
        <v>45982</v>
      </c>
      <c r="H2883" s="6">
        <v>13.16</v>
      </c>
      <c r="I2883" s="6" cm="1">
        <f t="array" ref="I2883">IFERROR(VALUE(TRIM(LEFT(E2883,MIN(FIND({" ";"g";"k";"m";"o"},E2883&amp;" gkmo"))-1))),0)</f>
        <v>0</v>
      </c>
      <c r="J2883" s="6" t="str" cm="1">
        <f t="array" ref="J2883">IFERROR(TRIM(MID(E2883,MIN(FIND({" ";"g";"k";"m";"o"},E2883&amp;" gkmo")),10)),"unknown")</f>
        <v/>
      </c>
      <c r="K2883" s="6" t="str">
        <f t="shared" si="180"/>
        <v>unknown</v>
      </c>
      <c r="L2883" s="6" t="str">
        <f t="shared" si="181"/>
        <v>M&amp;S</v>
      </c>
      <c r="M2883" s="6" t="str">
        <f t="shared" si="182"/>
        <v>Cool Sweet Potato Tortilla Chips</v>
      </c>
      <c r="N2883" s="6" t="str">
        <f t="shared" ref="N2883:N2946" si="183">IF(F2883="","Unknown",PROPER(TRIM(F2883)))</f>
        <v>Gb</v>
      </c>
    </row>
    <row r="2884" spans="1:14" x14ac:dyDescent="0.25">
      <c r="A2884" s="6" t="s">
        <v>6774</v>
      </c>
      <c r="B2884" s="6">
        <v>11915</v>
      </c>
      <c r="C2884" s="6" t="s">
        <v>7017</v>
      </c>
      <c r="D2884" s="7" t="s">
        <v>452</v>
      </c>
      <c r="E2884" s="6" t="s">
        <v>436</v>
      </c>
      <c r="F2884" s="6" t="s">
        <v>7599</v>
      </c>
      <c r="G2884" s="8">
        <v>45912</v>
      </c>
      <c r="H2884" s="6">
        <v>13.16</v>
      </c>
      <c r="I2884" s="6" cm="1">
        <f t="array" ref="I2884">IFERROR(VALUE(TRIM(LEFT(E2884,MIN(FIND({" ";"g";"k";"m";"o"},E2884&amp;" gkmo"))-1))),0)</f>
        <v>90</v>
      </c>
      <c r="J2884" s="6" t="str" cm="1">
        <f t="array" ref="J2884">IFERROR(TRIM(MID(E2884,MIN(FIND({" ";"g";"k";"m";"o"},E2884&amp;" gkmo")),10)),"unknown")</f>
        <v>g</v>
      </c>
      <c r="K2884" s="6" t="str">
        <f t="shared" si="180"/>
        <v>g</v>
      </c>
      <c r="L2884" s="6" t="str">
        <f t="shared" si="181"/>
        <v>Hacendado</v>
      </c>
      <c r="M2884" s="6" t="str">
        <f t="shared" si="182"/>
        <v>Unknown</v>
      </c>
      <c r="N2884" s="6" t="str">
        <f t="shared" si="183"/>
        <v>Marruecos,Espaà±A</v>
      </c>
    </row>
    <row r="2885" spans="1:14" x14ac:dyDescent="0.25">
      <c r="A2885" s="6" t="s">
        <v>6775</v>
      </c>
      <c r="B2885" s="6">
        <v>10969</v>
      </c>
      <c r="C2885" s="6" t="s">
        <v>6776</v>
      </c>
      <c r="D2885" s="7" t="s">
        <v>6777</v>
      </c>
      <c r="E2885" s="6" t="s">
        <v>6778</v>
      </c>
      <c r="F2885" s="6" t="s">
        <v>1774</v>
      </c>
      <c r="G2885" s="8">
        <v>45359</v>
      </c>
      <c r="H2885" s="6">
        <v>3.28</v>
      </c>
      <c r="I2885" s="6" cm="1">
        <f t="array" ref="I2885">IFERROR(VALUE(TRIM(LEFT(E2885,MIN(FIND({" ";"g";"k";"m";"o"},E2885&amp;" gkmo"))-1))),0)</f>
        <v>210</v>
      </c>
      <c r="J2885" s="6" t="str" cm="1">
        <f t="array" ref="J2885">IFERROR(TRIM(MID(E2885,MIN(FIND({" ";"g";"k";"m";"o"},E2885&amp;" gkmo")),10)),"unknown")</f>
        <v>g, 5 x 42</v>
      </c>
      <c r="K2885" s="6" t="str">
        <f t="shared" si="180"/>
        <v>g</v>
      </c>
      <c r="L2885" s="6" t="str">
        <f t="shared" si="181"/>
        <v>Harvest Morn</v>
      </c>
      <c r="M2885" s="6" t="str">
        <f t="shared" si="182"/>
        <v>Crunchy Oats &amp; Honey Granola Bars</v>
      </c>
      <c r="N2885" s="6" t="str">
        <f t="shared" si="183"/>
        <v>Ireland,United Kingdom</v>
      </c>
    </row>
    <row r="2886" spans="1:14" x14ac:dyDescent="0.25">
      <c r="A2886" s="6" t="s">
        <v>6779</v>
      </c>
      <c r="B2886" s="6">
        <v>13365</v>
      </c>
      <c r="C2886" s="6" t="s">
        <v>6780</v>
      </c>
      <c r="D2886" s="7" t="s">
        <v>7030</v>
      </c>
      <c r="E2886" s="6" t="s">
        <v>470</v>
      </c>
      <c r="F2886" s="6" t="s">
        <v>139</v>
      </c>
      <c r="G2886" s="8">
        <v>45351</v>
      </c>
      <c r="H2886" s="6">
        <v>17.149999999999999</v>
      </c>
      <c r="I2886" s="6" cm="1">
        <f t="array" ref="I2886">IFERROR(VALUE(TRIM(LEFT(E2886,MIN(FIND({" ";"g";"k";"m";"o"},E2886&amp;" gkmo"))-1))),0)</f>
        <v>132</v>
      </c>
      <c r="J2886" s="6" t="str" cm="1">
        <f t="array" ref="J2886">IFERROR(TRIM(MID(E2886,MIN(FIND({" ";"g";"k";"m";"o"},E2886&amp;" gkmo")),10)),"unknown")</f>
        <v>g</v>
      </c>
      <c r="K2886" s="6" t="str">
        <f t="shared" si="180"/>
        <v>g</v>
      </c>
      <c r="L2886" s="6" t="str">
        <f t="shared" si="181"/>
        <v>Gerblé</v>
      </c>
      <c r="M2886" s="6" t="str">
        <f t="shared" si="182"/>
        <v>Gerble - Organic Oatmeal Coconut Cocoa Cookie, 132G (4.7Oz)</v>
      </c>
      <c r="N2886" s="6" t="str">
        <f t="shared" si="183"/>
        <v>France</v>
      </c>
    </row>
    <row r="2887" spans="1:14" x14ac:dyDescent="0.25">
      <c r="A2887" s="6" t="s">
        <v>6781</v>
      </c>
      <c r="B2887" s="6">
        <v>6209</v>
      </c>
      <c r="C2887" s="6" t="s">
        <v>6782</v>
      </c>
      <c r="D2887" s="7" t="s">
        <v>112</v>
      </c>
      <c r="E2887" s="6" t="s">
        <v>621</v>
      </c>
      <c r="F2887" s="6" t="s">
        <v>8199</v>
      </c>
      <c r="G2887" s="8">
        <v>45814</v>
      </c>
      <c r="H2887" s="6">
        <v>9.3000000000000007</v>
      </c>
      <c r="I2887" s="6" cm="1">
        <f t="array" ref="I2887">IFERROR(VALUE(TRIM(LEFT(E2887,MIN(FIND({" ";"g";"k";"m";"o"},E2887&amp;" gkmo"))-1))),0)</f>
        <v>160</v>
      </c>
      <c r="J2887" s="6" t="str" cm="1">
        <f t="array" ref="J2887">IFERROR(TRIM(MID(E2887,MIN(FIND({" ";"g";"k";"m";"o"},E2887&amp;" gkmo")),10)),"unknown")</f>
        <v>g</v>
      </c>
      <c r="K2887" s="6" t="str">
        <f t="shared" si="180"/>
        <v>g</v>
      </c>
      <c r="L2887" s="6" t="str">
        <f t="shared" si="181"/>
        <v>Pringles</v>
      </c>
      <c r="M2887" s="6" t="str">
        <f t="shared" si="182"/>
        <v>Pringles Flame Spicy Bbq</v>
      </c>
      <c r="N2887" s="6" t="str">
        <f t="shared" si="183"/>
        <v>France, Italy, Lithuania, Martinique, Morocco</v>
      </c>
    </row>
    <row r="2888" spans="1:14" x14ac:dyDescent="0.25">
      <c r="A2888" s="6" t="s">
        <v>6783</v>
      </c>
      <c r="B2888" s="6">
        <v>14494</v>
      </c>
      <c r="C2888" s="6" t="s">
        <v>6784</v>
      </c>
      <c r="D2888" s="7" t="s">
        <v>6785</v>
      </c>
      <c r="E2888" s="6" t="s">
        <v>4856</v>
      </c>
      <c r="F2888" s="6" t="s">
        <v>2682</v>
      </c>
      <c r="G2888" s="8">
        <v>45890</v>
      </c>
      <c r="H2888" s="6">
        <v>14.1</v>
      </c>
      <c r="I2888" s="6" cm="1">
        <f t="array" ref="I2888">IFERROR(VALUE(TRIM(LEFT(E2888,MIN(FIND({" ";"g";"k";"m";"o"},E2888&amp;" gkmo"))-1))),0)</f>
        <v>14</v>
      </c>
      <c r="J2888" s="6" t="str" cm="1">
        <f t="array" ref="J2888">IFERROR(TRIM(MID(E2888,MIN(FIND({" ";"g";"k";"m";"o"},E2888&amp;" gkmo")),10)),"unknown")</f>
        <v>oz</v>
      </c>
      <c r="K2888" s="6" t="str">
        <f t="shared" si="180"/>
        <v>unknown</v>
      </c>
      <c r="L2888" s="6" t="str">
        <f t="shared" si="181"/>
        <v>Nabisco</v>
      </c>
      <c r="M2888" s="6" t="str">
        <f t="shared" si="182"/>
        <v>Wheat Thins Original</v>
      </c>
      <c r="N2888" s="6" t="str">
        <f t="shared" si="183"/>
        <v>United States</v>
      </c>
    </row>
    <row r="2889" spans="1:14" x14ac:dyDescent="0.25">
      <c r="A2889" s="6" t="s">
        <v>6786</v>
      </c>
      <c r="B2889" s="6">
        <v>14299</v>
      </c>
      <c r="C2889" s="6" t="s">
        <v>7437</v>
      </c>
      <c r="D2889" s="7" t="s">
        <v>72</v>
      </c>
      <c r="E2889" s="6" t="s">
        <v>284</v>
      </c>
      <c r="F2889" s="6" t="s">
        <v>139</v>
      </c>
      <c r="G2889" s="8">
        <v>45739</v>
      </c>
      <c r="H2889" s="6">
        <v>9.8800000000000008</v>
      </c>
      <c r="I2889" s="6" cm="1">
        <f t="array" ref="I2889">IFERROR(VALUE(TRIM(LEFT(E2889,MIN(FIND({" ";"g";"k";"m";"o"},E2889&amp;" gkmo"))-1))),0)</f>
        <v>180</v>
      </c>
      <c r="J2889" s="6" t="str" cm="1">
        <f t="array" ref="J2889">IFERROR(TRIM(MID(E2889,MIN(FIND({" ";"g";"k";"m";"o"},E2889&amp;" gkmo")),10)),"unknown")</f>
        <v>g</v>
      </c>
      <c r="K2889" s="6" t="str">
        <f t="shared" si="180"/>
        <v>g</v>
      </c>
      <c r="L2889" s="6" t="str">
        <f t="shared" si="181"/>
        <v>Bjorg</v>
      </c>
      <c r="M2889" s="6" t="str">
        <f t="shared" si="182"/>
        <v>Mini Fourrés Chocolat Noir</v>
      </c>
      <c r="N2889" s="6" t="str">
        <f t="shared" si="183"/>
        <v>France</v>
      </c>
    </row>
    <row r="2890" spans="1:14" x14ac:dyDescent="0.25">
      <c r="A2890" s="6" t="s">
        <v>6787</v>
      </c>
      <c r="B2890" s="6">
        <v>7513</v>
      </c>
      <c r="C2890" s="6" t="s">
        <v>6788</v>
      </c>
      <c r="D2890" s="7" t="s">
        <v>6789</v>
      </c>
      <c r="E2890" s="6" t="s">
        <v>6790</v>
      </c>
      <c r="F2890" s="6" t="s">
        <v>177</v>
      </c>
      <c r="G2890" s="8">
        <v>45402</v>
      </c>
      <c r="H2890" s="6">
        <v>22.21</v>
      </c>
      <c r="I2890" s="6" cm="1">
        <f t="array" ref="I2890">IFERROR(VALUE(TRIM(LEFT(E2890,MIN(FIND({" ";"g";"k";"m";"o"},E2890&amp;" gkmo"))-1))),0)</f>
        <v>195</v>
      </c>
      <c r="J2890" s="6" t="str" cm="1">
        <f t="array" ref="J2890">IFERROR(TRIM(MID(E2890,MIN(FIND({" ";"g";"k";"m";"o"},E2890&amp;" gkmo")),10)),"unknown")</f>
        <v>g</v>
      </c>
      <c r="K2890" s="6" t="str">
        <f t="shared" si="180"/>
        <v>g</v>
      </c>
      <c r="L2890" s="6" t="str">
        <f t="shared" si="181"/>
        <v>Taste-The-Difference, Sainsbury-S</v>
      </c>
      <c r="M2890" s="6" t="str">
        <f t="shared" si="182"/>
        <v>Roasted Garlic &amp; Extra Virgin Olive Oil Flatbread</v>
      </c>
      <c r="N2890" s="6" t="str">
        <f t="shared" si="183"/>
        <v>United Kingdom</v>
      </c>
    </row>
    <row r="2891" spans="1:14" x14ac:dyDescent="0.25">
      <c r="A2891" s="6" t="s">
        <v>6791</v>
      </c>
      <c r="B2891" s="6">
        <v>12089</v>
      </c>
      <c r="C2891" s="6" t="s">
        <v>6792</v>
      </c>
      <c r="D2891" s="7" t="s">
        <v>2510</v>
      </c>
      <c r="E2891" s="6"/>
      <c r="F2891" s="6" t="s">
        <v>601</v>
      </c>
      <c r="G2891" s="8">
        <v>45635</v>
      </c>
      <c r="H2891" s="6">
        <v>11.4</v>
      </c>
      <c r="I2891" s="6" cm="1">
        <f t="array" ref="I2891">IFERROR(VALUE(TRIM(LEFT(E2891,MIN(FIND({" ";"g";"k";"m";"o"},E2891&amp;" gkmo"))-1))),0)</f>
        <v>0</v>
      </c>
      <c r="J2891" s="6" t="str" cm="1">
        <f t="array" ref="J2891">IFERROR(TRIM(MID(E2891,MIN(FIND({" ";"g";"k";"m";"o"},E2891&amp;" gkmo")),10)),"unknown")</f>
        <v/>
      </c>
      <c r="K2891" s="6" t="str">
        <f t="shared" si="180"/>
        <v>unknown</v>
      </c>
      <c r="L2891" s="6" t="str">
        <f t="shared" si="181"/>
        <v>Carrefour Bio,Carrefour</v>
      </c>
      <c r="M2891" s="6" t="str">
        <f t="shared" si="182"/>
        <v>Galettes Bretonnes</v>
      </c>
      <c r="N2891" s="6" t="str">
        <f t="shared" si="183"/>
        <v>France,Spain</v>
      </c>
    </row>
    <row r="2892" spans="1:14" x14ac:dyDescent="0.25">
      <c r="A2892" s="6" t="s">
        <v>6793</v>
      </c>
      <c r="B2892" s="6">
        <v>5553</v>
      </c>
      <c r="C2892" s="6" t="s">
        <v>6794</v>
      </c>
      <c r="D2892" s="7" t="s">
        <v>1084</v>
      </c>
      <c r="E2892" s="6" t="s">
        <v>6795</v>
      </c>
      <c r="F2892" s="6" t="s">
        <v>139</v>
      </c>
      <c r="G2892" s="8">
        <v>45671</v>
      </c>
      <c r="H2892" s="6">
        <v>2.71</v>
      </c>
      <c r="I2892" s="6" cm="1">
        <f t="array" ref="I2892">IFERROR(VALUE(TRIM(LEFT(E2892,MIN(FIND({" ";"g";"k";"m";"o"},E2892&amp;" gkmo"))-1))),0)</f>
        <v>371</v>
      </c>
      <c r="J2892" s="6" t="str" cm="1">
        <f t="array" ref="J2892">IFERROR(TRIM(MID(E2892,MIN(FIND({" ";"g";"k";"m";"o"},E2892&amp;" gkmo")),10)),"unknown")</f>
        <v>g</v>
      </c>
      <c r="K2892" s="6" t="str">
        <f t="shared" si="180"/>
        <v>g</v>
      </c>
      <c r="L2892" s="6" t="str">
        <f t="shared" si="181"/>
        <v>Lotus</v>
      </c>
      <c r="M2892" s="6" t="str">
        <f t="shared" si="182"/>
        <v>Gaufres Aux Oeufs Frais Au Sucre Glace</v>
      </c>
      <c r="N2892" s="6" t="str">
        <f t="shared" si="183"/>
        <v>France</v>
      </c>
    </row>
    <row r="2893" spans="1:14" x14ac:dyDescent="0.25">
      <c r="A2893" s="6" t="s">
        <v>6796</v>
      </c>
      <c r="B2893" s="6">
        <v>13050</v>
      </c>
      <c r="C2893" s="6" t="s">
        <v>5534</v>
      </c>
      <c r="D2893" s="7" t="s">
        <v>7017</v>
      </c>
      <c r="E2893" s="6" t="s">
        <v>2862</v>
      </c>
      <c r="F2893" s="6" t="s">
        <v>8030</v>
      </c>
      <c r="G2893" s="8">
        <v>45338</v>
      </c>
      <c r="H2893" s="6">
        <v>18.829999999999998</v>
      </c>
      <c r="I2893" s="6" cm="1">
        <f t="array" ref="I2893">IFERROR(VALUE(TRIM(LEFT(E2893,MIN(FIND({" ";"g";"k";"m";"o"},E2893&amp;" gkmo"))-1))),0)</f>
        <v>700</v>
      </c>
      <c r="J2893" s="6" t="str" cm="1">
        <f t="array" ref="J2893">IFERROR(TRIM(MID(E2893,MIN(FIND({" ";"g";"k";"m";"o"},E2893&amp;" gkmo")),10)),"unknown")</f>
        <v>g</v>
      </c>
      <c r="K2893" s="6" t="str">
        <f t="shared" si="180"/>
        <v>g</v>
      </c>
      <c r="L2893" s="6" t="str">
        <f t="shared" si="181"/>
        <v>Unknown</v>
      </c>
      <c r="M2893" s="6" t="str">
        <f t="shared" si="182"/>
        <v>Abbracci</v>
      </c>
      <c r="N2893" s="6" t="str">
        <f t="shared" si="183"/>
        <v>It</v>
      </c>
    </row>
    <row r="2894" spans="1:14" x14ac:dyDescent="0.25">
      <c r="A2894" s="6" t="s">
        <v>6797</v>
      </c>
      <c r="B2894" s="6">
        <v>11181</v>
      </c>
      <c r="C2894" s="6" t="s">
        <v>6798</v>
      </c>
      <c r="D2894" s="7" t="s">
        <v>7017</v>
      </c>
      <c r="E2894" s="6" t="s">
        <v>855</v>
      </c>
      <c r="F2894" s="6" t="s">
        <v>177</v>
      </c>
      <c r="G2894" s="8">
        <v>45526</v>
      </c>
      <c r="H2894" s="6">
        <v>13.78</v>
      </c>
      <c r="I2894" s="6" cm="1">
        <f t="array" ref="I2894">IFERROR(VALUE(TRIM(LEFT(E2894,MIN(FIND({" ";"g";"k";"m";"o"},E2894&amp;" gkmo"))-1))),0)</f>
        <v>80</v>
      </c>
      <c r="J2894" s="6" t="str" cm="1">
        <f t="array" ref="J2894">IFERROR(TRIM(MID(E2894,MIN(FIND({" ";"g";"k";"m";"o"},E2894&amp;" gkmo")),10)),"unknown")</f>
        <v>g</v>
      </c>
      <c r="K2894" s="6" t="str">
        <f t="shared" si="180"/>
        <v>g</v>
      </c>
      <c r="L2894" s="6" t="str">
        <f t="shared" si="181"/>
        <v>Unknown</v>
      </c>
      <c r="M2894" s="6" t="str">
        <f t="shared" si="182"/>
        <v>Sea Salt &amp; Cider Vinegar - Activated Chips</v>
      </c>
      <c r="N2894" s="6" t="str">
        <f t="shared" si="183"/>
        <v>United Kingdom</v>
      </c>
    </row>
    <row r="2895" spans="1:14" x14ac:dyDescent="0.25">
      <c r="A2895" s="6" t="s">
        <v>6799</v>
      </c>
      <c r="B2895" s="6">
        <v>6164</v>
      </c>
      <c r="C2895" s="6" t="s">
        <v>6800</v>
      </c>
      <c r="D2895" s="7" t="s">
        <v>1167</v>
      </c>
      <c r="E2895" s="6"/>
      <c r="F2895" s="6" t="s">
        <v>3183</v>
      </c>
      <c r="G2895" s="8">
        <v>45607</v>
      </c>
      <c r="H2895" s="6">
        <v>1.02</v>
      </c>
      <c r="I2895" s="6" cm="1">
        <f t="array" ref="I2895">IFERROR(VALUE(TRIM(LEFT(E2895,MIN(FIND({" ";"g";"k";"m";"o"},E2895&amp;" gkmo"))-1))),0)</f>
        <v>0</v>
      </c>
      <c r="J2895" s="6" t="str" cm="1">
        <f t="array" ref="J2895">IFERROR(TRIM(MID(E2895,MIN(FIND({" ";"g";"k";"m";"o"},E2895&amp;" gkmo")),10)),"unknown")</f>
        <v/>
      </c>
      <c r="K2895" s="6" t="str">
        <f t="shared" si="180"/>
        <v>unknown</v>
      </c>
      <c r="L2895" s="6" t="str">
        <f t="shared" si="181"/>
        <v>Lidl</v>
      </c>
      <c r="M2895" s="6" t="str">
        <f t="shared" si="182"/>
        <v>Neo Giant</v>
      </c>
      <c r="N2895" s="6" t="str">
        <f t="shared" si="183"/>
        <v>France,Germany,United Kingdom</v>
      </c>
    </row>
    <row r="2896" spans="1:14" x14ac:dyDescent="0.25">
      <c r="A2896" s="6" t="s">
        <v>6801</v>
      </c>
      <c r="B2896" s="6">
        <v>9203</v>
      </c>
      <c r="C2896" s="6" t="s">
        <v>811</v>
      </c>
      <c r="D2896" s="7" t="s">
        <v>294</v>
      </c>
      <c r="E2896" s="6"/>
      <c r="F2896" s="6" t="s">
        <v>48</v>
      </c>
      <c r="G2896" s="8">
        <v>45423</v>
      </c>
      <c r="H2896" s="6">
        <v>13.87</v>
      </c>
      <c r="I2896" s="6" cm="1">
        <f t="array" ref="I2896">IFERROR(VALUE(TRIM(LEFT(E2896,MIN(FIND({" ";"g";"k";"m";"o"},E2896&amp;" gkmo"))-1))),0)</f>
        <v>0</v>
      </c>
      <c r="J2896" s="6" t="str" cm="1">
        <f t="array" ref="J2896">IFERROR(TRIM(MID(E2896,MIN(FIND({" ";"g";"k";"m";"o"},E2896&amp;" gkmo")),10)),"unknown")</f>
        <v/>
      </c>
      <c r="K2896" s="6" t="str">
        <f t="shared" si="180"/>
        <v>unknown</v>
      </c>
      <c r="L2896" s="6" t="str">
        <f t="shared" si="181"/>
        <v>Bimo</v>
      </c>
      <c r="M2896" s="6" t="str">
        <f t="shared" si="182"/>
        <v>Merendina</v>
      </c>
      <c r="N2896" s="6" t="str">
        <f t="shared" si="183"/>
        <v>Morocco</v>
      </c>
    </row>
    <row r="2897" spans="1:14" x14ac:dyDescent="0.25">
      <c r="A2897" s="6" t="s">
        <v>6802</v>
      </c>
      <c r="B2897" s="6">
        <v>12308</v>
      </c>
      <c r="C2897" s="6" t="s">
        <v>6803</v>
      </c>
      <c r="D2897" s="7" t="s">
        <v>4131</v>
      </c>
      <c r="E2897" s="6"/>
      <c r="F2897" s="6" t="s">
        <v>8200</v>
      </c>
      <c r="G2897" s="8">
        <v>45409</v>
      </c>
      <c r="H2897" s="6">
        <v>20.56</v>
      </c>
      <c r="I2897" s="6" cm="1">
        <f t="array" ref="I2897">IFERROR(VALUE(TRIM(LEFT(E2897,MIN(FIND({" ";"g";"k";"m";"o"},E2897&amp;" gkmo"))-1))),0)</f>
        <v>0</v>
      </c>
      <c r="J2897" s="6" t="str" cm="1">
        <f t="array" ref="J2897">IFERROR(TRIM(MID(E2897,MIN(FIND({" ";"g";"k";"m";"o"},E2897&amp;" gkmo")),10)),"unknown")</f>
        <v/>
      </c>
      <c r="K2897" s="6" t="str">
        <f t="shared" si="180"/>
        <v>unknown</v>
      </c>
      <c r="L2897" s="6" t="str">
        <f t="shared" si="181"/>
        <v>Lay'S, Lays</v>
      </c>
      <c r="M2897" s="6" t="str">
        <f t="shared" si="182"/>
        <v>Lay'S Recette Paysanne Nature Maxi Format</v>
      </c>
      <c r="N2897" s="6" t="str">
        <f t="shared" si="183"/>
        <v>Fr,</v>
      </c>
    </row>
    <row r="2898" spans="1:14" x14ac:dyDescent="0.25">
      <c r="A2898" s="6" t="s">
        <v>6804</v>
      </c>
      <c r="B2898" s="6">
        <v>9681</v>
      </c>
      <c r="C2898" s="6" t="s">
        <v>6805</v>
      </c>
      <c r="D2898" s="7" t="s">
        <v>1231</v>
      </c>
      <c r="E2898" s="6" t="s">
        <v>64</v>
      </c>
      <c r="F2898" s="6" t="s">
        <v>8163</v>
      </c>
      <c r="G2898" s="8">
        <v>45817</v>
      </c>
      <c r="H2898" s="6">
        <v>13.16</v>
      </c>
      <c r="I2898" s="6" cm="1">
        <f t="array" ref="I2898">IFERROR(VALUE(TRIM(LEFT(E2898,MIN(FIND({" ";"g";"k";"m";"o"},E2898&amp;" gkmo"))-1))),0)</f>
        <v>150</v>
      </c>
      <c r="J2898" s="6" t="str" cm="1">
        <f t="array" ref="J2898">IFERROR(TRIM(MID(E2898,MIN(FIND({" ";"g";"k";"m";"o"},E2898&amp;" gkmo")),10)),"unknown")</f>
        <v>g</v>
      </c>
      <c r="K2898" s="6" t="str">
        <f t="shared" si="180"/>
        <v>g</v>
      </c>
      <c r="L2898" s="6" t="str">
        <f t="shared" si="181"/>
        <v>Lay'S, Lays</v>
      </c>
      <c r="M2898" s="6" t="str">
        <f t="shared" si="182"/>
        <v>Lays Salted Chips</v>
      </c>
      <c r="N2898" s="6" t="str">
        <f t="shared" si="183"/>
        <v>Germany</v>
      </c>
    </row>
    <row r="2899" spans="1:14" x14ac:dyDescent="0.25">
      <c r="A2899" s="6" t="s">
        <v>6806</v>
      </c>
      <c r="B2899" s="6">
        <v>13545</v>
      </c>
      <c r="C2899" s="6" t="s">
        <v>6807</v>
      </c>
      <c r="D2899" s="7" t="s">
        <v>150</v>
      </c>
      <c r="E2899" s="6" t="s">
        <v>2590</v>
      </c>
      <c r="F2899" s="6" t="s">
        <v>2973</v>
      </c>
      <c r="G2899" s="8">
        <v>45558</v>
      </c>
      <c r="H2899" s="6">
        <v>18.7</v>
      </c>
      <c r="I2899" s="6" cm="1">
        <f t="array" ref="I2899">IFERROR(VALUE(TRIM(LEFT(E2899,MIN(FIND({" ";"g";"k";"m";"o"},E2899&amp;" gkmo"))-1))),0)</f>
        <v>5</v>
      </c>
      <c r="J2899" s="6" t="str" cm="1">
        <f t="array" ref="J2899">IFERROR(TRIM(MID(E2899,MIN(FIND({" ";"g";"k";"m";"o"},E2899&amp;" gkmo")),10)),"unknown")</f>
        <v>x 20 g</v>
      </c>
      <c r="K2899" s="6" t="str">
        <f t="shared" si="180"/>
        <v>g</v>
      </c>
      <c r="L2899" s="6" t="str">
        <f t="shared" si="181"/>
        <v>Alesto</v>
      </c>
      <c r="M2899" s="6" t="str">
        <f t="shared" si="182"/>
        <v>Mango Pure Fruit Wind Ups</v>
      </c>
      <c r="N2899" s="6" t="str">
        <f t="shared" si="183"/>
        <v>Gb</v>
      </c>
    </row>
    <row r="2900" spans="1:14" x14ac:dyDescent="0.25">
      <c r="A2900" s="6" t="s">
        <v>6808</v>
      </c>
      <c r="B2900" s="6">
        <v>8688</v>
      </c>
      <c r="C2900" s="6" t="s">
        <v>7905</v>
      </c>
      <c r="D2900" s="7" t="s">
        <v>1231</v>
      </c>
      <c r="E2900" s="6" t="s">
        <v>1953</v>
      </c>
      <c r="F2900" s="6" t="s">
        <v>5759</v>
      </c>
      <c r="G2900" s="8">
        <v>45666</v>
      </c>
      <c r="H2900" s="6">
        <v>15.7</v>
      </c>
      <c r="I2900" s="6" cm="1">
        <f t="array" ref="I2900">IFERROR(VALUE(TRIM(LEFT(E2900,MIN(FIND({" ";"g";"k";"m";"o"},E2900&amp;" gkmo"))-1))),0)</f>
        <v>168</v>
      </c>
      <c r="J2900" s="6" t="str" cm="1">
        <f t="array" ref="J2900">IFERROR(TRIM(MID(E2900,MIN(FIND({" ";"g";"k";"m";"o"},E2900&amp;" gkmo")),10)),"unknown")</f>
        <v>g</v>
      </c>
      <c r="K2900" s="6" t="str">
        <f t="shared" si="180"/>
        <v>g</v>
      </c>
      <c r="L2900" s="6" t="str">
        <f t="shared" si="181"/>
        <v>Lay'S, Lays</v>
      </c>
      <c r="M2900" s="6" t="str">
        <f t="shared" si="182"/>
        <v>Recette À  L'Ancienne</v>
      </c>
      <c r="N2900" s="6" t="str">
        <f t="shared" si="183"/>
        <v>Fr</v>
      </c>
    </row>
    <row r="2901" spans="1:14" x14ac:dyDescent="0.25">
      <c r="A2901" s="6" t="s">
        <v>6809</v>
      </c>
      <c r="B2901" s="6">
        <v>12045</v>
      </c>
      <c r="C2901" s="6" t="s">
        <v>6810</v>
      </c>
      <c r="D2901" s="7" t="s">
        <v>2945</v>
      </c>
      <c r="E2901" s="6"/>
      <c r="F2901" s="6" t="s">
        <v>241</v>
      </c>
      <c r="G2901" s="8">
        <v>45692</v>
      </c>
      <c r="H2901" s="6">
        <v>24.76</v>
      </c>
      <c r="I2901" s="6" cm="1">
        <f t="array" ref="I2901">IFERROR(VALUE(TRIM(LEFT(E2901,MIN(FIND({" ";"g";"k";"m";"o"},E2901&amp;" gkmo"))-1))),0)</f>
        <v>0</v>
      </c>
      <c r="J2901" s="6" t="str" cm="1">
        <f t="array" ref="J2901">IFERROR(TRIM(MID(E2901,MIN(FIND({" ";"g";"k";"m";"o"},E2901&amp;" gkmo")),10)),"unknown")</f>
        <v/>
      </c>
      <c r="K2901" s="6" t="str">
        <f t="shared" si="180"/>
        <v>unknown</v>
      </c>
      <c r="L2901" s="6" t="str">
        <f t="shared" si="181"/>
        <v>Corny</v>
      </c>
      <c r="M2901" s="6" t="str">
        <f t="shared" si="182"/>
        <v>Haferkraft Haselnuss Zero</v>
      </c>
      <c r="N2901" s="6" t="str">
        <f t="shared" si="183"/>
        <v>Germany</v>
      </c>
    </row>
    <row r="2902" spans="1:14" x14ac:dyDescent="0.25">
      <c r="A2902" s="6" t="s">
        <v>6811</v>
      </c>
      <c r="B2902" s="6">
        <v>5283</v>
      </c>
      <c r="C2902" s="6" t="s">
        <v>6812</v>
      </c>
      <c r="D2902" s="7" t="s">
        <v>3419</v>
      </c>
      <c r="E2902" s="6" t="s">
        <v>2045</v>
      </c>
      <c r="F2902" s="6" t="s">
        <v>1986</v>
      </c>
      <c r="G2902" s="8">
        <v>45940</v>
      </c>
      <c r="H2902" s="6">
        <v>5.5</v>
      </c>
      <c r="I2902" s="6" cm="1">
        <f t="array" ref="I2902">IFERROR(VALUE(TRIM(LEFT(E2902,MIN(FIND({" ";"g";"k";"m";"o"},E2902&amp;" gkmo"))-1))),0)</f>
        <v>175</v>
      </c>
      <c r="J2902" s="6" t="str" cm="1">
        <f t="array" ref="J2902">IFERROR(TRIM(MID(E2902,MIN(FIND({" ";"g";"k";"m";"o"},E2902&amp;" gkmo")),10)),"unknown")</f>
        <v>g</v>
      </c>
      <c r="K2902" s="6" t="str">
        <f t="shared" si="180"/>
        <v>g</v>
      </c>
      <c r="L2902" s="6" t="str">
        <f t="shared" si="181"/>
        <v>Haribo</v>
      </c>
      <c r="M2902" s="6" t="str">
        <f t="shared" si="182"/>
        <v>Haribo Happy Cola</v>
      </c>
      <c r="N2902" s="6" t="str">
        <f t="shared" si="183"/>
        <v>Deutschland</v>
      </c>
    </row>
    <row r="2903" spans="1:14" x14ac:dyDescent="0.25">
      <c r="A2903" s="6" t="s">
        <v>6813</v>
      </c>
      <c r="B2903" s="6">
        <v>10110</v>
      </c>
      <c r="C2903" s="6" t="s">
        <v>6814</v>
      </c>
      <c r="D2903" s="7" t="s">
        <v>1782</v>
      </c>
      <c r="E2903" s="6" t="s">
        <v>6815</v>
      </c>
      <c r="F2903" s="6" t="s">
        <v>177</v>
      </c>
      <c r="G2903" s="8">
        <v>45657</v>
      </c>
      <c r="H2903" s="6">
        <v>16.14</v>
      </c>
      <c r="I2903" s="6" cm="1">
        <f t="array" ref="I2903">IFERROR(VALUE(TRIM(LEFT(E2903,MIN(FIND({" ";"g";"k";"m";"o"},E2903&amp;" gkmo"))-1))),0)</f>
        <v>1</v>
      </c>
      <c r="J2903" s="6" t="str" cm="1">
        <f t="array" ref="J2903">IFERROR(TRIM(MID(E2903,MIN(FIND({" ";"g";"k";"m";"o"},E2903&amp;" gkmo")),10)),"unknown")</f>
        <v>x 42g</v>
      </c>
      <c r="K2903" s="6" t="str">
        <f t="shared" si="180"/>
        <v>g</v>
      </c>
      <c r="L2903" s="6" t="str">
        <f t="shared" si="181"/>
        <v>Stoats</v>
      </c>
      <c r="M2903" s="6" t="str">
        <f t="shared" si="182"/>
        <v>Raspberry Porridge Oat Bar</v>
      </c>
      <c r="N2903" s="6" t="str">
        <f t="shared" si="183"/>
        <v>United Kingdom</v>
      </c>
    </row>
    <row r="2904" spans="1:14" x14ac:dyDescent="0.25">
      <c r="A2904" s="6" t="s">
        <v>6816</v>
      </c>
      <c r="B2904" s="6">
        <v>6155</v>
      </c>
      <c r="C2904" s="6" t="s">
        <v>6817</v>
      </c>
      <c r="D2904" s="7" t="s">
        <v>726</v>
      </c>
      <c r="E2904" s="6" t="s">
        <v>4127</v>
      </c>
      <c r="F2904" s="6" t="s">
        <v>2973</v>
      </c>
      <c r="G2904" s="8">
        <v>45877</v>
      </c>
      <c r="H2904" s="6">
        <v>14.29</v>
      </c>
      <c r="I2904" s="6" cm="1">
        <f t="array" ref="I2904">IFERROR(VALUE(TRIM(LEFT(E2904,MIN(FIND({" ";"g";"k";"m";"o"},E2904&amp;" gkmo"))-1))),0)</f>
        <v>0</v>
      </c>
      <c r="J2904" s="6" t="str" cm="1">
        <f t="array" ref="J2904">IFERROR(TRIM(MID(E2904,MIN(FIND({" ";"g";"k";"m";"o"},E2904&amp;" gkmo")),10)),"unknown")</f>
        <v>g</v>
      </c>
      <c r="K2904" s="6" t="str">
        <f t="shared" si="180"/>
        <v>g</v>
      </c>
      <c r="L2904" s="6" t="str">
        <f t="shared" si="181"/>
        <v>Walkers</v>
      </c>
      <c r="M2904" s="6" t="str">
        <f t="shared" si="182"/>
        <v>Baked Salt And Vinegar Crisps</v>
      </c>
      <c r="N2904" s="6" t="str">
        <f t="shared" si="183"/>
        <v>Gb</v>
      </c>
    </row>
    <row r="2905" spans="1:14" x14ac:dyDescent="0.25">
      <c r="A2905" s="6" t="s">
        <v>6818</v>
      </c>
      <c r="B2905" s="6">
        <v>5631</v>
      </c>
      <c r="C2905" s="6" t="s">
        <v>5828</v>
      </c>
      <c r="D2905" s="7" t="s">
        <v>1985</v>
      </c>
      <c r="E2905" s="6" t="s">
        <v>64</v>
      </c>
      <c r="F2905" s="6" t="s">
        <v>8201</v>
      </c>
      <c r="G2905" s="8">
        <v>45913</v>
      </c>
      <c r="H2905" s="6">
        <v>22.12</v>
      </c>
      <c r="I2905" s="6" cm="1">
        <f t="array" ref="I2905">IFERROR(VALUE(TRIM(LEFT(E2905,MIN(FIND({" ";"g";"k";"m";"o"},E2905&amp;" gkmo"))-1))),0)</f>
        <v>150</v>
      </c>
      <c r="J2905" s="6" t="str" cm="1">
        <f t="array" ref="J2905">IFERROR(TRIM(MID(E2905,MIN(FIND({" ";"g";"k";"m";"o"},E2905&amp;" gkmo")),10)),"unknown")</f>
        <v>g</v>
      </c>
      <c r="K2905" s="6" t="str">
        <f t="shared" si="180"/>
        <v>g</v>
      </c>
      <c r="L2905" s="6" t="str">
        <f t="shared" si="181"/>
        <v>Funny-Frisch</v>
      </c>
      <c r="M2905" s="6" t="str">
        <f t="shared" si="182"/>
        <v>Chipsfrisch Gesalzen</v>
      </c>
      <c r="N2905" s="6" t="str">
        <f t="shared" si="183"/>
        <v>Germany,</v>
      </c>
    </row>
    <row r="2906" spans="1:14" x14ac:dyDescent="0.25">
      <c r="A2906" s="6" t="s">
        <v>6819</v>
      </c>
      <c r="B2906" s="6">
        <v>13952</v>
      </c>
      <c r="C2906" s="6" t="s">
        <v>7438</v>
      </c>
      <c r="D2906" s="7" t="s">
        <v>7017</v>
      </c>
      <c r="E2906" s="6" t="s">
        <v>4938</v>
      </c>
      <c r="F2906" s="6" t="s">
        <v>139</v>
      </c>
      <c r="G2906" s="8">
        <v>45433</v>
      </c>
      <c r="H2906" s="6">
        <v>22.29</v>
      </c>
      <c r="I2906" s="6" cm="1">
        <f t="array" ref="I2906">IFERROR(VALUE(TRIM(LEFT(E2906,MIN(FIND({" ";"g";"k";"m";"o"},E2906&amp;" gkmo"))-1))),0)</f>
        <v>176</v>
      </c>
      <c r="J2906" s="6" t="str" cm="1">
        <f t="array" ref="J2906">IFERROR(TRIM(MID(E2906,MIN(FIND({" ";"g";"k";"m";"o"},E2906&amp;" gkmo")),10)),"unknown")</f>
        <v>g</v>
      </c>
      <c r="K2906" s="6" t="str">
        <f t="shared" si="180"/>
        <v>g</v>
      </c>
      <c r="L2906" s="6" t="str">
        <f t="shared" si="181"/>
        <v>Unknown</v>
      </c>
      <c r="M2906" s="6" t="str">
        <f t="shared" si="182"/>
        <v>Biscuits Au Cacao Fourrés Vanille</v>
      </c>
      <c r="N2906" s="6" t="str">
        <f t="shared" si="183"/>
        <v>France</v>
      </c>
    </row>
    <row r="2907" spans="1:14" x14ac:dyDescent="0.25">
      <c r="A2907" s="6" t="s">
        <v>6820</v>
      </c>
      <c r="B2907" s="6">
        <v>9216</v>
      </c>
      <c r="C2907" s="6" t="s">
        <v>7439</v>
      </c>
      <c r="D2907" s="7" t="s">
        <v>1551</v>
      </c>
      <c r="E2907" s="6" t="s">
        <v>291</v>
      </c>
      <c r="F2907" s="6" t="s">
        <v>5759</v>
      </c>
      <c r="G2907" s="8">
        <v>45433</v>
      </c>
      <c r="H2907" s="6">
        <v>5.27</v>
      </c>
      <c r="I2907" s="6" cm="1">
        <f t="array" ref="I2907">IFERROR(VALUE(TRIM(LEFT(E2907,MIN(FIND({" ";"g";"k";"m";"o"},E2907&amp;" gkmo"))-1))),0)</f>
        <v>140</v>
      </c>
      <c r="J2907" s="6" t="str" cm="1">
        <f t="array" ref="J2907">IFERROR(TRIM(MID(E2907,MIN(FIND({" ";"g";"k";"m";"o"},E2907&amp;" gkmo")),10)),"unknown")</f>
        <v>g</v>
      </c>
      <c r="K2907" s="6" t="str">
        <f t="shared" si="180"/>
        <v>g</v>
      </c>
      <c r="L2907" s="6" t="str">
        <f t="shared" si="181"/>
        <v>Biocoop</v>
      </c>
      <c r="M2907" s="6" t="str">
        <f t="shared" si="182"/>
        <v>Biscuit Sablé Nappé 6 Céréales (12)</v>
      </c>
      <c r="N2907" s="6" t="str">
        <f t="shared" si="183"/>
        <v>Fr</v>
      </c>
    </row>
    <row r="2908" spans="1:14" x14ac:dyDescent="0.25">
      <c r="A2908" s="6" t="s">
        <v>6821</v>
      </c>
      <c r="B2908" s="6">
        <v>13554</v>
      </c>
      <c r="C2908" s="6" t="s">
        <v>6822</v>
      </c>
      <c r="D2908" s="7" t="s">
        <v>1782</v>
      </c>
      <c r="E2908" s="6"/>
      <c r="F2908" s="6" t="s">
        <v>2973</v>
      </c>
      <c r="G2908" s="8">
        <v>45479</v>
      </c>
      <c r="H2908" s="6">
        <v>2.54</v>
      </c>
      <c r="I2908" s="6" cm="1">
        <f t="array" ref="I2908">IFERROR(VALUE(TRIM(LEFT(E2908,MIN(FIND({" ";"g";"k";"m";"o"},E2908&amp;" gkmo"))-1))),0)</f>
        <v>0</v>
      </c>
      <c r="J2908" s="6" t="str" cm="1">
        <f t="array" ref="J2908">IFERROR(TRIM(MID(E2908,MIN(FIND({" ";"g";"k";"m";"o"},E2908&amp;" gkmo")),10)),"unknown")</f>
        <v/>
      </c>
      <c r="K2908" s="6" t="str">
        <f t="shared" si="180"/>
        <v>unknown</v>
      </c>
      <c r="L2908" s="6" t="str">
        <f t="shared" si="181"/>
        <v>Stoats</v>
      </c>
      <c r="M2908" s="6" t="str">
        <f t="shared" si="182"/>
        <v>Apple &amp; Cinnamon Porridge Oat Bar</v>
      </c>
      <c r="N2908" s="6" t="str">
        <f t="shared" si="183"/>
        <v>Gb</v>
      </c>
    </row>
    <row r="2909" spans="1:14" x14ac:dyDescent="0.25">
      <c r="A2909" s="6" t="s">
        <v>6823</v>
      </c>
      <c r="B2909" s="6">
        <v>14686</v>
      </c>
      <c r="C2909" s="6" t="s">
        <v>7440</v>
      </c>
      <c r="D2909" s="7" t="s">
        <v>6824</v>
      </c>
      <c r="E2909" s="6" t="s">
        <v>1953</v>
      </c>
      <c r="F2909" s="6" t="s">
        <v>139</v>
      </c>
      <c r="G2909" s="8">
        <v>46024</v>
      </c>
      <c r="H2909" s="6">
        <v>3.99</v>
      </c>
      <c r="I2909" s="6" cm="1">
        <f t="array" ref="I2909">IFERROR(VALUE(TRIM(LEFT(E2909,MIN(FIND({" ";"g";"k";"m";"o"},E2909&amp;" gkmo"))-1))),0)</f>
        <v>168</v>
      </c>
      <c r="J2909" s="6" t="str" cm="1">
        <f t="array" ref="J2909">IFERROR(TRIM(MID(E2909,MIN(FIND({" ";"g";"k";"m";"o"},E2909&amp;" gkmo")),10)),"unknown")</f>
        <v>g</v>
      </c>
      <c r="K2909" s="6" t="str">
        <f t="shared" si="180"/>
        <v>g</v>
      </c>
      <c r="L2909" s="6" t="str">
        <f t="shared" si="181"/>
        <v>Bahlsen, Pick Up!</v>
      </c>
      <c r="M2909" s="6" t="str">
        <f t="shared" si="182"/>
        <v>Pick Up! Fourré Au Lait</v>
      </c>
      <c r="N2909" s="6" t="str">
        <f t="shared" si="183"/>
        <v>France</v>
      </c>
    </row>
    <row r="2910" spans="1:14" x14ac:dyDescent="0.25">
      <c r="A2910" s="6" t="s">
        <v>6825</v>
      </c>
      <c r="B2910" s="6">
        <v>9013</v>
      </c>
      <c r="C2910" s="6" t="s">
        <v>6826</v>
      </c>
      <c r="D2910" s="7" t="s">
        <v>6827</v>
      </c>
      <c r="E2910" s="6" t="s">
        <v>1953</v>
      </c>
      <c r="F2910" s="6" t="s">
        <v>139</v>
      </c>
      <c r="G2910" s="8">
        <v>46047</v>
      </c>
      <c r="H2910" s="6">
        <v>21.9</v>
      </c>
      <c r="I2910" s="6" cm="1">
        <f t="array" ref="I2910">IFERROR(VALUE(TRIM(LEFT(E2910,MIN(FIND({" ";"g";"k";"m";"o"},E2910&amp;" gkmo"))-1))),0)</f>
        <v>168</v>
      </c>
      <c r="J2910" s="6" t="str" cm="1">
        <f t="array" ref="J2910">IFERROR(TRIM(MID(E2910,MIN(FIND({" ";"g";"k";"m";"o"},E2910&amp;" gkmo")),10)),"unknown")</f>
        <v>g</v>
      </c>
      <c r="K2910" s="6" t="str">
        <f t="shared" si="180"/>
        <v>g</v>
      </c>
      <c r="L2910" s="6" t="str">
        <f t="shared" si="181"/>
        <v>Bahlsen</v>
      </c>
      <c r="M2910" s="6" t="str">
        <f t="shared" si="182"/>
        <v>Pick-Up</v>
      </c>
      <c r="N2910" s="6" t="str">
        <f t="shared" si="183"/>
        <v>France</v>
      </c>
    </row>
    <row r="2911" spans="1:14" x14ac:dyDescent="0.25">
      <c r="A2911" s="6" t="s">
        <v>6828</v>
      </c>
      <c r="B2911" s="6">
        <v>9312</v>
      </c>
      <c r="C2911" s="6" t="s">
        <v>6829</v>
      </c>
      <c r="D2911" s="7" t="s">
        <v>72</v>
      </c>
      <c r="E2911" s="6" t="s">
        <v>197</v>
      </c>
      <c r="F2911" s="6" t="s">
        <v>139</v>
      </c>
      <c r="G2911" s="8">
        <v>45970</v>
      </c>
      <c r="H2911" s="6">
        <v>23.81</v>
      </c>
      <c r="I2911" s="6" cm="1">
        <f t="array" ref="I2911">IFERROR(VALUE(TRIM(LEFT(E2911,MIN(FIND({" ";"g";"k";"m";"o"},E2911&amp;" gkmo"))-1))),0)</f>
        <v>130</v>
      </c>
      <c r="J2911" s="6" t="str" cm="1">
        <f t="array" ref="J2911">IFERROR(TRIM(MID(E2911,MIN(FIND({" ";"g";"k";"m";"o"},E2911&amp;" gkmo")),10)),"unknown")</f>
        <v>g</v>
      </c>
      <c r="K2911" s="6" t="str">
        <f t="shared" si="180"/>
        <v>g</v>
      </c>
      <c r="L2911" s="6" t="str">
        <f t="shared" si="181"/>
        <v>Bjorg</v>
      </c>
      <c r="M2911" s="6" t="str">
        <f t="shared" si="182"/>
        <v>Biscuits Chocolat Gingembre</v>
      </c>
      <c r="N2911" s="6" t="str">
        <f t="shared" si="183"/>
        <v>France</v>
      </c>
    </row>
    <row r="2912" spans="1:14" x14ac:dyDescent="0.25">
      <c r="A2912" s="6" t="s">
        <v>6830</v>
      </c>
      <c r="B2912" s="6">
        <v>14907</v>
      </c>
      <c r="C2912" s="6" t="s">
        <v>6831</v>
      </c>
      <c r="D2912" s="7" t="s">
        <v>2466</v>
      </c>
      <c r="E2912" s="6"/>
      <c r="F2912" s="6" t="s">
        <v>997</v>
      </c>
      <c r="G2912" s="8">
        <v>45456</v>
      </c>
      <c r="H2912" s="6">
        <v>1.18</v>
      </c>
      <c r="I2912" s="6" cm="1">
        <f t="array" ref="I2912">IFERROR(VALUE(TRIM(LEFT(E2912,MIN(FIND({" ";"g";"k";"m";"o"},E2912&amp;" gkmo"))-1))),0)</f>
        <v>0</v>
      </c>
      <c r="J2912" s="6" t="str" cm="1">
        <f t="array" ref="J2912">IFERROR(TRIM(MID(E2912,MIN(FIND({" ";"g";"k";"m";"o"},E2912&amp;" gkmo")),10)),"unknown")</f>
        <v/>
      </c>
      <c r="K2912" s="6" t="str">
        <f t="shared" si="180"/>
        <v>unknown</v>
      </c>
      <c r="L2912" s="6" t="str">
        <f t="shared" si="181"/>
        <v>Misura</v>
      </c>
      <c r="M2912" s="6" t="str">
        <f t="shared" si="182"/>
        <v>Biscotti Misura Protein</v>
      </c>
      <c r="N2912" s="6" t="str">
        <f t="shared" si="183"/>
        <v>Italy</v>
      </c>
    </row>
    <row r="2913" spans="1:14" x14ac:dyDescent="0.25">
      <c r="A2913" s="6" t="s">
        <v>6832</v>
      </c>
      <c r="B2913" s="6">
        <v>10831</v>
      </c>
      <c r="C2913" s="6" t="s">
        <v>6833</v>
      </c>
      <c r="D2913" s="7" t="s">
        <v>6834</v>
      </c>
      <c r="E2913" s="6" t="s">
        <v>1228</v>
      </c>
      <c r="F2913" s="6" t="s">
        <v>6835</v>
      </c>
      <c r="G2913" s="8">
        <v>45415</v>
      </c>
      <c r="H2913" s="6">
        <v>4.0199999999999996</v>
      </c>
      <c r="I2913" s="6" cm="1">
        <f t="array" ref="I2913">IFERROR(VALUE(TRIM(LEFT(E2913,MIN(FIND({" ";"g";"k";"m";"o"},E2913&amp;" gkmo"))-1))),0)</f>
        <v>60</v>
      </c>
      <c r="J2913" s="6" t="str" cm="1">
        <f t="array" ref="J2913">IFERROR(TRIM(MID(E2913,MIN(FIND({" ";"g";"k";"m";"o"},E2913&amp;" gkmo")),10)),"unknown")</f>
        <v>g</v>
      </c>
      <c r="K2913" s="6" t="str">
        <f t="shared" si="180"/>
        <v>g</v>
      </c>
      <c r="L2913" s="6" t="str">
        <f t="shared" si="181"/>
        <v>Feastables, Mrbeast</v>
      </c>
      <c r="M2913" s="6" t="str">
        <f t="shared" si="182"/>
        <v>Feastables - Milk Chocolate</v>
      </c>
      <c r="N2913" s="6" t="str">
        <f t="shared" si="183"/>
        <v>Germany,United Kingdom,Lithuania</v>
      </c>
    </row>
    <row r="2914" spans="1:14" x14ac:dyDescent="0.25">
      <c r="A2914" s="6" t="s">
        <v>6836</v>
      </c>
      <c r="B2914" s="6">
        <v>9760</v>
      </c>
      <c r="C2914" s="6" t="s">
        <v>7017</v>
      </c>
      <c r="D2914" s="7" t="s">
        <v>310</v>
      </c>
      <c r="E2914" s="6"/>
      <c r="F2914" s="6" t="s">
        <v>139</v>
      </c>
      <c r="G2914" s="8">
        <v>45350</v>
      </c>
      <c r="H2914" s="6">
        <v>13.16</v>
      </c>
      <c r="I2914" s="6" cm="1">
        <f t="array" ref="I2914">IFERROR(VALUE(TRIM(LEFT(E2914,MIN(FIND({" ";"g";"k";"m";"o"},E2914&amp;" gkmo"))-1))),0)</f>
        <v>0</v>
      </c>
      <c r="J2914" s="6" t="str" cm="1">
        <f t="array" ref="J2914">IFERROR(TRIM(MID(E2914,MIN(FIND({" ";"g";"k";"m";"o"},E2914&amp;" gkmo")),10)),"unknown")</f>
        <v/>
      </c>
      <c r="K2914" s="6" t="str">
        <f t="shared" si="180"/>
        <v>unknown</v>
      </c>
      <c r="L2914" s="6" t="str">
        <f t="shared" si="181"/>
        <v>St Michel</v>
      </c>
      <c r="M2914" s="6" t="str">
        <f t="shared" si="182"/>
        <v>Unknown</v>
      </c>
      <c r="N2914" s="6" t="str">
        <f t="shared" si="183"/>
        <v>France</v>
      </c>
    </row>
    <row r="2915" spans="1:14" x14ac:dyDescent="0.25">
      <c r="A2915" s="6" t="s">
        <v>6837</v>
      </c>
      <c r="B2915" s="6">
        <v>10937</v>
      </c>
      <c r="C2915" s="6" t="s">
        <v>6838</v>
      </c>
      <c r="D2915" s="7" t="s">
        <v>828</v>
      </c>
      <c r="E2915" s="6"/>
      <c r="F2915" s="6" t="s">
        <v>177</v>
      </c>
      <c r="G2915" s="8">
        <v>45489</v>
      </c>
      <c r="H2915" s="6">
        <v>14.54</v>
      </c>
      <c r="I2915" s="6" cm="1">
        <f t="array" ref="I2915">IFERROR(VALUE(TRIM(LEFT(E2915,MIN(FIND({" ";"g";"k";"m";"o"},E2915&amp;" gkmo"))-1))),0)</f>
        <v>0</v>
      </c>
      <c r="J2915" s="6" t="str" cm="1">
        <f t="array" ref="J2915">IFERROR(TRIM(MID(E2915,MIN(FIND({" ";"g";"k";"m";"o"},E2915&amp;" gkmo")),10)),"unknown")</f>
        <v/>
      </c>
      <c r="K2915" s="6" t="str">
        <f t="shared" si="180"/>
        <v>unknown</v>
      </c>
      <c r="L2915" s="6" t="str">
        <f t="shared" si="181"/>
        <v>Tony'S Chocolonely</v>
      </c>
      <c r="M2915" s="6" t="str">
        <f t="shared" si="182"/>
        <v>Tony Chocolate Dark Hazelnut</v>
      </c>
      <c r="N2915" s="6" t="str">
        <f t="shared" si="183"/>
        <v>United Kingdom</v>
      </c>
    </row>
    <row r="2916" spans="1:14" x14ac:dyDescent="0.25">
      <c r="A2916" s="6" t="s">
        <v>6839</v>
      </c>
      <c r="B2916" s="6">
        <v>7552</v>
      </c>
      <c r="C2916" s="6" t="s">
        <v>6840</v>
      </c>
      <c r="D2916" s="7" t="s">
        <v>6841</v>
      </c>
      <c r="E2916" s="6" t="s">
        <v>4084</v>
      </c>
      <c r="F2916" s="6" t="s">
        <v>241</v>
      </c>
      <c r="G2916" s="8">
        <v>45857</v>
      </c>
      <c r="H2916" s="6">
        <v>6.23</v>
      </c>
      <c r="I2916" s="6" cm="1">
        <f t="array" ref="I2916">IFERROR(VALUE(TRIM(LEFT(E2916,MIN(FIND({" ";"g";"k";"m";"o"},E2916&amp;" gkmo"))-1))),0)</f>
        <v>0</v>
      </c>
      <c r="J2916" s="6" t="str" cm="1">
        <f t="array" ref="J2916">IFERROR(TRIM(MID(E2916,MIN(FIND({" ";"g";"k";"m";"o"},E2916&amp;" gkmo")),10)),"unknown")</f>
        <v/>
      </c>
      <c r="K2916" s="6" t="str">
        <f t="shared" si="180"/>
        <v>unknown</v>
      </c>
      <c r="L2916" s="6" t="str">
        <f t="shared" si="181"/>
        <v>Wrigleyâ€˜S,Extrafresh</v>
      </c>
      <c r="M2916" s="6" t="str">
        <f t="shared" si="182"/>
        <v>Extra Fresh Professional</v>
      </c>
      <c r="N2916" s="6" t="str">
        <f t="shared" si="183"/>
        <v>Germany</v>
      </c>
    </row>
    <row r="2917" spans="1:14" x14ac:dyDescent="0.25">
      <c r="A2917" s="6" t="s">
        <v>6842</v>
      </c>
      <c r="B2917" s="6">
        <v>7445</v>
      </c>
      <c r="C2917" s="6" t="s">
        <v>6843</v>
      </c>
      <c r="D2917" s="7" t="s">
        <v>6844</v>
      </c>
      <c r="E2917" s="6" t="s">
        <v>580</v>
      </c>
      <c r="F2917" s="6" t="s">
        <v>177</v>
      </c>
      <c r="G2917" s="8">
        <v>45981</v>
      </c>
      <c r="H2917" s="6">
        <v>23.1</v>
      </c>
      <c r="I2917" s="6" cm="1">
        <f t="array" ref="I2917">IFERROR(VALUE(TRIM(LEFT(E2917,MIN(FIND({" ";"g";"k";"m";"o"},E2917&amp;" gkmo"))-1))),0)</f>
        <v>250</v>
      </c>
      <c r="J2917" s="6" t="str" cm="1">
        <f t="array" ref="J2917">IFERROR(TRIM(MID(E2917,MIN(FIND({" ";"g";"k";"m";"o"},E2917&amp;" gkmo")),10)),"unknown")</f>
        <v>g</v>
      </c>
      <c r="K2917" s="6" t="str">
        <f t="shared" si="180"/>
        <v>g</v>
      </c>
      <c r="L2917" s="6" t="str">
        <f t="shared" si="181"/>
        <v>Arden &amp; Amici</v>
      </c>
      <c r="M2917" s="6" t="str">
        <f t="shared" si="182"/>
        <v>Italian Crackers Made With Sourdough</v>
      </c>
      <c r="N2917" s="6" t="str">
        <f t="shared" si="183"/>
        <v>United Kingdom</v>
      </c>
    </row>
    <row r="2918" spans="1:14" x14ac:dyDescent="0.25">
      <c r="A2918" s="6" t="s">
        <v>6845</v>
      </c>
      <c r="B2918" s="6">
        <v>11984</v>
      </c>
      <c r="C2918" s="6" t="s">
        <v>6846</v>
      </c>
      <c r="D2918" s="7" t="s">
        <v>6847</v>
      </c>
      <c r="E2918" s="6" t="s">
        <v>39</v>
      </c>
      <c r="F2918" s="6" t="s">
        <v>8202</v>
      </c>
      <c r="G2918" s="8">
        <v>45441</v>
      </c>
      <c r="H2918" s="6">
        <v>20.5</v>
      </c>
      <c r="I2918" s="6" cm="1">
        <f t="array" ref="I2918">IFERROR(VALUE(TRIM(LEFT(E2918,MIN(FIND({" ";"g";"k";"m";"o"},E2918&amp;" gkmo"))-1))),0)</f>
        <v>150</v>
      </c>
      <c r="J2918" s="6" t="str" cm="1">
        <f t="array" ref="J2918">IFERROR(TRIM(MID(E2918,MIN(FIND({" ";"g";"k";"m";"o"},E2918&amp;" gkmo")),10)),"unknown")</f>
        <v>g</v>
      </c>
      <c r="K2918" s="6" t="str">
        <f t="shared" si="180"/>
        <v>g</v>
      </c>
      <c r="L2918" s="6" t="str">
        <f t="shared" si="181"/>
        <v>Snacks Of The World</v>
      </c>
      <c r="M2918" s="6" t="str">
        <f t="shared" si="182"/>
        <v>Kyoto Style Mix</v>
      </c>
      <c r="N2918" s="6" t="str">
        <f t="shared" si="183"/>
        <v>Austria, Netherlands, France</v>
      </c>
    </row>
    <row r="2919" spans="1:14" x14ac:dyDescent="0.25">
      <c r="A2919" s="6" t="s">
        <v>6848</v>
      </c>
      <c r="B2919" s="6">
        <v>8075</v>
      </c>
      <c r="C2919" s="6" t="s">
        <v>6849</v>
      </c>
      <c r="D2919" s="7" t="s">
        <v>452</v>
      </c>
      <c r="E2919" s="6" t="s">
        <v>39</v>
      </c>
      <c r="F2919" s="6" t="s">
        <v>6850</v>
      </c>
      <c r="G2919" s="8">
        <v>45642</v>
      </c>
      <c r="H2919" s="6">
        <v>18.02</v>
      </c>
      <c r="I2919" s="6" cm="1">
        <f t="array" ref="I2919">IFERROR(VALUE(TRIM(LEFT(E2919,MIN(FIND({" ";"g";"k";"m";"o"},E2919&amp;" gkmo"))-1))),0)</f>
        <v>150</v>
      </c>
      <c r="J2919" s="6" t="str" cm="1">
        <f t="array" ref="J2919">IFERROR(TRIM(MID(E2919,MIN(FIND({" ";"g";"k";"m";"o"},E2919&amp;" gkmo")),10)),"unknown")</f>
        <v>g</v>
      </c>
      <c r="K2919" s="6" t="str">
        <f t="shared" si="180"/>
        <v>g</v>
      </c>
      <c r="L2919" s="6" t="str">
        <f t="shared" si="181"/>
        <v>Hacendado</v>
      </c>
      <c r="M2919" s="6" t="str">
        <f t="shared" si="182"/>
        <v>Batatas Fritas Sabor Serrano</v>
      </c>
      <c r="N2919" s="6" t="str">
        <f t="shared" si="183"/>
        <v>Romania,Spain</v>
      </c>
    </row>
    <row r="2920" spans="1:14" x14ac:dyDescent="0.25">
      <c r="A2920" s="6" t="s">
        <v>6851</v>
      </c>
      <c r="B2920" s="6">
        <v>9669</v>
      </c>
      <c r="C2920" s="6" t="s">
        <v>4242</v>
      </c>
      <c r="D2920" s="7" t="s">
        <v>7017</v>
      </c>
      <c r="E2920" s="6" t="s">
        <v>2045</v>
      </c>
      <c r="F2920" s="6" t="s">
        <v>7885</v>
      </c>
      <c r="G2920" s="8">
        <v>45528</v>
      </c>
      <c r="H2920" s="6">
        <v>7.74</v>
      </c>
      <c r="I2920" s="6" cm="1">
        <f t="array" ref="I2920">IFERROR(VALUE(TRIM(LEFT(E2920,MIN(FIND({" ";"g";"k";"m";"o"},E2920&amp;" gkmo"))-1))),0)</f>
        <v>175</v>
      </c>
      <c r="J2920" s="6" t="str" cm="1">
        <f t="array" ref="J2920">IFERROR(TRIM(MID(E2920,MIN(FIND({" ";"g";"k";"m";"o"},E2920&amp;" gkmo")),10)),"unknown")</f>
        <v>g</v>
      </c>
      <c r="K2920" s="6" t="str">
        <f t="shared" si="180"/>
        <v>g</v>
      </c>
      <c r="L2920" s="6" t="str">
        <f t="shared" si="181"/>
        <v>Unknown</v>
      </c>
      <c r="M2920" s="6" t="str">
        <f t="shared" si="182"/>
        <v>Maltesers</v>
      </c>
      <c r="N2920" s="6" t="str">
        <f t="shared" si="183"/>
        <v>Frankreich,Deutschland,Vereinigtes Kà¶Nigreich</v>
      </c>
    </row>
    <row r="2921" spans="1:14" x14ac:dyDescent="0.25">
      <c r="A2921" s="6" t="s">
        <v>6852</v>
      </c>
      <c r="B2921" s="6">
        <v>13363</v>
      </c>
      <c r="C2921" s="6" t="s">
        <v>827</v>
      </c>
      <c r="D2921" s="7" t="s">
        <v>6853</v>
      </c>
      <c r="E2921" s="6"/>
      <c r="F2921" s="6" t="s">
        <v>177</v>
      </c>
      <c r="G2921" s="8">
        <v>45971</v>
      </c>
      <c r="H2921" s="6">
        <v>10.36</v>
      </c>
      <c r="I2921" s="6" cm="1">
        <f t="array" ref="I2921">IFERROR(VALUE(TRIM(LEFT(E2921,MIN(FIND({" ";"g";"k";"m";"o"},E2921&amp;" gkmo"))-1))),0)</f>
        <v>0</v>
      </c>
      <c r="J2921" s="6" t="str" cm="1">
        <f t="array" ref="J2921">IFERROR(TRIM(MID(E2921,MIN(FIND({" ";"g";"k";"m";"o"},E2921&amp;" gkmo")),10)),"unknown")</f>
        <v/>
      </c>
      <c r="K2921" s="6" t="str">
        <f t="shared" si="180"/>
        <v>unknown</v>
      </c>
      <c r="L2921" s="6" t="str">
        <f t="shared" si="181"/>
        <v>Lindt Classic Recipe</v>
      </c>
      <c r="M2921" s="6" t="str">
        <f t="shared" si="182"/>
        <v>Milk Chocolate</v>
      </c>
      <c r="N2921" s="6" t="str">
        <f t="shared" si="183"/>
        <v>United Kingdom</v>
      </c>
    </row>
    <row r="2922" spans="1:14" x14ac:dyDescent="0.25">
      <c r="A2922" s="6" t="s">
        <v>6854</v>
      </c>
      <c r="B2922" s="6">
        <v>6679</v>
      </c>
      <c r="C2922" s="6" t="s">
        <v>1529</v>
      </c>
      <c r="D2922" s="7" t="s">
        <v>1529</v>
      </c>
      <c r="E2922" s="6" t="s">
        <v>962</v>
      </c>
      <c r="F2922" s="6" t="s">
        <v>8037</v>
      </c>
      <c r="G2922" s="8">
        <v>45998</v>
      </c>
      <c r="H2922" s="6">
        <v>14.76</v>
      </c>
      <c r="I2922" s="6" cm="1">
        <f t="array" ref="I2922">IFERROR(VALUE(TRIM(LEFT(E2922,MIN(FIND({" ";"g";"k";"m";"o"},E2922&amp;" gkmo"))-1))),0)</f>
        <v>225</v>
      </c>
      <c r="J2922" s="6" t="str" cm="1">
        <f t="array" ref="J2922">IFERROR(TRIM(MID(E2922,MIN(FIND({" ";"g";"k";"m";"o"},E2922&amp;" gkmo")),10)),"unknown")</f>
        <v>g</v>
      </c>
      <c r="K2922" s="6" t="str">
        <f t="shared" si="180"/>
        <v>g</v>
      </c>
      <c r="L2922" s="6" t="str">
        <f t="shared" si="181"/>
        <v>Mars</v>
      </c>
      <c r="M2922" s="6" t="str">
        <f t="shared" si="182"/>
        <v>Mars</v>
      </c>
      <c r="N2922" s="6" t="str">
        <f t="shared" si="183"/>
        <v>Germany, France</v>
      </c>
    </row>
    <row r="2923" spans="1:14" x14ac:dyDescent="0.25">
      <c r="A2923" s="6" t="s">
        <v>6855</v>
      </c>
      <c r="B2923" s="6">
        <v>9139</v>
      </c>
      <c r="C2923" s="6" t="s">
        <v>6856</v>
      </c>
      <c r="D2923" s="7" t="s">
        <v>7017</v>
      </c>
      <c r="E2923" s="6" t="s">
        <v>515</v>
      </c>
      <c r="F2923" s="6" t="s">
        <v>177</v>
      </c>
      <c r="G2923" s="8">
        <v>46025</v>
      </c>
      <c r="H2923" s="6">
        <v>23.43</v>
      </c>
      <c r="I2923" s="6" cm="1">
        <f t="array" ref="I2923">IFERROR(VALUE(TRIM(LEFT(E2923,MIN(FIND({" ";"g";"k";"m";"o"},E2923&amp;" gkmo"))-1))),0)</f>
        <v>3</v>
      </c>
      <c r="J2923" s="6" t="str" cm="1">
        <f t="array" ref="J2923">IFERROR(TRIM(MID(E2923,MIN(FIND({" ";"g";"k";"m";"o"},E2923&amp;" gkmo")),10)),"unknown")</f>
        <v>x 50g</v>
      </c>
      <c r="K2923" s="6" t="str">
        <f t="shared" si="180"/>
        <v>g</v>
      </c>
      <c r="L2923" s="6" t="str">
        <f t="shared" si="181"/>
        <v>Unknown</v>
      </c>
      <c r="M2923" s="6" t="str">
        <f t="shared" si="182"/>
        <v>Lemon &amp; Poppy Seed Oat Bars</v>
      </c>
      <c r="N2923" s="6" t="str">
        <f t="shared" si="183"/>
        <v>United Kingdom</v>
      </c>
    </row>
    <row r="2924" spans="1:14" x14ac:dyDescent="0.25">
      <c r="A2924" s="6" t="s">
        <v>6857</v>
      </c>
      <c r="B2924" s="6">
        <v>9984</v>
      </c>
      <c r="C2924" s="6" t="s">
        <v>6858</v>
      </c>
      <c r="D2924" s="7" t="s">
        <v>3745</v>
      </c>
      <c r="E2924" s="6" t="s">
        <v>28</v>
      </c>
      <c r="F2924" s="6" t="s">
        <v>177</v>
      </c>
      <c r="G2924" s="8">
        <v>45946</v>
      </c>
      <c r="H2924" s="6">
        <v>22.61</v>
      </c>
      <c r="I2924" s="6" cm="1">
        <f t="array" ref="I2924">IFERROR(VALUE(TRIM(LEFT(E2924,MIN(FIND({" ";"g";"k";"m";"o"},E2924&amp;" gkmo"))-1))),0)</f>
        <v>125</v>
      </c>
      <c r="J2924" s="6" t="str" cm="1">
        <f t="array" ref="J2924">IFERROR(TRIM(MID(E2924,MIN(FIND({" ";"g";"k";"m";"o"},E2924&amp;" gkmo")),10)),"unknown")</f>
        <v>g</v>
      </c>
      <c r="K2924" s="6" t="str">
        <f t="shared" si="180"/>
        <v>g</v>
      </c>
      <c r="L2924" s="6" t="str">
        <f t="shared" si="181"/>
        <v>Peter'S Yard</v>
      </c>
      <c r="M2924" s="6" t="str">
        <f t="shared" si="182"/>
        <v>Original Sourdough Crispbread</v>
      </c>
      <c r="N2924" s="6" t="str">
        <f t="shared" si="183"/>
        <v>United Kingdom</v>
      </c>
    </row>
    <row r="2925" spans="1:14" x14ac:dyDescent="0.25">
      <c r="A2925" s="6" t="s">
        <v>6859</v>
      </c>
      <c r="B2925" s="6">
        <v>5057</v>
      </c>
      <c r="C2925" s="6" t="s">
        <v>1946</v>
      </c>
      <c r="D2925" s="7" t="s">
        <v>7017</v>
      </c>
      <c r="E2925" s="6"/>
      <c r="F2925" s="6" t="s">
        <v>177</v>
      </c>
      <c r="G2925" s="8">
        <v>46010</v>
      </c>
      <c r="H2925" s="6">
        <v>10.72</v>
      </c>
      <c r="I2925" s="6" cm="1">
        <f t="array" ref="I2925">IFERROR(VALUE(TRIM(LEFT(E2925,MIN(FIND({" ";"g";"k";"m";"o"},E2925&amp;" gkmo"))-1))),0)</f>
        <v>0</v>
      </c>
      <c r="J2925" s="6" t="str" cm="1">
        <f t="array" ref="J2925">IFERROR(TRIM(MID(E2925,MIN(FIND({" ";"g";"k";"m";"o"},E2925&amp;" gkmo")),10)),"unknown")</f>
        <v/>
      </c>
      <c r="K2925" s="6" t="str">
        <f t="shared" si="180"/>
        <v>unknown</v>
      </c>
      <c r="L2925" s="6" t="str">
        <f t="shared" si="181"/>
        <v>Unknown</v>
      </c>
      <c r="M2925" s="6" t="str">
        <f t="shared" si="182"/>
        <v>Lentil Chips</v>
      </c>
      <c r="N2925" s="6" t="str">
        <f t="shared" si="183"/>
        <v>United Kingdom</v>
      </c>
    </row>
    <row r="2926" spans="1:14" x14ac:dyDescent="0.25">
      <c r="A2926" s="6" t="s">
        <v>6860</v>
      </c>
      <c r="B2926" s="6">
        <v>10356</v>
      </c>
      <c r="C2926" s="6" t="s">
        <v>6861</v>
      </c>
      <c r="D2926" s="7" t="s">
        <v>1574</v>
      </c>
      <c r="E2926" s="6" t="s">
        <v>18</v>
      </c>
      <c r="F2926" s="6" t="s">
        <v>48</v>
      </c>
      <c r="G2926" s="8">
        <v>45418</v>
      </c>
      <c r="H2926" s="6">
        <v>13.35</v>
      </c>
      <c r="I2926" s="6" cm="1">
        <f t="array" ref="I2926">IFERROR(VALUE(TRIM(LEFT(E2926,MIN(FIND({" ";"g";"k";"m";"o"},E2926&amp;" gkmo"))-1))),0)</f>
        <v>100</v>
      </c>
      <c r="J2926" s="6" t="str" cm="1">
        <f t="array" ref="J2926">IFERROR(TRIM(MID(E2926,MIN(FIND({" ";"g";"k";"m";"o"},E2926&amp;" gkmo")),10)),"unknown")</f>
        <v>g</v>
      </c>
      <c r="K2926" s="6" t="str">
        <f t="shared" si="180"/>
        <v>g</v>
      </c>
      <c r="L2926" s="6" t="str">
        <f t="shared" si="181"/>
        <v>Carlotti</v>
      </c>
      <c r="M2926" s="6" t="str">
        <f t="shared" si="182"/>
        <v>Carlotti - Chocolate Au Lait</v>
      </c>
      <c r="N2926" s="6" t="str">
        <f t="shared" si="183"/>
        <v>Morocco</v>
      </c>
    </row>
    <row r="2927" spans="1:14" x14ac:dyDescent="0.25">
      <c r="A2927" s="6" t="s">
        <v>6862</v>
      </c>
      <c r="B2927" s="6">
        <v>10701</v>
      </c>
      <c r="C2927" s="6" t="s">
        <v>6863</v>
      </c>
      <c r="D2927" s="7" t="s">
        <v>3146</v>
      </c>
      <c r="E2927" s="6" t="s">
        <v>151</v>
      </c>
      <c r="F2927" s="6" t="s">
        <v>139</v>
      </c>
      <c r="G2927" s="8">
        <v>45360</v>
      </c>
      <c r="H2927" s="6">
        <v>9.7200000000000006</v>
      </c>
      <c r="I2927" s="6" cm="1">
        <f t="array" ref="I2927">IFERROR(VALUE(TRIM(LEFT(E2927,MIN(FIND({" ";"g";"k";"m";"o"},E2927&amp;" gkmo"))-1))),0)</f>
        <v>200</v>
      </c>
      <c r="J2927" s="6" t="str" cm="1">
        <f t="array" ref="J2927">IFERROR(TRIM(MID(E2927,MIN(FIND({" ";"g";"k";"m";"o"},E2927&amp;" gkmo")),10)),"unknown")</f>
        <v>g</v>
      </c>
      <c r="K2927" s="6" t="str">
        <f t="shared" si="180"/>
        <v>g</v>
      </c>
      <c r="L2927" s="6" t="str">
        <f t="shared" si="181"/>
        <v>Delacre, Ferrero</v>
      </c>
      <c r="M2927" s="6" t="str">
        <f t="shared" si="182"/>
        <v>Biscuits Delacre Sprits Chocolat Au Lait - 200G</v>
      </c>
      <c r="N2927" s="6" t="str">
        <f t="shared" si="183"/>
        <v>France</v>
      </c>
    </row>
    <row r="2928" spans="1:14" x14ac:dyDescent="0.25">
      <c r="A2928" s="6" t="s">
        <v>6864</v>
      </c>
      <c r="B2928" s="6">
        <v>8675</v>
      </c>
      <c r="C2928" s="6" t="s">
        <v>6865</v>
      </c>
      <c r="D2928" s="7" t="s">
        <v>7017</v>
      </c>
      <c r="E2928" s="6"/>
      <c r="F2928" s="6" t="s">
        <v>4022</v>
      </c>
      <c r="G2928" s="8">
        <v>45768</v>
      </c>
      <c r="H2928" s="6">
        <v>23.16</v>
      </c>
      <c r="I2928" s="6" cm="1">
        <f t="array" ref="I2928">IFERROR(VALUE(TRIM(LEFT(E2928,MIN(FIND({" ";"g";"k";"m";"o"},E2928&amp;" gkmo"))-1))),0)</f>
        <v>0</v>
      </c>
      <c r="J2928" s="6" t="str" cm="1">
        <f t="array" ref="J2928">IFERROR(TRIM(MID(E2928,MIN(FIND({" ";"g";"k";"m";"o"},E2928&amp;" gkmo")),10)),"unknown")</f>
        <v/>
      </c>
      <c r="K2928" s="6" t="str">
        <f t="shared" si="180"/>
        <v>unknown</v>
      </c>
      <c r="L2928" s="6" t="str">
        <f t="shared" si="181"/>
        <v>Unknown</v>
      </c>
      <c r="M2928" s="6" t="str">
        <f t="shared" si="182"/>
        <v>Cinnamon Almond Butter Biscuits</v>
      </c>
      <c r="N2928" s="6" t="str">
        <f t="shared" si="183"/>
        <v>France, United States</v>
      </c>
    </row>
    <row r="2929" spans="1:14" x14ac:dyDescent="0.25">
      <c r="A2929" s="6" t="s">
        <v>6866</v>
      </c>
      <c r="B2929" s="6">
        <v>14114</v>
      </c>
      <c r="C2929" s="6" t="s">
        <v>6867</v>
      </c>
      <c r="D2929" s="7" t="s">
        <v>6868</v>
      </c>
      <c r="E2929" s="6" t="s">
        <v>3286</v>
      </c>
      <c r="F2929" s="6" t="s">
        <v>7926</v>
      </c>
      <c r="G2929" s="8">
        <v>45721</v>
      </c>
      <c r="H2929" s="6">
        <v>18.91</v>
      </c>
      <c r="I2929" s="6" cm="1">
        <f t="array" ref="I2929">IFERROR(VALUE(TRIM(LEFT(E2929,MIN(FIND({" ";"g";"k";"m";"o"},E2929&amp;" gkmo"))-1))),0)</f>
        <v>115</v>
      </c>
      <c r="J2929" s="6" t="str" cm="1">
        <f t="array" ref="J2929">IFERROR(TRIM(MID(E2929,MIN(FIND({" ";"g";"k";"m";"o"},E2929&amp;" gkmo")),10)),"unknown")</f>
        <v>g</v>
      </c>
      <c r="K2929" s="6" t="str">
        <f t="shared" si="180"/>
        <v>g</v>
      </c>
      <c r="L2929" s="6" t="str">
        <f t="shared" si="181"/>
        <v>Marks And Spencer</v>
      </c>
      <c r="M2929" s="6" t="str">
        <f t="shared" si="182"/>
        <v>Extra Fine Dark Chocolate</v>
      </c>
      <c r="N2929" s="6" t="str">
        <f t="shared" si="183"/>
        <v>France, United-Kingdom</v>
      </c>
    </row>
    <row r="2930" spans="1:14" x14ac:dyDescent="0.25">
      <c r="A2930" s="6" t="s">
        <v>6869</v>
      </c>
      <c r="B2930" s="6">
        <v>9317</v>
      </c>
      <c r="C2930" s="6" t="s">
        <v>6870</v>
      </c>
      <c r="D2930" s="7" t="s">
        <v>6871</v>
      </c>
      <c r="E2930" s="6" t="s">
        <v>6872</v>
      </c>
      <c r="F2930" s="6" t="s">
        <v>6873</v>
      </c>
      <c r="G2930" s="8">
        <v>45394</v>
      </c>
      <c r="H2930" s="6">
        <v>3</v>
      </c>
      <c r="I2930" s="6" cm="1">
        <f t="array" ref="I2930">IFERROR(VALUE(TRIM(LEFT(E2930,MIN(FIND({" ";"g";"k";"m";"o"},E2930&amp;" gkmo"))-1))),0)</f>
        <v>48</v>
      </c>
      <c r="J2930" s="6" t="str" cm="1">
        <f t="array" ref="J2930">IFERROR(TRIM(MID(E2930,MIN(FIND({" ";"g";"k";"m";"o"},E2930&amp;" gkmo")),10)),"unknown")</f>
        <v>oz</v>
      </c>
      <c r="K2930" s="6" t="str">
        <f t="shared" si="180"/>
        <v>unknown</v>
      </c>
      <c r="L2930" s="6" t="str">
        <f t="shared" si="181"/>
        <v>Kirkland</v>
      </c>
      <c r="M2930" s="6" t="str">
        <f t="shared" si="182"/>
        <v>Tortilla Strips</v>
      </c>
      <c r="N2930" s="6" t="str">
        <f t="shared" si="183"/>
        <v>Estados Unidos, Spain</v>
      </c>
    </row>
    <row r="2931" spans="1:14" x14ac:dyDescent="0.25">
      <c r="A2931" s="6" t="s">
        <v>6874</v>
      </c>
      <c r="B2931" s="6">
        <v>5547</v>
      </c>
      <c r="C2931" s="6" t="s">
        <v>6875</v>
      </c>
      <c r="D2931" s="7" t="s">
        <v>6876</v>
      </c>
      <c r="E2931" s="6"/>
      <c r="F2931" s="6" t="s">
        <v>6877</v>
      </c>
      <c r="G2931" s="8">
        <v>45971</v>
      </c>
      <c r="H2931" s="6">
        <v>20.65</v>
      </c>
      <c r="I2931" s="6" cm="1">
        <f t="array" ref="I2931">IFERROR(VALUE(TRIM(LEFT(E2931,MIN(FIND({" ";"g";"k";"m";"o"},E2931&amp;" gkmo"))-1))),0)</f>
        <v>0</v>
      </c>
      <c r="J2931" s="6" t="str" cm="1">
        <f t="array" ref="J2931">IFERROR(TRIM(MID(E2931,MIN(FIND({" ";"g";"k";"m";"o"},E2931&amp;" gkmo")),10)),"unknown")</f>
        <v/>
      </c>
      <c r="K2931" s="6" t="str">
        <f t="shared" si="180"/>
        <v>unknown</v>
      </c>
      <c r="L2931" s="6" t="str">
        <f t="shared" si="181"/>
        <v>Be-Kind</v>
      </c>
      <c r="M2931" s="6" t="str">
        <f t="shared" si="182"/>
        <v>Be-Kind Caramel Almond &amp; Sea Salt</v>
      </c>
      <c r="N2931" s="6" t="str">
        <f t="shared" si="183"/>
        <v>France,Spain,Switzerland</v>
      </c>
    </row>
    <row r="2932" spans="1:14" x14ac:dyDescent="0.25">
      <c r="A2932" s="6" t="s">
        <v>6878</v>
      </c>
      <c r="B2932" s="6">
        <v>13556</v>
      </c>
      <c r="C2932" s="6" t="s">
        <v>6879</v>
      </c>
      <c r="D2932" s="7" t="s">
        <v>3191</v>
      </c>
      <c r="E2932" s="6" t="s">
        <v>151</v>
      </c>
      <c r="F2932" s="6" t="s">
        <v>6880</v>
      </c>
      <c r="G2932" s="8">
        <v>46028</v>
      </c>
      <c r="H2932" s="6">
        <v>1.87</v>
      </c>
      <c r="I2932" s="6" cm="1">
        <f t="array" ref="I2932">IFERROR(VALUE(TRIM(LEFT(E2932,MIN(FIND({" ";"g";"k";"m";"o"},E2932&amp;" gkmo"))-1))),0)</f>
        <v>200</v>
      </c>
      <c r="J2932" s="6" t="str" cm="1">
        <f t="array" ref="J2932">IFERROR(TRIM(MID(E2932,MIN(FIND({" ";"g";"k";"m";"o"},E2932&amp;" gkmo")),10)),"unknown")</f>
        <v>g</v>
      </c>
      <c r="K2932" s="6" t="str">
        <f t="shared" si="180"/>
        <v>g</v>
      </c>
      <c r="L2932" s="6" t="str">
        <f t="shared" si="181"/>
        <v>Italiamo</v>
      </c>
      <c r="M2932" s="6" t="str">
        <f t="shared" si="182"/>
        <v>Amaretti</v>
      </c>
      <c r="N2932" s="6" t="str">
        <f t="shared" si="183"/>
        <v>France,Hungary</v>
      </c>
    </row>
    <row r="2933" spans="1:14" x14ac:dyDescent="0.25">
      <c r="A2933" s="6" t="s">
        <v>6881</v>
      </c>
      <c r="B2933" s="6">
        <v>8537</v>
      </c>
      <c r="C2933" s="6" t="s">
        <v>6882</v>
      </c>
      <c r="D2933" s="7" t="s">
        <v>6883</v>
      </c>
      <c r="E2933" s="6" t="s">
        <v>151</v>
      </c>
      <c r="F2933" s="6" t="s">
        <v>139</v>
      </c>
      <c r="G2933" s="8">
        <v>45806</v>
      </c>
      <c r="H2933" s="6">
        <v>22.89</v>
      </c>
      <c r="I2933" s="6" cm="1">
        <f t="array" ref="I2933">IFERROR(VALUE(TRIM(LEFT(E2933,MIN(FIND({" ";"g";"k";"m";"o"},E2933&amp;" gkmo"))-1))),0)</f>
        <v>200</v>
      </c>
      <c r="J2933" s="6" t="str" cm="1">
        <f t="array" ref="J2933">IFERROR(TRIM(MID(E2933,MIN(FIND({" ";"g";"k";"m";"o"},E2933&amp;" gkmo")),10)),"unknown")</f>
        <v>g</v>
      </c>
      <c r="K2933" s="6" t="str">
        <f t="shared" si="180"/>
        <v>g</v>
      </c>
      <c r="L2933" s="6" t="str">
        <f t="shared" si="181"/>
        <v>Bellarom</v>
      </c>
      <c r="M2933" s="6" t="str">
        <f t="shared" si="182"/>
        <v>Lait Raisins Secs &amp; Noisettes</v>
      </c>
      <c r="N2933" s="6" t="str">
        <f t="shared" si="183"/>
        <v>France</v>
      </c>
    </row>
    <row r="2934" spans="1:14" x14ac:dyDescent="0.25">
      <c r="A2934" s="6" t="s">
        <v>6884</v>
      </c>
      <c r="B2934" s="6">
        <v>13977</v>
      </c>
      <c r="C2934" s="6" t="s">
        <v>6885</v>
      </c>
      <c r="D2934" s="7" t="s">
        <v>7017</v>
      </c>
      <c r="E2934" s="6" t="s">
        <v>528</v>
      </c>
      <c r="F2934" s="6" t="s">
        <v>6886</v>
      </c>
      <c r="G2934" s="8">
        <v>45903</v>
      </c>
      <c r="H2934" s="6">
        <v>14.2</v>
      </c>
      <c r="I2934" s="6" cm="1">
        <f t="array" ref="I2934">IFERROR(VALUE(TRIM(LEFT(E2934,MIN(FIND({" ";"g";"k";"m";"o"},E2934&amp;" gkmo"))-1))),0)</f>
        <v>200</v>
      </c>
      <c r="J2934" s="6" t="str" cm="1">
        <f t="array" ref="J2934">IFERROR(TRIM(MID(E2934,MIN(FIND({" ";"g";"k";"m";"o"},E2934&amp;" gkmo")),10)),"unknown")</f>
        <v>g</v>
      </c>
      <c r="K2934" s="6" t="str">
        <f t="shared" si="180"/>
        <v>g</v>
      </c>
      <c r="L2934" s="6" t="str">
        <f t="shared" si="181"/>
        <v>Unknown</v>
      </c>
      <c r="M2934" s="6" t="str">
        <f t="shared" si="182"/>
        <v>Studentenfutter Exotic</v>
      </c>
      <c r="N2934" s="6" t="str">
        <f t="shared" si="183"/>
        <v>Frankreich, Deutschland</v>
      </c>
    </row>
    <row r="2935" spans="1:14" x14ac:dyDescent="0.25">
      <c r="A2935" s="6" t="s">
        <v>6887</v>
      </c>
      <c r="B2935" s="6">
        <v>5911</v>
      </c>
      <c r="C2935" s="6" t="s">
        <v>6888</v>
      </c>
      <c r="D2935" s="7" t="s">
        <v>2514</v>
      </c>
      <c r="E2935" s="6" t="s">
        <v>592</v>
      </c>
      <c r="F2935" s="6" t="s">
        <v>1356</v>
      </c>
      <c r="G2935" s="8">
        <v>46033</v>
      </c>
      <c r="H2935" s="6">
        <v>18.829999999999998</v>
      </c>
      <c r="I2935" s="6" cm="1">
        <f t="array" ref="I2935">IFERROR(VALUE(TRIM(LEFT(E2935,MIN(FIND({" ";"g";"k";"m";"o"},E2935&amp;" gkmo"))-1))),0)</f>
        <v>500</v>
      </c>
      <c r="J2935" s="6" t="str" cm="1">
        <f t="array" ref="J2935">IFERROR(TRIM(MID(E2935,MIN(FIND({" ";"g";"k";"m";"o"},E2935&amp;" gkmo")),10)),"unknown")</f>
        <v>g</v>
      </c>
      <c r="K2935" s="6" t="str">
        <f t="shared" si="180"/>
        <v>g</v>
      </c>
      <c r="L2935" s="6" t="str">
        <f t="shared" si="181"/>
        <v>Favorina</v>
      </c>
      <c r="M2935" s="6" t="str">
        <f t="shared" si="182"/>
        <v>Lebkuchen Hearts, Pretzels &amp; Stars Zartbitter</v>
      </c>
      <c r="N2935" s="6" t="str">
        <f t="shared" si="183"/>
        <v>France,Germany</v>
      </c>
    </row>
    <row r="2936" spans="1:14" x14ac:dyDescent="0.25">
      <c r="A2936" s="6" t="s">
        <v>6889</v>
      </c>
      <c r="B2936" s="6">
        <v>8444</v>
      </c>
      <c r="C2936" s="6" t="s">
        <v>6890</v>
      </c>
      <c r="D2936" s="7" t="s">
        <v>3191</v>
      </c>
      <c r="E2936" s="6"/>
      <c r="F2936" s="6" t="s">
        <v>8251</v>
      </c>
      <c r="G2936" s="8">
        <v>46025</v>
      </c>
      <c r="H2936" s="6">
        <v>2.78</v>
      </c>
      <c r="I2936" s="6" cm="1">
        <f t="array" ref="I2936">IFERROR(VALUE(TRIM(LEFT(E2936,MIN(FIND({" ";"g";"k";"m";"o"},E2936&amp;" gkmo"))-1))),0)</f>
        <v>0</v>
      </c>
      <c r="J2936" s="6" t="str" cm="1">
        <f t="array" ref="J2936">IFERROR(TRIM(MID(E2936,MIN(FIND({" ";"g";"k";"m";"o"},E2936&amp;" gkmo")),10)),"unknown")</f>
        <v/>
      </c>
      <c r="K2936" s="6" t="str">
        <f t="shared" si="180"/>
        <v>unknown</v>
      </c>
      <c r="L2936" s="6" t="str">
        <f t="shared" si="181"/>
        <v>Italiamo</v>
      </c>
      <c r="M2936" s="6" t="str">
        <f t="shared" si="182"/>
        <v>Grissini Rosmarino - Breadsticks With Rosemary</v>
      </c>
      <c r="N2936" s="6" t="str">
        <f t="shared" si="183"/>
        <v>France,Polonia</v>
      </c>
    </row>
    <row r="2937" spans="1:14" x14ac:dyDescent="0.25">
      <c r="A2937" s="6" t="s">
        <v>6891</v>
      </c>
      <c r="B2937" s="6">
        <v>9249</v>
      </c>
      <c r="C2937" s="6" t="s">
        <v>6892</v>
      </c>
      <c r="D2937" s="7" t="s">
        <v>150</v>
      </c>
      <c r="E2937" s="6" t="s">
        <v>151</v>
      </c>
      <c r="F2937" s="6" t="s">
        <v>1181</v>
      </c>
      <c r="G2937" s="8">
        <v>45611</v>
      </c>
      <c r="H2937" s="6">
        <v>20</v>
      </c>
      <c r="I2937" s="6" cm="1">
        <f t="array" ref="I2937">IFERROR(VALUE(TRIM(LEFT(E2937,MIN(FIND({" ";"g";"k";"m";"o"},E2937&amp;" gkmo"))-1))),0)</f>
        <v>200</v>
      </c>
      <c r="J2937" s="6" t="str" cm="1">
        <f t="array" ref="J2937">IFERROR(TRIM(MID(E2937,MIN(FIND({" ";"g";"k";"m";"o"},E2937&amp;" gkmo")),10)),"unknown")</f>
        <v>g</v>
      </c>
      <c r="K2937" s="6" t="str">
        <f t="shared" si="180"/>
        <v>g</v>
      </c>
      <c r="L2937" s="6" t="str">
        <f t="shared" si="181"/>
        <v>Alesto</v>
      </c>
      <c r="M2937" s="6" t="str">
        <f t="shared" si="182"/>
        <v>Alesto Cashew Erdnuss Mix, Hot Chili</v>
      </c>
      <c r="N2937" s="6" t="str">
        <f t="shared" si="183"/>
        <v>France,Switzerland</v>
      </c>
    </row>
    <row r="2938" spans="1:14" x14ac:dyDescent="0.25">
      <c r="A2938" s="6" t="s">
        <v>6893</v>
      </c>
      <c r="B2938" s="6">
        <v>13072</v>
      </c>
      <c r="C2938" s="6" t="s">
        <v>7017</v>
      </c>
      <c r="D2938" s="7" t="s">
        <v>6894</v>
      </c>
      <c r="E2938" s="6" t="s">
        <v>423</v>
      </c>
      <c r="F2938" s="6" t="s">
        <v>6895</v>
      </c>
      <c r="G2938" s="8">
        <v>45384</v>
      </c>
      <c r="H2938" s="6">
        <v>13.16</v>
      </c>
      <c r="I2938" s="6" cm="1">
        <f t="array" ref="I2938">IFERROR(VALUE(TRIM(LEFT(E2938,MIN(FIND({" ";"g";"k";"m";"o"},E2938&amp;" gkmo"))-1))),0)</f>
        <v>125</v>
      </c>
      <c r="J2938" s="6" t="str" cm="1">
        <f t="array" ref="J2938">IFERROR(TRIM(MID(E2938,MIN(FIND({" ";"g";"k";"m";"o"},E2938&amp;" gkmo")),10)),"unknown")</f>
        <v>g</v>
      </c>
      <c r="K2938" s="6" t="str">
        <f t="shared" si="180"/>
        <v>g</v>
      </c>
      <c r="L2938" s="6" t="str">
        <f t="shared" si="181"/>
        <v>Duc De Coeur, Sondey</v>
      </c>
      <c r="M2938" s="6" t="str">
        <f t="shared" si="182"/>
        <v>Unknown</v>
      </c>
      <c r="N2938" s="6" t="str">
        <f t="shared" si="183"/>
        <v>Ð¤Ñ€Ð°Ð½Ñ†Ð¸Ñ,Ð‘Ñšð»Ð³Ð°Ñ€Ð¸Ñ</v>
      </c>
    </row>
    <row r="2939" spans="1:14" x14ac:dyDescent="0.25">
      <c r="A2939" s="6" t="s">
        <v>6896</v>
      </c>
      <c r="B2939" s="6">
        <v>5183</v>
      </c>
      <c r="C2939" s="6" t="s">
        <v>7553</v>
      </c>
      <c r="D2939" s="7" t="s">
        <v>13</v>
      </c>
      <c r="E2939" s="6" t="s">
        <v>580</v>
      </c>
      <c r="F2939" s="6" t="s">
        <v>139</v>
      </c>
      <c r="G2939" s="8">
        <v>45457</v>
      </c>
      <c r="H2939" s="6">
        <v>6.71</v>
      </c>
      <c r="I2939" s="6" cm="1">
        <f t="array" ref="I2939">IFERROR(VALUE(TRIM(LEFT(E2939,MIN(FIND({" ";"g";"k";"m";"o"},E2939&amp;" gkmo"))-1))),0)</f>
        <v>250</v>
      </c>
      <c r="J2939" s="6" t="str" cm="1">
        <f t="array" ref="J2939">IFERROR(TRIM(MID(E2939,MIN(FIND({" ";"g";"k";"m";"o"},E2939&amp;" gkmo")),10)),"unknown")</f>
        <v>g</v>
      </c>
      <c r="K2939" s="6" t="str">
        <f t="shared" si="180"/>
        <v>g</v>
      </c>
      <c r="L2939" s="6" t="str">
        <f t="shared" si="181"/>
        <v>Lu</v>
      </c>
      <c r="M2939" s="6" t="str">
        <f t="shared" si="182"/>
        <v>Véritable Petit Écolier Pocket</v>
      </c>
      <c r="N2939" s="6" t="str">
        <f t="shared" si="183"/>
        <v>France</v>
      </c>
    </row>
    <row r="2940" spans="1:14" x14ac:dyDescent="0.25">
      <c r="A2940" s="6" t="s">
        <v>6897</v>
      </c>
      <c r="B2940" s="6">
        <v>13194</v>
      </c>
      <c r="C2940" s="6" t="s">
        <v>6898</v>
      </c>
      <c r="D2940" s="7" t="s">
        <v>1345</v>
      </c>
      <c r="E2940" s="6"/>
      <c r="F2940" s="6" t="s">
        <v>139</v>
      </c>
      <c r="G2940" s="8">
        <v>45764</v>
      </c>
      <c r="H2940" s="6">
        <v>13.16</v>
      </c>
      <c r="I2940" s="6" cm="1">
        <f t="array" ref="I2940">IFERROR(VALUE(TRIM(LEFT(E2940,MIN(FIND({" ";"g";"k";"m";"o"},E2940&amp;" gkmo"))-1))),0)</f>
        <v>0</v>
      </c>
      <c r="J2940" s="6" t="str" cm="1">
        <f t="array" ref="J2940">IFERROR(TRIM(MID(E2940,MIN(FIND({" ";"g";"k";"m";"o"},E2940&amp;" gkmo")),10)),"unknown")</f>
        <v/>
      </c>
      <c r="K2940" s="6" t="str">
        <f t="shared" si="180"/>
        <v>unknown</v>
      </c>
      <c r="L2940" s="6" t="str">
        <f t="shared" si="181"/>
        <v>Haribo</v>
      </c>
      <c r="M2940" s="6" t="str">
        <f t="shared" si="182"/>
        <v>Goldbears 300G</v>
      </c>
      <c r="N2940" s="6" t="str">
        <f t="shared" si="183"/>
        <v>France</v>
      </c>
    </row>
    <row r="2941" spans="1:14" x14ac:dyDescent="0.25">
      <c r="A2941" s="6" t="s">
        <v>6899</v>
      </c>
      <c r="B2941" s="6">
        <v>5094</v>
      </c>
      <c r="C2941" s="6" t="s">
        <v>7521</v>
      </c>
      <c r="D2941" s="7" t="s">
        <v>6900</v>
      </c>
      <c r="E2941" s="6" t="s">
        <v>151</v>
      </c>
      <c r="F2941" s="6" t="s">
        <v>7950</v>
      </c>
      <c r="G2941" s="8">
        <v>45536</v>
      </c>
      <c r="H2941" s="6">
        <v>13.16</v>
      </c>
      <c r="I2941" s="6" cm="1">
        <f t="array" ref="I2941">IFERROR(VALUE(TRIM(LEFT(E2941,MIN(FIND({" ";"g";"k";"m";"o"},E2941&amp;" gkmo"))-1))),0)</f>
        <v>200</v>
      </c>
      <c r="J2941" s="6" t="str" cm="1">
        <f t="array" ref="J2941">IFERROR(TRIM(MID(E2941,MIN(FIND({" ";"g";"k";"m";"o"},E2941&amp;" gkmo")),10)),"unknown")</f>
        <v>g</v>
      </c>
      <c r="K2941" s="6" t="str">
        <f t="shared" si="180"/>
        <v>g</v>
      </c>
      <c r="L2941" s="6" t="str">
        <f t="shared" si="181"/>
        <v>Benenuts</v>
      </c>
      <c r="M2941" s="6" t="str">
        <f t="shared" si="182"/>
        <v>Bénénuts Cacahuètes Grillées &amp; Non Salées</v>
      </c>
      <c r="N2941" s="6" t="str">
        <f t="shared" si="183"/>
        <v>France, Reunion</v>
      </c>
    </row>
    <row r="2942" spans="1:14" x14ac:dyDescent="0.25">
      <c r="A2942" s="6" t="s">
        <v>6901</v>
      </c>
      <c r="B2942" s="6">
        <v>12949</v>
      </c>
      <c r="C2942" s="6" t="s">
        <v>7886</v>
      </c>
      <c r="D2942" s="7" t="s">
        <v>1434</v>
      </c>
      <c r="E2942" s="6" t="s">
        <v>82</v>
      </c>
      <c r="F2942" s="6" t="s">
        <v>8231</v>
      </c>
      <c r="G2942" s="8">
        <v>45781</v>
      </c>
      <c r="H2942" s="6">
        <v>15.41</v>
      </c>
      <c r="I2942" s="6" cm="1">
        <f t="array" ref="I2942">IFERROR(VALUE(TRIM(LEFT(E2942,MIN(FIND({" ";"g";"k";"m";"o"},E2942&amp;" gkmo"))-1))),0)</f>
        <v>230</v>
      </c>
      <c r="J2942" s="6" t="str" cm="1">
        <f t="array" ref="J2942">IFERROR(TRIM(MID(E2942,MIN(FIND({" ";"g";"k";"m";"o"},E2942&amp;" gkmo")),10)),"unknown")</f>
        <v>g</v>
      </c>
      <c r="K2942" s="6" t="str">
        <f t="shared" si="180"/>
        <v>g</v>
      </c>
      <c r="L2942" s="6" t="str">
        <f t="shared" si="181"/>
        <v>Doritos</v>
      </c>
      <c r="M2942" s="6" t="str">
        <f t="shared" si="182"/>
        <v>Doritos Goà»T Nacho Cheese</v>
      </c>
      <c r="N2942" s="6" t="str">
        <f t="shared" si="183"/>
        <v>France,Espaà±A</v>
      </c>
    </row>
    <row r="2943" spans="1:14" x14ac:dyDescent="0.25">
      <c r="A2943" s="6" t="s">
        <v>6902</v>
      </c>
      <c r="B2943" s="6">
        <v>14309</v>
      </c>
      <c r="C2943" s="6" t="s">
        <v>7441</v>
      </c>
      <c r="D2943" s="7" t="s">
        <v>7442</v>
      </c>
      <c r="E2943" s="6" t="s">
        <v>774</v>
      </c>
      <c r="F2943" s="6" t="s">
        <v>139</v>
      </c>
      <c r="G2943" s="8">
        <v>45409</v>
      </c>
      <c r="H2943" s="6">
        <v>17.3</v>
      </c>
      <c r="I2943" s="6" cm="1">
        <f t="array" ref="I2943">IFERROR(VALUE(TRIM(LEFT(E2943,MIN(FIND({" ";"g";"k";"m";"o"},E2943&amp;" gkmo"))-1))),0)</f>
        <v>132</v>
      </c>
      <c r="J2943" s="6" t="str" cm="1">
        <f t="array" ref="J2943">IFERROR(TRIM(MID(E2943,MIN(FIND({" ";"g";"k";"m";"o"},E2943&amp;" gkmo")),10)),"unknown")</f>
        <v>g, 3 sach</v>
      </c>
      <c r="K2943" s="6" t="str">
        <f t="shared" si="180"/>
        <v>g</v>
      </c>
      <c r="L2943" s="6" t="str">
        <f t="shared" si="181"/>
        <v>Gerblé, Nutrition Et Santé S.A.S.</v>
      </c>
      <c r="M2943" s="6" t="str">
        <f t="shared" si="182"/>
        <v>Sablé Nature Aux Graines De Chia</v>
      </c>
      <c r="N2943" s="6" t="str">
        <f t="shared" si="183"/>
        <v>France</v>
      </c>
    </row>
    <row r="2944" spans="1:14" x14ac:dyDescent="0.25">
      <c r="A2944" s="6" t="s">
        <v>6903</v>
      </c>
      <c r="B2944" s="6">
        <v>11975</v>
      </c>
      <c r="C2944" s="6" t="s">
        <v>7443</v>
      </c>
      <c r="D2944" s="7" t="s">
        <v>1699</v>
      </c>
      <c r="E2944" s="6" t="s">
        <v>120</v>
      </c>
      <c r="F2944" s="6" t="s">
        <v>139</v>
      </c>
      <c r="G2944" s="8">
        <v>45673</v>
      </c>
      <c r="H2944" s="6">
        <v>9.94</v>
      </c>
      <c r="I2944" s="6" cm="1">
        <f t="array" ref="I2944">IFERROR(VALUE(TRIM(LEFT(E2944,MIN(FIND({" ";"g";"k";"m";"o"},E2944&amp;" gkmo"))-1))),0)</f>
        <v>210</v>
      </c>
      <c r="J2944" s="6" t="str" cm="1">
        <f t="array" ref="J2944">IFERROR(TRIM(MID(E2944,MIN(FIND({" ";"g";"k";"m";"o"},E2944&amp;" gkmo")),10)),"unknown")</f>
        <v>g</v>
      </c>
      <c r="K2944" s="6" t="str">
        <f t="shared" si="180"/>
        <v>g</v>
      </c>
      <c r="L2944" s="6" t="str">
        <f t="shared" si="181"/>
        <v>Brioche Pasquier</v>
      </c>
      <c r="M2944" s="6" t="str">
        <f t="shared" si="182"/>
        <v>Tartines De Pain Brioché</v>
      </c>
      <c r="N2944" s="6" t="str">
        <f t="shared" si="183"/>
        <v>France</v>
      </c>
    </row>
    <row r="2945" spans="1:14" x14ac:dyDescent="0.25">
      <c r="A2945" s="6" t="s">
        <v>6904</v>
      </c>
      <c r="B2945" s="6">
        <v>10593</v>
      </c>
      <c r="C2945" s="6" t="s">
        <v>7444</v>
      </c>
      <c r="D2945" s="7" t="s">
        <v>7017</v>
      </c>
      <c r="E2945" s="6" t="s">
        <v>10</v>
      </c>
      <c r="F2945" s="6" t="s">
        <v>7919</v>
      </c>
      <c r="G2945" s="8">
        <v>45628</v>
      </c>
      <c r="H2945" s="6">
        <v>16.28</v>
      </c>
      <c r="I2945" s="6" cm="1">
        <f t="array" ref="I2945">IFERROR(VALUE(TRIM(LEFT(E2945,MIN(FIND({" ";"g";"k";"m";"o"},E2945&amp;" gkmo"))-1))),0)</f>
        <v>100</v>
      </c>
      <c r="J2945" s="6" t="str" cm="1">
        <f t="array" ref="J2945">IFERROR(TRIM(MID(E2945,MIN(FIND({" ";"g";"k";"m";"o"},E2945&amp;" gkmo")),10)),"unknown")</f>
        <v>g</v>
      </c>
      <c r="K2945" s="6" t="str">
        <f t="shared" si="180"/>
        <v>g</v>
      </c>
      <c r="L2945" s="6" t="str">
        <f t="shared" si="181"/>
        <v>Unknown</v>
      </c>
      <c r="M2945" s="6" t="str">
        <f t="shared" si="182"/>
        <v>Chocolat Noir Dégustation 95%</v>
      </c>
      <c r="N2945" s="6" t="str">
        <f t="shared" si="183"/>
        <v>France, Morocco</v>
      </c>
    </row>
    <row r="2946" spans="1:14" x14ac:dyDescent="0.25">
      <c r="A2946" s="6" t="s">
        <v>6905</v>
      </c>
      <c r="B2946" s="6">
        <v>14624</v>
      </c>
      <c r="C2946" s="6" t="s">
        <v>6906</v>
      </c>
      <c r="D2946" s="7" t="s">
        <v>4889</v>
      </c>
      <c r="E2946" s="6" t="s">
        <v>1396</v>
      </c>
      <c r="F2946" s="6" t="s">
        <v>139</v>
      </c>
      <c r="G2946" s="8">
        <v>45869</v>
      </c>
      <c r="H2946" s="6">
        <v>8.5399999999999991</v>
      </c>
      <c r="I2946" s="6" cm="1">
        <f t="array" ref="I2946">IFERROR(VALUE(TRIM(LEFT(E2946,MIN(FIND({" ";"g";"k";"m";"o"},E2946&amp;" gkmo"))-1))),0)</f>
        <v>600</v>
      </c>
      <c r="J2946" s="6" t="str" cm="1">
        <f t="array" ref="J2946">IFERROR(TRIM(MID(E2946,MIN(FIND({" ";"g";"k";"m";"o"},E2946&amp;" gkmo")),10)),"unknown")</f>
        <v>g</v>
      </c>
      <c r="K2946" s="6" t="str">
        <f t="shared" ref="K2946:K3000" si="184">IF(E2946="","unknown",IF(OR(J2946="g",LEFT(J2946,1)="g"),"g",IF(OR(LEFT(J2946,2)="kg",LEFT(J2946,2)="ki"),"kg",IF(OR(LEFT(J2946,2)="ml",LEFT(J2946,1)="m"),"ml",IF(LEFT(J2946,1)="l","l",IF(ISNUMBER(SEARCH("g",E2946)),"g",IF(ISNUMBER(SEARCH("kg",E2946)),"kg",IF(ISNUMBER(SEARCH("ml",E2946)),"ml","unknown"))))))))</f>
        <v>g</v>
      </c>
      <c r="L2946" s="6" t="str">
        <f t="shared" ref="L2946:L3000" si="185">IF(D2946="","Unknown",PROPER(TRIM(D2946)))</f>
        <v>Chabrior</v>
      </c>
      <c r="M2946" s="6" t="str">
        <f t="shared" ref="M2946:M3000" si="186">IF(C2946="Unknown","Unknown",PROPER(TRIM(C2946)))</f>
        <v>Madeleines Coquille Individuelles</v>
      </c>
      <c r="N2946" s="6" t="str">
        <f t="shared" si="183"/>
        <v>France</v>
      </c>
    </row>
    <row r="2947" spans="1:14" x14ac:dyDescent="0.25">
      <c r="A2947" s="6" t="s">
        <v>6907</v>
      </c>
      <c r="B2947" s="6">
        <v>8527</v>
      </c>
      <c r="C2947" s="6" t="s">
        <v>6908</v>
      </c>
      <c r="D2947" s="7" t="s">
        <v>2199</v>
      </c>
      <c r="E2947" s="6" t="s">
        <v>151</v>
      </c>
      <c r="F2947" s="6" t="s">
        <v>139</v>
      </c>
      <c r="G2947" s="8">
        <v>45591</v>
      </c>
      <c r="H2947" s="6">
        <v>12.25</v>
      </c>
      <c r="I2947" s="6" cm="1">
        <f t="array" ref="I2947">IFERROR(VALUE(TRIM(LEFT(E2947,MIN(FIND({" ";"g";"k";"m";"o"},E2947&amp;" gkmo"))-1))),0)</f>
        <v>200</v>
      </c>
      <c r="J2947" s="6" t="str" cm="1">
        <f t="array" ref="J2947">IFERROR(TRIM(MID(E2947,MIN(FIND({" ";"g";"k";"m";"o"},E2947&amp;" gkmo")),10)),"unknown")</f>
        <v>g</v>
      </c>
      <c r="K2947" s="6" t="str">
        <f t="shared" si="184"/>
        <v>g</v>
      </c>
      <c r="L2947" s="6" t="str">
        <f t="shared" si="185"/>
        <v>U, U Bio</v>
      </c>
      <c r="M2947" s="6" t="str">
        <f t="shared" si="186"/>
        <v>Sables</v>
      </c>
      <c r="N2947" s="6" t="str">
        <f t="shared" ref="N2947:N3000" si="187">IF(F2947="","Unknown",PROPER(TRIM(F2947)))</f>
        <v>France</v>
      </c>
    </row>
    <row r="2948" spans="1:14" x14ac:dyDescent="0.25">
      <c r="A2948" s="6" t="s">
        <v>6909</v>
      </c>
      <c r="B2948" s="6">
        <v>5299</v>
      </c>
      <c r="C2948" s="6" t="s">
        <v>7445</v>
      </c>
      <c r="D2948" s="7" t="s">
        <v>3594</v>
      </c>
      <c r="E2948" s="6" t="s">
        <v>982</v>
      </c>
      <c r="F2948" s="6" t="s">
        <v>139</v>
      </c>
      <c r="G2948" s="8">
        <v>45807</v>
      </c>
      <c r="H2948" s="6">
        <v>24.55</v>
      </c>
      <c r="I2948" s="6" cm="1">
        <f t="array" ref="I2948">IFERROR(VALUE(TRIM(LEFT(E2948,MIN(FIND({" ";"g";"k";"m";"o"},E2948&amp;" gkmo"))-1))),0)</f>
        <v>126</v>
      </c>
      <c r="J2948" s="6" t="str" cm="1">
        <f t="array" ref="J2948">IFERROR(TRIM(MID(E2948,MIN(FIND({" ";"g";"k";"m";"o"},E2948&amp;" gkmo")),10)),"unknown")</f>
        <v>g</v>
      </c>
      <c r="K2948" s="6" t="str">
        <f t="shared" si="184"/>
        <v>g</v>
      </c>
      <c r="L2948" s="6" t="str">
        <f t="shared" si="185"/>
        <v>U</v>
      </c>
      <c r="M2948" s="6" t="str">
        <f t="shared" si="186"/>
        <v>Barres De Céréales Figue X6 - 126G</v>
      </c>
      <c r="N2948" s="6" t="str">
        <f t="shared" si="187"/>
        <v>France</v>
      </c>
    </row>
    <row r="2949" spans="1:14" x14ac:dyDescent="0.25">
      <c r="A2949" s="6" t="s">
        <v>6910</v>
      </c>
      <c r="B2949" s="6">
        <v>6257</v>
      </c>
      <c r="C2949" s="6" t="s">
        <v>7446</v>
      </c>
      <c r="D2949" s="7" t="s">
        <v>3594</v>
      </c>
      <c r="E2949" s="6" t="s">
        <v>982</v>
      </c>
      <c r="F2949" s="6" t="s">
        <v>139</v>
      </c>
      <c r="G2949" s="8">
        <v>45920</v>
      </c>
      <c r="H2949" s="6">
        <v>6.09</v>
      </c>
      <c r="I2949" s="6" cm="1">
        <f t="array" ref="I2949">IFERROR(VALUE(TRIM(LEFT(E2949,MIN(FIND({" ";"g";"k";"m";"o"},E2949&amp;" gkmo"))-1))),0)</f>
        <v>126</v>
      </c>
      <c r="J2949" s="6" t="str" cm="1">
        <f t="array" ref="J2949">IFERROR(TRIM(MID(E2949,MIN(FIND({" ";"g";"k";"m";"o"},E2949&amp;" gkmo")),10)),"unknown")</f>
        <v>g</v>
      </c>
      <c r="K2949" s="6" t="str">
        <f t="shared" si="184"/>
        <v>g</v>
      </c>
      <c r="L2949" s="6" t="str">
        <f t="shared" si="185"/>
        <v>U</v>
      </c>
      <c r="M2949" s="6" t="str">
        <f t="shared" si="186"/>
        <v>Barre De Céréales Riz Et Blé Complet Chocolat X6 - 126G</v>
      </c>
      <c r="N2949" s="6" t="str">
        <f t="shared" si="187"/>
        <v>France</v>
      </c>
    </row>
    <row r="2950" spans="1:14" x14ac:dyDescent="0.25">
      <c r="A2950" s="6" t="s">
        <v>6911</v>
      </c>
      <c r="B2950" s="6">
        <v>7805</v>
      </c>
      <c r="C2950" s="6" t="s">
        <v>7430</v>
      </c>
      <c r="D2950" s="7" t="s">
        <v>854</v>
      </c>
      <c r="E2950" s="6" t="s">
        <v>1845</v>
      </c>
      <c r="F2950" s="6" t="s">
        <v>8203</v>
      </c>
      <c r="G2950" s="8">
        <v>45474</v>
      </c>
      <c r="H2950" s="6">
        <v>15.17</v>
      </c>
      <c r="I2950" s="6" cm="1">
        <f t="array" ref="I2950">IFERROR(VALUE(TRIM(LEFT(E2950,MIN(FIND({" ";"g";"k";"m";"o"},E2950&amp;" gkmo"))-1))),0)</f>
        <v>800</v>
      </c>
      <c r="J2950" s="6" t="str" cm="1">
        <f t="array" ref="J2950">IFERROR(TRIM(MID(E2950,MIN(FIND({" ";"g";"k";"m";"o"},E2950&amp;" gkmo")),10)),"unknown")</f>
        <v>g</v>
      </c>
      <c r="K2950" s="6" t="str">
        <f t="shared" si="184"/>
        <v>g</v>
      </c>
      <c r="L2950" s="6" t="str">
        <f t="shared" si="185"/>
        <v>Carrefour</v>
      </c>
      <c r="M2950" s="6" t="str">
        <f t="shared" si="186"/>
        <v>Macédoine De Légumes</v>
      </c>
      <c r="N2950" s="6" t="str">
        <f t="shared" si="187"/>
        <v>France, Netherlands</v>
      </c>
    </row>
    <row r="2951" spans="1:14" x14ac:dyDescent="0.25">
      <c r="A2951" s="6" t="s">
        <v>6912</v>
      </c>
      <c r="B2951" s="6">
        <v>7951</v>
      </c>
      <c r="C2951" s="6" t="s">
        <v>7522</v>
      </c>
      <c r="D2951" s="7" t="s">
        <v>854</v>
      </c>
      <c r="E2951" s="6" t="s">
        <v>138</v>
      </c>
      <c r="F2951" s="6" t="s">
        <v>8294</v>
      </c>
      <c r="G2951" s="8">
        <v>45501</v>
      </c>
      <c r="H2951" s="6">
        <v>22.4</v>
      </c>
      <c r="I2951" s="6" cm="1">
        <f t="array" ref="I2951">IFERROR(VALUE(TRIM(LEFT(E2951,MIN(FIND({" ";"g";"k";"m";"o"},E2951&amp;" gkmo"))-1))),0)</f>
        <v>400</v>
      </c>
      <c r="J2951" s="6" t="str" cm="1">
        <f t="array" ref="J2951">IFERROR(TRIM(MID(E2951,MIN(FIND({" ";"g";"k";"m";"o"},E2951&amp;" gkmo")),10)),"unknown")</f>
        <v>g</v>
      </c>
      <c r="K2951" s="6" t="str">
        <f t="shared" si="184"/>
        <v>g</v>
      </c>
      <c r="L2951" s="6" t="str">
        <f t="shared" si="185"/>
        <v>Carrefour</v>
      </c>
      <c r="M2951" s="6" t="str">
        <f t="shared" si="186"/>
        <v>P'Tit Déj 6 Céréales Complètes</v>
      </c>
      <c r="N2951" s="6" t="str">
        <f t="shared" si="187"/>
        <v>France, Italie, Pologne, Roumanie, Spain</v>
      </c>
    </row>
    <row r="2952" spans="1:14" x14ac:dyDescent="0.25">
      <c r="A2952" s="6" t="s">
        <v>6913</v>
      </c>
      <c r="B2952" s="6">
        <v>6216</v>
      </c>
      <c r="C2952" s="6" t="s">
        <v>6914</v>
      </c>
      <c r="D2952" s="7" t="s">
        <v>7480</v>
      </c>
      <c r="E2952" s="6" t="s">
        <v>10</v>
      </c>
      <c r="F2952" s="6" t="s">
        <v>139</v>
      </c>
      <c r="G2952" s="8">
        <v>45672</v>
      </c>
      <c r="H2952" s="6">
        <v>22.37</v>
      </c>
      <c r="I2952" s="6" cm="1">
        <f t="array" ref="I2952">IFERROR(VALUE(TRIM(LEFT(E2952,MIN(FIND({" ";"g";"k";"m";"o"},E2952&amp;" gkmo"))-1))),0)</f>
        <v>100</v>
      </c>
      <c r="J2952" s="6" t="str" cm="1">
        <f t="array" ref="J2952">IFERROR(TRIM(MID(E2952,MIN(FIND({" ";"g";"k";"m";"o"},E2952&amp;" gkmo")),10)),"unknown")</f>
        <v>g</v>
      </c>
      <c r="K2952" s="6" t="str">
        <f t="shared" si="184"/>
        <v>g</v>
      </c>
      <c r="L2952" s="6" t="str">
        <f t="shared" si="185"/>
        <v>Marque Repère, P'Tit Déli</v>
      </c>
      <c r="M2952" s="6" t="str">
        <f t="shared" si="186"/>
        <v>Palmiers</v>
      </c>
      <c r="N2952" s="6" t="str">
        <f t="shared" si="187"/>
        <v>France</v>
      </c>
    </row>
    <row r="2953" spans="1:14" x14ac:dyDescent="0.25">
      <c r="A2953" s="6" t="s">
        <v>6915</v>
      </c>
      <c r="B2953" s="6">
        <v>11477</v>
      </c>
      <c r="C2953" s="6" t="s">
        <v>6916</v>
      </c>
      <c r="D2953" s="7" t="s">
        <v>7493</v>
      </c>
      <c r="E2953" s="6" t="s">
        <v>39</v>
      </c>
      <c r="F2953" s="6" t="s">
        <v>139</v>
      </c>
      <c r="G2953" s="8">
        <v>45402</v>
      </c>
      <c r="H2953" s="6">
        <v>13.16</v>
      </c>
      <c r="I2953" s="6" cm="1">
        <f t="array" ref="I2953">IFERROR(VALUE(TRIM(LEFT(E2953,MIN(FIND({" ";"g";"k";"m";"o"},E2953&amp;" gkmo"))-1))),0)</f>
        <v>150</v>
      </c>
      <c r="J2953" s="6" t="str" cm="1">
        <f t="array" ref="J2953">IFERROR(TRIM(MID(E2953,MIN(FIND({" ";"g";"k";"m";"o"},E2953&amp;" gkmo")),10)),"unknown")</f>
        <v>g</v>
      </c>
      <c r="K2953" s="6" t="str">
        <f t="shared" si="184"/>
        <v>g</v>
      </c>
      <c r="L2953" s="6" t="str">
        <f t="shared" si="185"/>
        <v>Marque Repère, Pom'Lisse</v>
      </c>
      <c r="M2953" s="6" t="str">
        <f t="shared" si="186"/>
        <v>Pom'Lisse Chips Craqu'Antes</v>
      </c>
      <c r="N2953" s="6" t="str">
        <f t="shared" si="187"/>
        <v>France</v>
      </c>
    </row>
    <row r="2954" spans="1:14" x14ac:dyDescent="0.25">
      <c r="A2954" s="6" t="s">
        <v>6917</v>
      </c>
      <c r="B2954" s="6">
        <v>8969</v>
      </c>
      <c r="C2954" s="6" t="s">
        <v>7887</v>
      </c>
      <c r="D2954" s="7" t="s">
        <v>7477</v>
      </c>
      <c r="E2954" s="6"/>
      <c r="F2954" s="6" t="s">
        <v>139</v>
      </c>
      <c r="G2954" s="8">
        <v>45772</v>
      </c>
      <c r="H2954" s="6">
        <v>16.34</v>
      </c>
      <c r="I2954" s="6" cm="1">
        <f t="array" ref="I2954">IFERROR(VALUE(TRIM(LEFT(E2954,MIN(FIND({" ";"g";"k";"m";"o"},E2954&amp;" gkmo"))-1))),0)</f>
        <v>0</v>
      </c>
      <c r="J2954" s="6" t="str" cm="1">
        <f t="array" ref="J2954">IFERROR(TRIM(MID(E2954,MIN(FIND({" ";"g";"k";"m";"o"},E2954&amp;" gkmo")),10)),"unknown")</f>
        <v/>
      </c>
      <c r="K2954" s="6" t="str">
        <f t="shared" si="184"/>
        <v>unknown</v>
      </c>
      <c r="L2954" s="6" t="str">
        <f t="shared" si="185"/>
        <v>Marque Repère, Tokapi</v>
      </c>
      <c r="M2954" s="6" t="str">
        <f t="shared" si="186"/>
        <v>Tuiles Goà»T Nature</v>
      </c>
      <c r="N2954" s="6" t="str">
        <f t="shared" si="187"/>
        <v>France</v>
      </c>
    </row>
    <row r="2955" spans="1:14" x14ac:dyDescent="0.25">
      <c r="A2955" s="6" t="s">
        <v>6918</v>
      </c>
      <c r="B2955" s="6">
        <v>13936</v>
      </c>
      <c r="C2955" s="6" t="s">
        <v>7447</v>
      </c>
      <c r="D2955" s="7" t="s">
        <v>7480</v>
      </c>
      <c r="E2955" s="6"/>
      <c r="F2955" s="6" t="s">
        <v>139</v>
      </c>
      <c r="G2955" s="8">
        <v>45972</v>
      </c>
      <c r="H2955" s="6">
        <v>17.89</v>
      </c>
      <c r="I2955" s="6" cm="1">
        <f t="array" ref="I2955">IFERROR(VALUE(TRIM(LEFT(E2955,MIN(FIND({" ";"g";"k";"m";"o"},E2955&amp;" gkmo"))-1))),0)</f>
        <v>0</v>
      </c>
      <c r="J2955" s="6" t="str" cm="1">
        <f t="array" ref="J2955">IFERROR(TRIM(MID(E2955,MIN(FIND({" ";"g";"k";"m";"o"},E2955&amp;" gkmo")),10)),"unknown")</f>
        <v/>
      </c>
      <c r="K2955" s="6" t="str">
        <f t="shared" si="184"/>
        <v>unknown</v>
      </c>
      <c r="L2955" s="6" t="str">
        <f t="shared" si="185"/>
        <v>Marque Repère, P'Tit Déli</v>
      </c>
      <c r="M2955" s="6" t="str">
        <f t="shared" si="186"/>
        <v>Déli Matin Miel &amp; Pépites De Chocolat</v>
      </c>
      <c r="N2955" s="6" t="str">
        <f t="shared" si="187"/>
        <v>France</v>
      </c>
    </row>
    <row r="2956" spans="1:14" x14ac:dyDescent="0.25">
      <c r="A2956" s="6" t="s">
        <v>6919</v>
      </c>
      <c r="B2956" s="6">
        <v>7657</v>
      </c>
      <c r="C2956" s="6" t="s">
        <v>134</v>
      </c>
      <c r="D2956" s="7" t="s">
        <v>439</v>
      </c>
      <c r="E2956" s="6" t="s">
        <v>5763</v>
      </c>
      <c r="F2956" s="6" t="s">
        <v>6920</v>
      </c>
      <c r="G2956" s="8">
        <v>45701</v>
      </c>
      <c r="H2956" s="6">
        <v>5.82</v>
      </c>
      <c r="I2956" s="6" cm="1">
        <f t="array" ref="I2956">IFERROR(VALUE(TRIM(LEFT(E2956,MIN(FIND({" ";"g";"k";"m";"o"},E2956&amp;" gkmo"))-1))),0)</f>
        <v>95</v>
      </c>
      <c r="J2956" s="6" t="str" cm="1">
        <f t="array" ref="J2956">IFERROR(TRIM(MID(E2956,MIN(FIND({" ";"g";"k";"m";"o"},E2956&amp;" gkmo")),10)),"unknown")</f>
        <v>g</v>
      </c>
      <c r="K2956" s="6" t="str">
        <f t="shared" si="184"/>
        <v>g</v>
      </c>
      <c r="L2956" s="6" t="str">
        <f t="shared" si="185"/>
        <v>Poulain</v>
      </c>
      <c r="M2956" s="6" t="str">
        <f t="shared" si="186"/>
        <v>Chocolat Au Lait</v>
      </c>
      <c r="N2956" s="6" t="str">
        <f t="shared" si="187"/>
        <v>France,Canada</v>
      </c>
    </row>
    <row r="2957" spans="1:14" x14ac:dyDescent="0.25">
      <c r="A2957" s="6" t="s">
        <v>6921</v>
      </c>
      <c r="B2957" s="6">
        <v>11269</v>
      </c>
      <c r="C2957" s="6" t="s">
        <v>6922</v>
      </c>
      <c r="D2957" s="7" t="s">
        <v>7448</v>
      </c>
      <c r="E2957" s="6" t="s">
        <v>6923</v>
      </c>
      <c r="F2957" s="6" t="s">
        <v>139</v>
      </c>
      <c r="G2957" s="8">
        <v>45454</v>
      </c>
      <c r="H2957" s="6">
        <v>5.29</v>
      </c>
      <c r="I2957" s="6" cm="1">
        <f t="array" ref="I2957">IFERROR(VALUE(TRIM(LEFT(E2957,MIN(FIND({" ";"g";"k";"m";"o"},E2957&amp;" gkmo"))-1))),0)</f>
        <v>4</v>
      </c>
      <c r="J2957" s="6" t="str" cm="1">
        <f t="array" ref="J2957">IFERROR(TRIM(MID(E2957,MIN(FIND({" ";"g";"k";"m";"o"},E2957&amp;" gkmo")),10)),"unknown")</f>
        <v>sachets d</v>
      </c>
      <c r="K2957" s="6" t="str">
        <f t="shared" si="184"/>
        <v>g</v>
      </c>
      <c r="L2957" s="6" t="str">
        <f t="shared" si="185"/>
        <v>A&amp;O, A&amp;O L'Épicerie Locale, Aline &amp; Olivier</v>
      </c>
      <c r="M2957" s="6" t="str">
        <f t="shared" si="186"/>
        <v>Mon Biscuit Bio Vanille</v>
      </c>
      <c r="N2957" s="6" t="str">
        <f t="shared" si="187"/>
        <v>France</v>
      </c>
    </row>
    <row r="2958" spans="1:14" x14ac:dyDescent="0.25">
      <c r="A2958" s="6" t="s">
        <v>6924</v>
      </c>
      <c r="B2958" s="6">
        <v>13152</v>
      </c>
      <c r="C2958" s="6" t="s">
        <v>7017</v>
      </c>
      <c r="D2958" s="7" t="s">
        <v>6925</v>
      </c>
      <c r="E2958" s="6" t="s">
        <v>1312</v>
      </c>
      <c r="F2958" s="6" t="s">
        <v>1181</v>
      </c>
      <c r="G2958" s="8">
        <v>45992</v>
      </c>
      <c r="H2958" s="6">
        <v>13.16</v>
      </c>
      <c r="I2958" s="6" cm="1">
        <f t="array" ref="I2958">IFERROR(VALUE(TRIM(LEFT(E2958,MIN(FIND({" ";"g";"k";"m";"o"},E2958&amp;" gkmo"))-1))),0)</f>
        <v>50</v>
      </c>
      <c r="J2958" s="6" t="str" cm="1">
        <f t="array" ref="J2958">IFERROR(TRIM(MID(E2958,MIN(FIND({" ";"g";"k";"m";"o"},E2958&amp;" gkmo")),10)),"unknown")</f>
        <v>g</v>
      </c>
      <c r="K2958" s="6" t="str">
        <f t="shared" si="184"/>
        <v>g</v>
      </c>
      <c r="L2958" s="6" t="str">
        <f t="shared" si="185"/>
        <v>Trolli</v>
      </c>
      <c r="M2958" s="6" t="str">
        <f t="shared" si="186"/>
        <v>Unknown</v>
      </c>
      <c r="N2958" s="6" t="str">
        <f t="shared" si="187"/>
        <v>France,Switzerland</v>
      </c>
    </row>
    <row r="2959" spans="1:14" x14ac:dyDescent="0.25">
      <c r="A2959" s="6" t="s">
        <v>6926</v>
      </c>
      <c r="B2959" s="6">
        <v>7976</v>
      </c>
      <c r="C2959" s="6" t="s">
        <v>7888</v>
      </c>
      <c r="D2959" s="7" t="s">
        <v>6927</v>
      </c>
      <c r="E2959" s="6" t="s">
        <v>6928</v>
      </c>
      <c r="F2959" s="6" t="s">
        <v>1986</v>
      </c>
      <c r="G2959" s="8">
        <v>45834</v>
      </c>
      <c r="H2959" s="6">
        <v>16.100000000000001</v>
      </c>
      <c r="I2959" s="6" cm="1">
        <f t="array" ref="I2959">IFERROR(VALUE(TRIM(LEFT(E2959,MIN(FIND({" ";"g";"k";"m";"o"},E2959&amp;" gkmo"))-1))),0)</f>
        <v>4</v>
      </c>
      <c r="J2959" s="6" t="str" cm="1">
        <f t="array" ref="J2959">IFERROR(TRIM(MID(E2959,MIN(FIND({" ";"g";"k";"m";"o"},E2959&amp;" gkmo")),10)),"unknown")</f>
        <v>x 35 g =</v>
      </c>
      <c r="K2959" s="6" t="str">
        <f t="shared" si="184"/>
        <v>g</v>
      </c>
      <c r="L2959" s="6" t="str">
        <f t="shared" si="185"/>
        <v>Schwartauer Corny</v>
      </c>
      <c r="M2959" s="6" t="str">
        <f t="shared" si="186"/>
        <v>Haferkraft Cranberry Kà¼Rbiskern</v>
      </c>
      <c r="N2959" s="6" t="str">
        <f t="shared" si="187"/>
        <v>Deutschland</v>
      </c>
    </row>
    <row r="2960" spans="1:14" x14ac:dyDescent="0.25">
      <c r="A2960" s="6" t="s">
        <v>6929</v>
      </c>
      <c r="B2960" s="6">
        <v>14163</v>
      </c>
      <c r="C2960" s="6" t="s">
        <v>6930</v>
      </c>
      <c r="D2960" s="7" t="s">
        <v>6931</v>
      </c>
      <c r="E2960" s="6" t="s">
        <v>580</v>
      </c>
      <c r="F2960" s="6" t="s">
        <v>1356</v>
      </c>
      <c r="G2960" s="8">
        <v>45975</v>
      </c>
      <c r="H2960" s="6">
        <v>18.04</v>
      </c>
      <c r="I2960" s="6" cm="1">
        <f t="array" ref="I2960">IFERROR(VALUE(TRIM(LEFT(E2960,MIN(FIND({" ";"g";"k";"m";"o"},E2960&amp;" gkmo"))-1))),0)</f>
        <v>250</v>
      </c>
      <c r="J2960" s="6" t="str" cm="1">
        <f t="array" ref="J2960">IFERROR(TRIM(MID(E2960,MIN(FIND({" ";"g";"k";"m";"o"},E2960&amp;" gkmo")),10)),"unknown")</f>
        <v>g</v>
      </c>
      <c r="K2960" s="6" t="str">
        <f t="shared" si="184"/>
        <v>g</v>
      </c>
      <c r="L2960" s="6" t="str">
        <f t="shared" si="185"/>
        <v>Mars, Snickers</v>
      </c>
      <c r="M2960" s="6" t="str">
        <f t="shared" si="186"/>
        <v>Snickers X5</v>
      </c>
      <c r="N2960" s="6" t="str">
        <f t="shared" si="187"/>
        <v>France,Germany</v>
      </c>
    </row>
    <row r="2961" spans="1:14" x14ac:dyDescent="0.25">
      <c r="A2961" s="6" t="s">
        <v>6932</v>
      </c>
      <c r="B2961" s="6">
        <v>10894</v>
      </c>
      <c r="C2961" s="6" t="s">
        <v>1192</v>
      </c>
      <c r="D2961" s="7" t="s">
        <v>726</v>
      </c>
      <c r="E2961" s="6"/>
      <c r="F2961" s="6" t="s">
        <v>7926</v>
      </c>
      <c r="G2961" s="8">
        <v>45480</v>
      </c>
      <c r="H2961" s="6">
        <v>14.16</v>
      </c>
      <c r="I2961" s="6" cm="1">
        <f t="array" ref="I2961">IFERROR(VALUE(TRIM(LEFT(E2961,MIN(FIND({" ";"g";"k";"m";"o"},E2961&amp;" gkmo"))-1))),0)</f>
        <v>0</v>
      </c>
      <c r="J2961" s="6" t="str" cm="1">
        <f t="array" ref="J2961">IFERROR(TRIM(MID(E2961,MIN(FIND({" ";"g";"k";"m";"o"},E2961&amp;" gkmo")),10)),"unknown")</f>
        <v/>
      </c>
      <c r="K2961" s="6" t="str">
        <f t="shared" si="184"/>
        <v>unknown</v>
      </c>
      <c r="L2961" s="6" t="str">
        <f t="shared" si="185"/>
        <v>Walkers</v>
      </c>
      <c r="M2961" s="6" t="str">
        <f t="shared" si="186"/>
        <v>Baked Sea Salt</v>
      </c>
      <c r="N2961" s="6" t="str">
        <f t="shared" si="187"/>
        <v>France, United-Kingdom</v>
      </c>
    </row>
    <row r="2962" spans="1:14" x14ac:dyDescent="0.25">
      <c r="A2962" s="6" t="s">
        <v>6933</v>
      </c>
      <c r="B2962" s="6">
        <v>14965</v>
      </c>
      <c r="C2962" s="6" t="s">
        <v>7449</v>
      </c>
      <c r="D2962" s="7" t="s">
        <v>1720</v>
      </c>
      <c r="E2962" s="6" t="s">
        <v>6934</v>
      </c>
      <c r="F2962" s="6" t="s">
        <v>139</v>
      </c>
      <c r="G2962" s="8">
        <v>45361</v>
      </c>
      <c r="H2962" s="6">
        <v>22.08</v>
      </c>
      <c r="I2962" s="6" cm="1">
        <f t="array" ref="I2962">IFERROR(VALUE(TRIM(LEFT(E2962,MIN(FIND({" ";"g";"k";"m";"o"},E2962&amp;" gkmo"))-1))),0)</f>
        <v>6</v>
      </c>
      <c r="J2962" s="6" t="str" cm="1">
        <f t="array" ref="J2962">IFERROR(TRIM(MID(E2962,MIN(FIND({" ";"g";"k";"m";"o"},E2962&amp;" gkmo")),10)),"unknown")</f>
        <v>x 30 g, 1</v>
      </c>
      <c r="K2962" s="6" t="str">
        <f t="shared" si="184"/>
        <v>g</v>
      </c>
      <c r="L2962" s="6" t="str">
        <f t="shared" si="185"/>
        <v>Jordans</v>
      </c>
      <c r="M2962" s="6" t="str">
        <f t="shared" si="186"/>
        <v>Barre De Céréales Frusli Fruit Rougesðÿ“</v>
      </c>
      <c r="N2962" s="6" t="str">
        <f t="shared" si="187"/>
        <v>France</v>
      </c>
    </row>
    <row r="2963" spans="1:14" x14ac:dyDescent="0.25">
      <c r="A2963" s="6" t="s">
        <v>6935</v>
      </c>
      <c r="B2963" s="6">
        <v>8289</v>
      </c>
      <c r="C2963" s="6" t="s">
        <v>6936</v>
      </c>
      <c r="D2963" s="7" t="s">
        <v>3547</v>
      </c>
      <c r="E2963" s="6">
        <v>6</v>
      </c>
      <c r="F2963" s="6" t="s">
        <v>7926</v>
      </c>
      <c r="G2963" s="8">
        <v>45977</v>
      </c>
      <c r="H2963" s="6">
        <v>3.63</v>
      </c>
      <c r="I2963" s="6" cm="1">
        <f t="array" ref="I2963">IFERROR(VALUE(TRIM(LEFT(E2963,MIN(FIND({" ";"g";"k";"m";"o"},E2963&amp;" gkmo"))-1))),0)</f>
        <v>6</v>
      </c>
      <c r="J2963" s="6" t="str" cm="1">
        <f t="array" ref="J2963">IFERROR(TRIM(MID(E2963,MIN(FIND({" ";"g";"k";"m";"o"},E2963&amp;" gkmo")),10)),"unknown")</f>
        <v/>
      </c>
      <c r="K2963" s="6" t="str">
        <f t="shared" si="184"/>
        <v>unknown</v>
      </c>
      <c r="L2963" s="6" t="str">
        <f t="shared" si="185"/>
        <v>Kellogg'S</v>
      </c>
      <c r="M2963" s="6" t="str">
        <f t="shared" si="186"/>
        <v>Nutri-Grain Strawberry Cereal Bars Imp</v>
      </c>
      <c r="N2963" s="6" t="str">
        <f t="shared" si="187"/>
        <v>France, United-Kingdom</v>
      </c>
    </row>
    <row r="2964" spans="1:14" x14ac:dyDescent="0.25">
      <c r="A2964" s="6" t="s">
        <v>6937</v>
      </c>
      <c r="B2964" s="6">
        <v>11124</v>
      </c>
      <c r="C2964" s="6" t="s">
        <v>6938</v>
      </c>
      <c r="D2964" s="7" t="s">
        <v>6939</v>
      </c>
      <c r="E2964" s="6" t="s">
        <v>649</v>
      </c>
      <c r="F2964" s="6" t="s">
        <v>400</v>
      </c>
      <c r="G2964" s="8">
        <v>45784</v>
      </c>
      <c r="H2964" s="6">
        <v>11.95</v>
      </c>
      <c r="I2964" s="6" cm="1">
        <f t="array" ref="I2964">IFERROR(VALUE(TRIM(LEFT(E2964,MIN(FIND({" ";"g";"k";"m";"o"},E2964&amp;" gkmo"))-1))),0)</f>
        <v>35</v>
      </c>
      <c r="J2964" s="6" t="str" cm="1">
        <f t="array" ref="J2964">IFERROR(TRIM(MID(E2964,MIN(FIND({" ";"g";"k";"m";"o"},E2964&amp;" gkmo")),10)),"unknown")</f>
        <v>g</v>
      </c>
      <c r="K2964" s="6" t="str">
        <f t="shared" si="184"/>
        <v>g</v>
      </c>
      <c r="L2964" s="6" t="str">
        <f t="shared" si="185"/>
        <v>Urban Fruit</v>
      </c>
      <c r="M2964" s="6" t="str">
        <f t="shared" si="186"/>
        <v>Gently Baked Mango</v>
      </c>
      <c r="N2964" s="6" t="str">
        <f t="shared" si="187"/>
        <v>France,United Kingdom</v>
      </c>
    </row>
    <row r="2965" spans="1:14" x14ac:dyDescent="0.25">
      <c r="A2965" s="6" t="s">
        <v>6940</v>
      </c>
      <c r="B2965" s="6">
        <v>12070</v>
      </c>
      <c r="C2965" s="6" t="s">
        <v>7450</v>
      </c>
      <c r="D2965" s="7" t="s">
        <v>306</v>
      </c>
      <c r="E2965" s="6" t="s">
        <v>276</v>
      </c>
      <c r="F2965" s="6" t="s">
        <v>7954</v>
      </c>
      <c r="G2965" s="8">
        <v>45635</v>
      </c>
      <c r="H2965" s="6">
        <v>19.28</v>
      </c>
      <c r="I2965" s="6" cm="1">
        <f t="array" ref="I2965">IFERROR(VALUE(TRIM(LEFT(E2965,MIN(FIND({" ";"g";"k";"m";"o"},E2965&amp;" gkmo"))-1))),0)</f>
        <v>40</v>
      </c>
      <c r="J2965" s="6" t="str" cm="1">
        <f t="array" ref="J2965">IFERROR(TRIM(MID(E2965,MIN(FIND({" ";"g";"k";"m";"o"},E2965&amp;" gkmo")),10)),"unknown")</f>
        <v>g</v>
      </c>
      <c r="K2965" s="6" t="str">
        <f t="shared" si="184"/>
        <v>g</v>
      </c>
      <c r="L2965" s="6" t="str">
        <f t="shared" si="185"/>
        <v>Lu</v>
      </c>
      <c r="M2965" s="6" t="str">
        <f t="shared" si="186"/>
        <v>Prince Pocket - Biscuits Fourrés Parfum Chocolat</v>
      </c>
      <c r="N2965" s="6" t="str">
        <f t="shared" si="187"/>
        <v>France, Belgium</v>
      </c>
    </row>
    <row r="2966" spans="1:14" x14ac:dyDescent="0.25">
      <c r="A2966" s="6" t="s">
        <v>6941</v>
      </c>
      <c r="B2966" s="6">
        <v>7093</v>
      </c>
      <c r="C2966" s="6" t="s">
        <v>722</v>
      </c>
      <c r="D2966" s="7" t="s">
        <v>1084</v>
      </c>
      <c r="E2966" s="6" t="s">
        <v>4719</v>
      </c>
      <c r="F2966" s="6" t="s">
        <v>8252</v>
      </c>
      <c r="G2966" s="8">
        <v>45799</v>
      </c>
      <c r="H2966" s="6">
        <v>20.89</v>
      </c>
      <c r="I2966" s="6" cm="1">
        <f t="array" ref="I2966">IFERROR(VALUE(TRIM(LEFT(E2966,MIN(FIND({" ";"g";"k";"m";"o"},E2966&amp;" gkmo"))-1))),0)</f>
        <v>124</v>
      </c>
      <c r="J2966" s="6" t="str" cm="1">
        <f t="array" ref="J2966">IFERROR(TRIM(MID(E2966,MIN(FIND({" ";"g";"k";"m";"o"},E2966&amp;" gkmo")),10)),"unknown")</f>
        <v>g</v>
      </c>
      <c r="K2966" s="6" t="str">
        <f t="shared" si="184"/>
        <v>g</v>
      </c>
      <c r="L2966" s="6" t="str">
        <f t="shared" si="185"/>
        <v>Lotus</v>
      </c>
      <c r="M2966" s="6" t="str">
        <f t="shared" si="186"/>
        <v>Biscoff</v>
      </c>
      <c r="N2966" s="6" t="str">
        <f t="shared" si="187"/>
        <v>Australia,Austria,France,Italia,Marruecos,Nueva Zelanda,Espaà±A</v>
      </c>
    </row>
    <row r="2967" spans="1:14" x14ac:dyDescent="0.25">
      <c r="A2967" s="6" t="s">
        <v>6942</v>
      </c>
      <c r="B2967" s="6">
        <v>9944</v>
      </c>
      <c r="C2967" s="6" t="s">
        <v>6943</v>
      </c>
      <c r="D2967" s="7" t="s">
        <v>4193</v>
      </c>
      <c r="E2967" s="6" t="s">
        <v>1790</v>
      </c>
      <c r="F2967" s="6" t="s">
        <v>8412</v>
      </c>
      <c r="G2967" s="8">
        <v>45994</v>
      </c>
      <c r="H2967" s="6">
        <v>24.1</v>
      </c>
      <c r="I2967" s="6" cm="1">
        <f t="array" ref="I2967">IFERROR(VALUE(TRIM(LEFT(E2967,MIN(FIND({" ";"g";"k";"m";"o"},E2967&amp;" gkmo"))-1))),0)</f>
        <v>75</v>
      </c>
      <c r="J2967" s="6" t="str" cm="1">
        <f t="array" ref="J2967">IFERROR(TRIM(MID(E2967,MIN(FIND({" ";"g";"k";"m";"o"},E2967&amp;" gkmo")),10)),"unknown")</f>
        <v>g</v>
      </c>
      <c r="K2967" s="6" t="str">
        <f t="shared" si="184"/>
        <v>g</v>
      </c>
      <c r="L2967" s="6" t="str">
        <f t="shared" si="185"/>
        <v>Mars Norge As</v>
      </c>
      <c r="M2967" s="6" t="str">
        <f t="shared" si="186"/>
        <v>Twix Xtra</v>
      </c>
      <c r="N2967" s="6" t="str">
        <f t="shared" si="187"/>
        <v>Austria,Belgium,France,Germany,Irlanda,Rumania,Espaà±A,Switzerland,United Kingdom</v>
      </c>
    </row>
    <row r="2968" spans="1:14" x14ac:dyDescent="0.25">
      <c r="A2968" s="6" t="s">
        <v>6944</v>
      </c>
      <c r="B2968" s="6">
        <v>11464</v>
      </c>
      <c r="C2968" s="6" t="s">
        <v>6945</v>
      </c>
      <c r="D2968" s="7" t="s">
        <v>6946</v>
      </c>
      <c r="E2968" s="6"/>
      <c r="F2968" s="6" t="s">
        <v>7919</v>
      </c>
      <c r="G2968" s="8">
        <v>45631</v>
      </c>
      <c r="H2968" s="6">
        <v>15.39</v>
      </c>
      <c r="I2968" s="6" cm="1">
        <f t="array" ref="I2968">IFERROR(VALUE(TRIM(LEFT(E2968,MIN(FIND({" ";"g";"k";"m";"o"},E2968&amp;" gkmo"))-1))),0)</f>
        <v>0</v>
      </c>
      <c r="J2968" s="6" t="str" cm="1">
        <f t="array" ref="J2968">IFERROR(TRIM(MID(E2968,MIN(FIND({" ";"g";"k";"m";"o"},E2968&amp;" gkmo")),10)),"unknown")</f>
        <v/>
      </c>
      <c r="K2968" s="6" t="str">
        <f t="shared" si="184"/>
        <v>unknown</v>
      </c>
      <c r="L2968" s="6" t="str">
        <f t="shared" si="185"/>
        <v>Alka</v>
      </c>
      <c r="M2968" s="6" t="str">
        <f t="shared" si="186"/>
        <v>Elephant Squeezed Pretzels Honey Mustard &amp; Onion</v>
      </c>
      <c r="N2968" s="6" t="str">
        <f t="shared" si="187"/>
        <v>France, Morocco</v>
      </c>
    </row>
    <row r="2969" spans="1:14" x14ac:dyDescent="0.25">
      <c r="A2969" s="6" t="s">
        <v>6947</v>
      </c>
      <c r="B2969" s="6">
        <v>9386</v>
      </c>
      <c r="C2969" s="6" t="s">
        <v>6948</v>
      </c>
      <c r="D2969" s="7" t="s">
        <v>1355</v>
      </c>
      <c r="E2969" s="6"/>
      <c r="F2969" s="6" t="s">
        <v>6949</v>
      </c>
      <c r="G2969" s="8">
        <v>45619</v>
      </c>
      <c r="H2969" s="6">
        <v>1.84</v>
      </c>
      <c r="I2969" s="6" cm="1">
        <f t="array" ref="I2969">IFERROR(VALUE(TRIM(LEFT(E2969,MIN(FIND({" ";"g";"k";"m";"o"},E2969&amp;" gkmo"))-1))),0)</f>
        <v>0</v>
      </c>
      <c r="J2969" s="6" t="str" cm="1">
        <f t="array" ref="J2969">IFERROR(TRIM(MID(E2969,MIN(FIND({" ";"g";"k";"m";"o"},E2969&amp;" gkmo")),10)),"unknown")</f>
        <v/>
      </c>
      <c r="K2969" s="6" t="str">
        <f t="shared" si="184"/>
        <v>unknown</v>
      </c>
      <c r="L2969" s="6" t="str">
        <f t="shared" si="185"/>
        <v>Lay'S</v>
      </c>
      <c r="M2969" s="6" t="str">
        <f t="shared" si="186"/>
        <v>Lay'S Edible Salt</v>
      </c>
      <c r="N2969" s="6" t="str">
        <f t="shared" si="187"/>
        <v>Morocco,Tunisia</v>
      </c>
    </row>
    <row r="2970" spans="1:14" x14ac:dyDescent="0.25">
      <c r="A2970" s="6" t="s">
        <v>6950</v>
      </c>
      <c r="B2970" s="6">
        <v>12435</v>
      </c>
      <c r="C2970" s="6" t="s">
        <v>6951</v>
      </c>
      <c r="D2970" s="7" t="s">
        <v>1355</v>
      </c>
      <c r="E2970" s="6"/>
      <c r="F2970" s="6" t="s">
        <v>6949</v>
      </c>
      <c r="G2970" s="8">
        <v>45839</v>
      </c>
      <c r="H2970" s="6">
        <v>22.47</v>
      </c>
      <c r="I2970" s="6" cm="1">
        <f t="array" ref="I2970">IFERROR(VALUE(TRIM(LEFT(E2970,MIN(FIND({" ";"g";"k";"m";"o"},E2970&amp;" gkmo"))-1))),0)</f>
        <v>0</v>
      </c>
      <c r="J2970" s="6" t="str" cm="1">
        <f t="array" ref="J2970">IFERROR(TRIM(MID(E2970,MIN(FIND({" ";"g";"k";"m";"o"},E2970&amp;" gkmo")),10)),"unknown")</f>
        <v/>
      </c>
      <c r="K2970" s="6" t="str">
        <f t="shared" si="184"/>
        <v>unknown</v>
      </c>
      <c r="L2970" s="6" t="str">
        <f t="shared" si="185"/>
        <v>Lay'S</v>
      </c>
      <c r="M2970" s="6" t="str">
        <f t="shared" si="186"/>
        <v>Lay'S With Cheese And Onion Flavor</v>
      </c>
      <c r="N2970" s="6" t="str">
        <f t="shared" si="187"/>
        <v>Morocco,Tunisia</v>
      </c>
    </row>
    <row r="2971" spans="1:14" x14ac:dyDescent="0.25">
      <c r="A2971" s="6" t="s">
        <v>6952</v>
      </c>
      <c r="B2971" s="6">
        <v>12510</v>
      </c>
      <c r="C2971" s="6" t="s">
        <v>6953</v>
      </c>
      <c r="D2971" s="7" t="s">
        <v>60</v>
      </c>
      <c r="E2971" s="6" t="s">
        <v>1309</v>
      </c>
      <c r="F2971" s="6" t="s">
        <v>8204</v>
      </c>
      <c r="G2971" s="8">
        <v>45835</v>
      </c>
      <c r="H2971" s="6">
        <v>10.91</v>
      </c>
      <c r="I2971" s="6" cm="1">
        <f t="array" ref="I2971">IFERROR(VALUE(TRIM(LEFT(E2971,MIN(FIND({" ";"g";"k";"m";"o"},E2971&amp;" gkmo"))-1))),0)</f>
        <v>300</v>
      </c>
      <c r="J2971" s="6" t="str" cm="1">
        <f t="array" ref="J2971">IFERROR(TRIM(MID(E2971,MIN(FIND({" ";"g";"k";"m";"o"},E2971&amp;" gkmo")),10)),"unknown")</f>
        <v>g</v>
      </c>
      <c r="K2971" s="6" t="str">
        <f t="shared" si="184"/>
        <v>g</v>
      </c>
      <c r="L2971" s="6" t="str">
        <f t="shared" si="185"/>
        <v>Lindt</v>
      </c>
      <c r="M2971" s="6" t="str">
        <f t="shared" si="186"/>
        <v>Lindt Milch Â€¢ Au Laitâ€¢ Milk</v>
      </c>
      <c r="N2971" s="6" t="str">
        <f t="shared" si="187"/>
        <v>Australia, France, Germany, Switzerland, Bulgaria</v>
      </c>
    </row>
    <row r="2972" spans="1:14" x14ac:dyDescent="0.25">
      <c r="A2972" s="6" t="s">
        <v>6954</v>
      </c>
      <c r="B2972" s="6">
        <v>13581</v>
      </c>
      <c r="C2972" s="6" t="s">
        <v>6955</v>
      </c>
      <c r="D2972" s="7" t="s">
        <v>7772</v>
      </c>
      <c r="E2972" s="6" t="s">
        <v>39</v>
      </c>
      <c r="F2972" s="6" t="s">
        <v>157</v>
      </c>
      <c r="G2972" s="8">
        <v>45588</v>
      </c>
      <c r="H2972" s="6">
        <v>1.86</v>
      </c>
      <c r="I2972" s="6" cm="1">
        <f t="array" ref="I2972">IFERROR(VALUE(TRIM(LEFT(E2972,MIN(FIND({" ";"g";"k";"m";"o"},E2972&amp;" gkmo"))-1))),0)</f>
        <v>150</v>
      </c>
      <c r="J2972" s="6" t="str" cm="1">
        <f t="array" ref="J2972">IFERROR(TRIM(MID(E2972,MIN(FIND({" ";"g";"k";"m";"o"},E2972&amp;" gkmo")),10)),"unknown")</f>
        <v>g</v>
      </c>
      <c r="K2972" s="6" t="str">
        <f t="shared" si="184"/>
        <v>g</v>
      </c>
      <c r="L2972" s="6" t="str">
        <f t="shared" si="185"/>
        <v>Lindt, Lindt &amp; Sprà¼Ngli</v>
      </c>
      <c r="M2972" s="6" t="str">
        <f t="shared" si="186"/>
        <v>Les Grandes, 34% Noisettes, Noir</v>
      </c>
      <c r="N2972" s="6" t="str">
        <f t="shared" si="187"/>
        <v>France,Germany,Switzerland</v>
      </c>
    </row>
    <row r="2973" spans="1:14" x14ac:dyDescent="0.25">
      <c r="A2973" s="6" t="s">
        <v>6956</v>
      </c>
      <c r="B2973" s="6">
        <v>14931</v>
      </c>
      <c r="C2973" s="6" t="s">
        <v>433</v>
      </c>
      <c r="D2973" s="7" t="s">
        <v>7451</v>
      </c>
      <c r="E2973" s="6" t="s">
        <v>495</v>
      </c>
      <c r="F2973" s="6" t="s">
        <v>8275</v>
      </c>
      <c r="G2973" s="8">
        <v>45888</v>
      </c>
      <c r="H2973" s="6">
        <v>24.82</v>
      </c>
      <c r="I2973" s="6" cm="1">
        <f t="array" ref="I2973">IFERROR(VALUE(TRIM(LEFT(E2973,MIN(FIND({" ";"g";"k";"m";"o"},E2973&amp;" gkmo"))-1))),0)</f>
        <v>35</v>
      </c>
      <c r="J2973" s="6" t="str" cm="1">
        <f t="array" ref="J2973">IFERROR(TRIM(MID(E2973,MIN(FIND({" ";"g";"k";"m";"o"},E2973&amp;" gkmo")),10)),"unknown")</f>
        <v>g</v>
      </c>
      <c r="K2973" s="6" t="str">
        <f t="shared" si="184"/>
        <v>g</v>
      </c>
      <c r="L2973" s="6" t="str">
        <f t="shared" si="185"/>
        <v>Toblerone,Mondélez</v>
      </c>
      <c r="M2973" s="6" t="str">
        <f t="shared" si="186"/>
        <v>Toblerone</v>
      </c>
      <c r="N2973" s="6" t="str">
        <f t="shared" si="187"/>
        <v>Bolivia,Bulgaria,France,Germany</v>
      </c>
    </row>
    <row r="2974" spans="1:14" x14ac:dyDescent="0.25">
      <c r="A2974" s="6" t="s">
        <v>6957</v>
      </c>
      <c r="B2974" s="6">
        <v>13589</v>
      </c>
      <c r="C2974" s="6" t="s">
        <v>6958</v>
      </c>
      <c r="D2974" s="7" t="s">
        <v>7017</v>
      </c>
      <c r="E2974" s="6" t="s">
        <v>6959</v>
      </c>
      <c r="F2974" s="6" t="s">
        <v>8253</v>
      </c>
      <c r="G2974" s="8">
        <v>45448</v>
      </c>
      <c r="H2974" s="6">
        <v>7.92</v>
      </c>
      <c r="I2974" s="6" cm="1">
        <f t="array" ref="I2974">IFERROR(VALUE(TRIM(LEFT(E2974,MIN(FIND({" ";"g";"k";"m";"o"},E2974&amp;" gkmo"))-1))),0)</f>
        <v>500</v>
      </c>
      <c r="J2974" s="6" t="str" cm="1">
        <f t="array" ref="J2974">IFERROR(TRIM(MID(E2974,MIN(FIND({" ";"g";"k";"m";"o"},E2974&amp;" gkmo")),10)),"unknown")</f>
        <v>gram</v>
      </c>
      <c r="K2974" s="6" t="str">
        <f t="shared" si="184"/>
        <v>g</v>
      </c>
      <c r="L2974" s="6" t="str">
        <f t="shared" si="185"/>
        <v>Unknown</v>
      </c>
      <c r="M2974" s="6" t="str">
        <f t="shared" si="186"/>
        <v>Oreo Golden</v>
      </c>
      <c r="N2974" s="6" t="str">
        <f t="shared" si="187"/>
        <v>Dinamarca,France,Marruecos,Noruega,Espaà±A,Suecia</v>
      </c>
    </row>
    <row r="2975" spans="1:14" x14ac:dyDescent="0.25">
      <c r="A2975" s="6" t="s">
        <v>6960</v>
      </c>
      <c r="B2975" s="6">
        <v>14907</v>
      </c>
      <c r="C2975" s="6" t="s">
        <v>6961</v>
      </c>
      <c r="D2975" s="7" t="s">
        <v>6962</v>
      </c>
      <c r="E2975" s="6" t="s">
        <v>6963</v>
      </c>
      <c r="F2975" s="6" t="s">
        <v>139</v>
      </c>
      <c r="G2975" s="8">
        <v>45868</v>
      </c>
      <c r="H2975" s="6">
        <v>19.670000000000002</v>
      </c>
      <c r="I2975" s="6" cm="1">
        <f t="array" ref="I2975">IFERROR(VALUE(TRIM(LEFT(E2975,MIN(FIND({" ";"g";"k";"m";"o"},E2975&amp;" gkmo"))-1))),0)</f>
        <v>180</v>
      </c>
      <c r="J2975" s="6" t="str" cm="1">
        <f t="array" ref="J2975">IFERROR(TRIM(MID(E2975,MIN(FIND({" ";"g";"k";"m";"o"},E2975&amp;" gkmo")),10)),"unknown")</f>
        <v>g (6 * 30</v>
      </c>
      <c r="K2975" s="6" t="str">
        <f t="shared" si="184"/>
        <v>g</v>
      </c>
      <c r="L2975" s="6" t="str">
        <f t="shared" si="185"/>
        <v>Granola, Lu</v>
      </c>
      <c r="M2975" s="6" t="str">
        <f t="shared" si="186"/>
        <v>Granola Brownie Chocolat Intense</v>
      </c>
      <c r="N2975" s="6" t="str">
        <f t="shared" si="187"/>
        <v>France</v>
      </c>
    </row>
    <row r="2976" spans="1:14" x14ac:dyDescent="0.25">
      <c r="A2976" s="6" t="s">
        <v>6964</v>
      </c>
      <c r="B2976" s="6">
        <v>8931</v>
      </c>
      <c r="C2976" s="6" t="s">
        <v>7889</v>
      </c>
      <c r="D2976" s="7" t="s">
        <v>135</v>
      </c>
      <c r="E2976" s="6" t="s">
        <v>185</v>
      </c>
      <c r="F2976" s="6" t="s">
        <v>241</v>
      </c>
      <c r="G2976" s="8">
        <v>46015</v>
      </c>
      <c r="H2976" s="6">
        <v>21.88</v>
      </c>
      <c r="I2976" s="6" cm="1">
        <f t="array" ref="I2976">IFERROR(VALUE(TRIM(LEFT(E2976,MIN(FIND({" ";"g";"k";"m";"o"},E2976&amp;" gkmo"))-1))),0)</f>
        <v>270</v>
      </c>
      <c r="J2976" s="6" t="str" cm="1">
        <f t="array" ref="J2976">IFERROR(TRIM(MID(E2976,MIN(FIND({" ";"g";"k";"m";"o"},E2976&amp;" gkmo")),10)),"unknown")</f>
        <v>g</v>
      </c>
      <c r="K2976" s="6" t="str">
        <f t="shared" si="184"/>
        <v>g</v>
      </c>
      <c r="L2976" s="6" t="str">
        <f t="shared" si="185"/>
        <v>Milka</v>
      </c>
      <c r="M2976" s="6" t="str">
        <f t="shared" si="186"/>
        <v>Milka Mmmax Ganze Haselnà¼Sse</v>
      </c>
      <c r="N2976" s="6" t="str">
        <f t="shared" si="187"/>
        <v>Germany</v>
      </c>
    </row>
    <row r="2977" spans="1:14" x14ac:dyDescent="0.25">
      <c r="A2977" s="6" t="s">
        <v>6965</v>
      </c>
      <c r="B2977" s="6">
        <v>6607</v>
      </c>
      <c r="C2977" s="6" t="s">
        <v>6966</v>
      </c>
      <c r="D2977" s="7" t="s">
        <v>135</v>
      </c>
      <c r="E2977" s="6" t="s">
        <v>185</v>
      </c>
      <c r="F2977" s="6" t="s">
        <v>6967</v>
      </c>
      <c r="G2977" s="8">
        <v>45437</v>
      </c>
      <c r="H2977" s="6">
        <v>21.1</v>
      </c>
      <c r="I2977" s="6" cm="1">
        <f t="array" ref="I2977">IFERROR(VALUE(TRIM(LEFT(E2977,MIN(FIND({" ";"g";"k";"m";"o"},E2977&amp;" gkmo"))-1))),0)</f>
        <v>270</v>
      </c>
      <c r="J2977" s="6" t="str" cm="1">
        <f t="array" ref="J2977">IFERROR(TRIM(MID(E2977,MIN(FIND({" ";"g";"k";"m";"o"},E2977&amp;" gkmo")),10)),"unknown")</f>
        <v>g</v>
      </c>
      <c r="K2977" s="6" t="str">
        <f t="shared" si="184"/>
        <v>g</v>
      </c>
      <c r="L2977" s="6" t="str">
        <f t="shared" si="185"/>
        <v>Milka</v>
      </c>
      <c r="M2977" s="6" t="str">
        <f t="shared" si="186"/>
        <v>Milka Alpenmilch Schokolade</v>
      </c>
      <c r="N2977" s="6" t="str">
        <f t="shared" si="187"/>
        <v>Austria,Czech Republic,Denmark,Finland,France,Germany,Hungary,Norway,Slovakia,Sweden,Switzerland</v>
      </c>
    </row>
    <row r="2978" spans="1:14" x14ac:dyDescent="0.25">
      <c r="A2978" s="6" t="s">
        <v>6968</v>
      </c>
      <c r="B2978" s="6">
        <v>5053</v>
      </c>
      <c r="C2978" s="6" t="s">
        <v>7017</v>
      </c>
      <c r="D2978" s="7" t="s">
        <v>7017</v>
      </c>
      <c r="E2978" s="6" t="s">
        <v>39</v>
      </c>
      <c r="F2978" s="6" t="s">
        <v>6969</v>
      </c>
      <c r="G2978" s="8">
        <v>45889</v>
      </c>
      <c r="H2978" s="6">
        <v>13.16</v>
      </c>
      <c r="I2978" s="6" cm="1">
        <f t="array" ref="I2978">IFERROR(VALUE(TRIM(LEFT(E2978,MIN(FIND({" ";"g";"k";"m";"o"},E2978&amp;" gkmo"))-1))),0)</f>
        <v>150</v>
      </c>
      <c r="J2978" s="6" t="str" cm="1">
        <f t="array" ref="J2978">IFERROR(TRIM(MID(E2978,MIN(FIND({" ";"g";"k";"m";"o"},E2978&amp;" gkmo")),10)),"unknown")</f>
        <v>g</v>
      </c>
      <c r="K2978" s="6" t="str">
        <f t="shared" si="184"/>
        <v>g</v>
      </c>
      <c r="L2978" s="6" t="str">
        <f t="shared" si="185"/>
        <v>Unknown</v>
      </c>
      <c r="M2978" s="6" t="str">
        <f t="shared" si="186"/>
        <v>Unknown</v>
      </c>
      <c r="N2978" s="6" t="str">
        <f t="shared" si="187"/>
        <v>France,Germany,Italy,</v>
      </c>
    </row>
    <row r="2979" spans="1:14" x14ac:dyDescent="0.25">
      <c r="A2979" s="6" t="s">
        <v>6970</v>
      </c>
      <c r="B2979" s="6">
        <v>11550</v>
      </c>
      <c r="C2979" s="6" t="s">
        <v>6971</v>
      </c>
      <c r="D2979" s="7" t="s">
        <v>744</v>
      </c>
      <c r="E2979" s="6" t="s">
        <v>6972</v>
      </c>
      <c r="F2979" s="6" t="s">
        <v>4092</v>
      </c>
      <c r="G2979" s="8">
        <v>45661</v>
      </c>
      <c r="H2979" s="6">
        <v>13.16</v>
      </c>
      <c r="I2979" s="6" cm="1">
        <f t="array" ref="I2979">IFERROR(VALUE(TRIM(LEFT(E2979,MIN(FIND({" ";"g";"k";"m";"o"},E2979&amp;" gkmo"))-1))),0)</f>
        <v>250</v>
      </c>
      <c r="J2979" s="6" t="str" cm="1">
        <f t="array" ref="J2979">IFERROR(TRIM(MID(E2979,MIN(FIND({" ";"g";"k";"m";"o"},E2979&amp;" gkmo")),10)),"unknown")</f>
        <v>g â„® (11</v>
      </c>
      <c r="K2979" s="6" t="str">
        <f t="shared" si="184"/>
        <v>g</v>
      </c>
      <c r="L2979" s="6" t="str">
        <f t="shared" si="185"/>
        <v>Lu, Mondelez</v>
      </c>
      <c r="M2979" s="6" t="str">
        <f t="shared" si="186"/>
        <v>Prince Maxi Gourmand</v>
      </c>
      <c r="N2979" s="6" t="str">
        <f t="shared" si="187"/>
        <v>Belgium,France,Netherlands</v>
      </c>
    </row>
    <row r="2980" spans="1:14" x14ac:dyDescent="0.25">
      <c r="A2980" s="6" t="s">
        <v>6973</v>
      </c>
      <c r="B2980" s="6">
        <v>5111</v>
      </c>
      <c r="C2980" s="6" t="s">
        <v>2667</v>
      </c>
      <c r="D2980" s="7" t="s">
        <v>2050</v>
      </c>
      <c r="E2980" s="6" t="s">
        <v>39</v>
      </c>
      <c r="F2980" s="6" t="s">
        <v>6974</v>
      </c>
      <c r="G2980" s="8">
        <v>45482</v>
      </c>
      <c r="H2980" s="6">
        <v>24.08</v>
      </c>
      <c r="I2980" s="6" cm="1">
        <f t="array" ref="I2980">IFERROR(VALUE(TRIM(LEFT(E2980,MIN(FIND({" ";"g";"k";"m";"o"},E2980&amp;" gkmo"))-1))),0)</f>
        <v>150</v>
      </c>
      <c r="J2980" s="6" t="str" cm="1">
        <f t="array" ref="J2980">IFERROR(TRIM(MID(E2980,MIN(FIND({" ";"g";"k";"m";"o"},E2980&amp;" gkmo")),10)),"unknown")</f>
        <v>g</v>
      </c>
      <c r="K2980" s="6" t="str">
        <f t="shared" si="184"/>
        <v>g</v>
      </c>
      <c r="L2980" s="6" t="str">
        <f t="shared" si="185"/>
        <v>Milka,Mondelez</v>
      </c>
      <c r="M2980" s="6" t="str">
        <f t="shared" si="186"/>
        <v>Choco Biscuits</v>
      </c>
      <c r="N2980" s="6" t="str">
        <f t="shared" si="187"/>
        <v>Canada,France,Poland,Romania</v>
      </c>
    </row>
    <row r="2981" spans="1:14" x14ac:dyDescent="0.25">
      <c r="A2981" s="6" t="s">
        <v>6975</v>
      </c>
      <c r="B2981" s="6">
        <v>12572</v>
      </c>
      <c r="C2981" s="6" t="s">
        <v>6976</v>
      </c>
      <c r="D2981" s="7" t="s">
        <v>6977</v>
      </c>
      <c r="E2981" s="6" t="s">
        <v>2237</v>
      </c>
      <c r="F2981" s="6" t="s">
        <v>139</v>
      </c>
      <c r="G2981" s="8">
        <v>45472</v>
      </c>
      <c r="H2981" s="6">
        <v>24.79</v>
      </c>
      <c r="I2981" s="6" cm="1">
        <f t="array" ref="I2981">IFERROR(VALUE(TRIM(LEFT(E2981,MIN(FIND({" ";"g";"k";"m";"o"},E2981&amp;" gkmo"))-1))),0)</f>
        <v>184</v>
      </c>
      <c r="J2981" s="6" t="str" cm="1">
        <f t="array" ref="J2981">IFERROR(TRIM(MID(E2981,MIN(FIND({" ";"g";"k";"m";"o"},E2981&amp;" gkmo")),10)),"unknown")</f>
        <v>g</v>
      </c>
      <c r="K2981" s="6" t="str">
        <f t="shared" si="184"/>
        <v>g</v>
      </c>
      <c r="L2981" s="6" t="str">
        <f t="shared" si="185"/>
        <v>Granola,Lu</v>
      </c>
      <c r="M2981" s="6" t="str">
        <f t="shared" si="186"/>
        <v>Granola Cookies Chocolat &amp; Noisettes</v>
      </c>
      <c r="N2981" s="6" t="str">
        <f t="shared" si="187"/>
        <v>France</v>
      </c>
    </row>
    <row r="2982" spans="1:14" x14ac:dyDescent="0.25">
      <c r="A2982" s="6" t="s">
        <v>6978</v>
      </c>
      <c r="B2982" s="6">
        <v>5528</v>
      </c>
      <c r="C2982" s="6" t="s">
        <v>6979</v>
      </c>
      <c r="D2982" s="7" t="s">
        <v>814</v>
      </c>
      <c r="E2982" s="6" t="s">
        <v>335</v>
      </c>
      <c r="F2982" s="6" t="s">
        <v>113</v>
      </c>
      <c r="G2982" s="8">
        <v>45820</v>
      </c>
      <c r="H2982" s="6">
        <v>3.81</v>
      </c>
      <c r="I2982" s="6" cm="1">
        <f t="array" ref="I2982">IFERROR(VALUE(TRIM(LEFT(E2982,MIN(FIND({" ";"g";"k";"m";"o"},E2982&amp;" gkmo"))-1))),0)</f>
        <v>250</v>
      </c>
      <c r="J2982" s="6" t="str" cm="1">
        <f t="array" ref="J2982">IFERROR(TRIM(MID(E2982,MIN(FIND({" ";"g";"k";"m";"o"},E2982&amp;" gkmo")),10)),"unknown")</f>
        <v>g</v>
      </c>
      <c r="K2982" s="6" t="str">
        <f t="shared" si="184"/>
        <v>g</v>
      </c>
      <c r="L2982" s="6" t="str">
        <f t="shared" si="185"/>
        <v>Mondelez</v>
      </c>
      <c r="M2982" s="6" t="str">
        <f t="shared" si="186"/>
        <v>Cracker Tuc Classico</v>
      </c>
      <c r="N2982" s="6" t="str">
        <f t="shared" si="187"/>
        <v>Italia</v>
      </c>
    </row>
    <row r="2983" spans="1:14" x14ac:dyDescent="0.25">
      <c r="A2983" s="6" t="s">
        <v>6980</v>
      </c>
      <c r="B2983" s="6">
        <v>11654</v>
      </c>
      <c r="C2983" s="6" t="s">
        <v>6981</v>
      </c>
      <c r="D2983" s="7" t="s">
        <v>7017</v>
      </c>
      <c r="E2983" s="6" t="s">
        <v>6982</v>
      </c>
      <c r="F2983" s="6" t="s">
        <v>1356</v>
      </c>
      <c r="G2983" s="8">
        <v>45732</v>
      </c>
      <c r="H2983" s="6">
        <v>8.68</v>
      </c>
      <c r="I2983" s="6" cm="1">
        <f t="array" ref="I2983">IFERROR(VALUE(TRIM(LEFT(E2983,MIN(FIND({" ";"g";"k";"m";"o"},E2983&amp;" gkmo"))-1))),0)</f>
        <v>269</v>
      </c>
      <c r="J2983" s="6" t="str" cm="1">
        <f t="array" ref="J2983">IFERROR(TRIM(MID(E2983,MIN(FIND({" ";"g";"k";"m";"o"},E2983&amp;" gkmo")),10)),"unknown")</f>
        <v>g</v>
      </c>
      <c r="K2983" s="6" t="str">
        <f t="shared" si="184"/>
        <v>g</v>
      </c>
      <c r="L2983" s="6" t="str">
        <f t="shared" si="185"/>
        <v>Unknown</v>
      </c>
      <c r="M2983" s="6" t="str">
        <f t="shared" si="186"/>
        <v>Ferrero Collection</v>
      </c>
      <c r="N2983" s="6" t="str">
        <f t="shared" si="187"/>
        <v>France,Germany</v>
      </c>
    </row>
    <row r="2984" spans="1:14" x14ac:dyDescent="0.25">
      <c r="A2984" s="6" t="s">
        <v>6983</v>
      </c>
      <c r="B2984" s="6">
        <v>11053</v>
      </c>
      <c r="C2984" s="6" t="s">
        <v>6984</v>
      </c>
      <c r="D2984" s="7" t="s">
        <v>6985</v>
      </c>
      <c r="E2984" s="6" t="s">
        <v>39</v>
      </c>
      <c r="F2984" s="6" t="s">
        <v>8226</v>
      </c>
      <c r="G2984" s="8">
        <v>45806</v>
      </c>
      <c r="H2984" s="6">
        <v>16.79</v>
      </c>
      <c r="I2984" s="6" cm="1">
        <f t="array" ref="I2984">IFERROR(VALUE(TRIM(LEFT(E2984,MIN(FIND({" ";"g";"k";"m";"o"},E2984&amp;" gkmo"))-1))),0)</f>
        <v>150</v>
      </c>
      <c r="J2984" s="6" t="str" cm="1">
        <f t="array" ref="J2984">IFERROR(TRIM(MID(E2984,MIN(FIND({" ";"g";"k";"m";"o"},E2984&amp;" gkmo")),10)),"unknown")</f>
        <v>g</v>
      </c>
      <c r="K2984" s="6" t="str">
        <f t="shared" si="184"/>
        <v>g</v>
      </c>
      <c r="L2984" s="6" t="str">
        <f t="shared" si="185"/>
        <v>San Carlo</v>
      </c>
      <c r="M2984" s="6" t="str">
        <f t="shared" si="186"/>
        <v>1936 Antica Ricetta</v>
      </c>
      <c r="N2984" s="6" t="str">
        <f t="shared" si="187"/>
        <v>France,Italia</v>
      </c>
    </row>
    <row r="2985" spans="1:14" x14ac:dyDescent="0.25">
      <c r="A2985" s="6" t="s">
        <v>6986</v>
      </c>
      <c r="B2985" s="6">
        <v>10559</v>
      </c>
      <c r="C2985" s="6" t="s">
        <v>6987</v>
      </c>
      <c r="D2985" s="7" t="s">
        <v>7017</v>
      </c>
      <c r="E2985" s="6" t="s">
        <v>1790</v>
      </c>
      <c r="F2985" s="6" t="s">
        <v>1174</v>
      </c>
      <c r="G2985" s="8">
        <v>45421</v>
      </c>
      <c r="H2985" s="6">
        <v>23.42</v>
      </c>
      <c r="I2985" s="6" cm="1">
        <f t="array" ref="I2985">IFERROR(VALUE(TRIM(LEFT(E2985,MIN(FIND({" ";"g";"k";"m";"o"},E2985&amp;" gkmo"))-1))),0)</f>
        <v>75</v>
      </c>
      <c r="J2985" s="6" t="str" cm="1">
        <f t="array" ref="J2985">IFERROR(TRIM(MID(E2985,MIN(FIND({" ";"g";"k";"m";"o"},E2985&amp;" gkmo")),10)),"unknown")</f>
        <v>g</v>
      </c>
      <c r="K2985" s="6" t="str">
        <f t="shared" si="184"/>
        <v>g</v>
      </c>
      <c r="L2985" s="6" t="str">
        <f t="shared" si="185"/>
        <v>Unknown</v>
      </c>
      <c r="M2985" s="6" t="str">
        <f t="shared" si="186"/>
        <v>Nero Nero 99%</v>
      </c>
      <c r="N2985" s="6" t="str">
        <f t="shared" si="187"/>
        <v>France,Italie</v>
      </c>
    </row>
    <row r="2986" spans="1:14" x14ac:dyDescent="0.25">
      <c r="A2986" s="6" t="s">
        <v>6988</v>
      </c>
      <c r="B2986" s="6">
        <v>14413</v>
      </c>
      <c r="C2986" s="6" t="s">
        <v>6989</v>
      </c>
      <c r="D2986" s="7" t="s">
        <v>7692</v>
      </c>
      <c r="E2986" s="6">
        <v>3</v>
      </c>
      <c r="F2986" s="6" t="s">
        <v>8205</v>
      </c>
      <c r="G2986" s="8">
        <v>45679</v>
      </c>
      <c r="H2986" s="6">
        <v>12.86</v>
      </c>
      <c r="I2986" s="6" cm="1">
        <f t="array" ref="I2986">IFERROR(VALUE(TRIM(LEFT(E2986,MIN(FIND({" ";"g";"k";"m";"o"},E2986&amp;" gkmo"))-1))),0)</f>
        <v>3</v>
      </c>
      <c r="J2986" s="6" t="str" cm="1">
        <f t="array" ref="J2986">IFERROR(TRIM(MID(E2986,MIN(FIND({" ";"g";"k";"m";"o"},E2986&amp;" gkmo")),10)),"unknown")</f>
        <v/>
      </c>
      <c r="K2986" s="6" t="str">
        <f t="shared" si="184"/>
        <v>unknown</v>
      </c>
      <c r="L2986" s="6" t="str">
        <f t="shared" si="185"/>
        <v>Schà¤R</v>
      </c>
      <c r="M2986" s="6" t="str">
        <f t="shared" si="186"/>
        <v>Choco Keks</v>
      </c>
      <c r="N2986" s="6" t="str">
        <f t="shared" si="187"/>
        <v>Croatia, Finland, France, Spain, Switzerland, Morocco</v>
      </c>
    </row>
    <row r="2987" spans="1:14" x14ac:dyDescent="0.25">
      <c r="A2987" s="6" t="s">
        <v>6990</v>
      </c>
      <c r="B2987" s="6">
        <v>6839</v>
      </c>
      <c r="C2987" s="6" t="s">
        <v>7890</v>
      </c>
      <c r="D2987" s="7" t="s">
        <v>7017</v>
      </c>
      <c r="E2987" s="6" t="s">
        <v>6991</v>
      </c>
      <c r="F2987" s="6" t="s">
        <v>8231</v>
      </c>
      <c r="G2987" s="8">
        <v>46005</v>
      </c>
      <c r="H2987" s="6">
        <v>4.6100000000000003</v>
      </c>
      <c r="I2987" s="6" cm="1">
        <f t="array" ref="I2987">IFERROR(VALUE(TRIM(LEFT(E2987,MIN(FIND({" ";"g";"k";"m";"o"},E2987&amp;" gkmo"))-1))),0)</f>
        <v>840</v>
      </c>
      <c r="J2987" s="6" t="str" cm="1">
        <f t="array" ref="J2987">IFERROR(TRIM(MID(E2987,MIN(FIND({" ";"g";"k";"m";"o"},E2987&amp;" gkmo")),10)),"unknown")</f>
        <v>g</v>
      </c>
      <c r="K2987" s="6" t="str">
        <f t="shared" si="184"/>
        <v>g</v>
      </c>
      <c r="L2987" s="6" t="str">
        <f t="shared" si="185"/>
        <v>Unknown</v>
      </c>
      <c r="M2987" s="6" t="str">
        <f t="shared" si="186"/>
        <v>Active Integral Gullà³N</v>
      </c>
      <c r="N2987" s="6" t="str">
        <f t="shared" si="187"/>
        <v>France,Espaà±A</v>
      </c>
    </row>
    <row r="2988" spans="1:14" x14ac:dyDescent="0.25">
      <c r="A2988" s="6" t="s">
        <v>6992</v>
      </c>
      <c r="B2988" s="6">
        <v>13402</v>
      </c>
      <c r="C2988" s="6" t="s">
        <v>7891</v>
      </c>
      <c r="D2988" s="7" t="s">
        <v>6993</v>
      </c>
      <c r="E2988" s="6" t="s">
        <v>3220</v>
      </c>
      <c r="F2988" s="6" t="s">
        <v>7595</v>
      </c>
      <c r="G2988" s="8">
        <v>46055</v>
      </c>
      <c r="H2988" s="6">
        <v>19.829999999999998</v>
      </c>
      <c r="I2988" s="6" cm="1">
        <f t="array" ref="I2988">IFERROR(VALUE(TRIM(LEFT(E2988,MIN(FIND({" ";"g";"k";"m";"o"},E2988&amp;" gkmo"))-1))),0)</f>
        <v>190</v>
      </c>
      <c r="J2988" s="6" t="str" cm="1">
        <f t="array" ref="J2988">IFERROR(TRIM(MID(E2988,MIN(FIND({" ";"g";"k";"m";"o"},E2988&amp;" gkmo")),10)),"unknown")</f>
        <v>g</v>
      </c>
      <c r="K2988" s="6" t="str">
        <f t="shared" si="184"/>
        <v>g</v>
      </c>
      <c r="L2988" s="6" t="str">
        <f t="shared" si="185"/>
        <v>Santiveri</v>
      </c>
      <c r="M2988" s="6" t="str">
        <f t="shared" si="186"/>
        <v>Galletas Integrales Arà¡Ndano 0% Azàºcares Aà±Adidos</v>
      </c>
      <c r="N2988" s="6" t="str">
        <f t="shared" si="187"/>
        <v>Espaà±A</v>
      </c>
    </row>
    <row r="2989" spans="1:14" x14ac:dyDescent="0.25">
      <c r="A2989" s="6" t="s">
        <v>6994</v>
      </c>
      <c r="B2989" s="6">
        <v>6540</v>
      </c>
      <c r="C2989" s="6" t="s">
        <v>7892</v>
      </c>
      <c r="D2989" s="7" t="s">
        <v>452</v>
      </c>
      <c r="E2989" s="6" t="s">
        <v>1977</v>
      </c>
      <c r="F2989" s="6" t="s">
        <v>7595</v>
      </c>
      <c r="G2989" s="8">
        <v>45420</v>
      </c>
      <c r="H2989" s="6">
        <v>15.84</v>
      </c>
      <c r="I2989" s="6" cm="1">
        <f t="array" ref="I2989">IFERROR(VALUE(TRIM(LEFT(E2989,MIN(FIND({" ";"g";"k";"m";"o"},E2989&amp;" gkmo"))-1))),0)</f>
        <v>170</v>
      </c>
      <c r="J2989" s="6" t="str" cm="1">
        <f t="array" ref="J2989">IFERROR(TRIM(MID(E2989,MIN(FIND({" ";"g";"k";"m";"o"},E2989&amp;" gkmo")),10)),"unknown")</f>
        <v>g</v>
      </c>
      <c r="K2989" s="6" t="str">
        <f t="shared" si="184"/>
        <v>g</v>
      </c>
      <c r="L2989" s="6" t="str">
        <f t="shared" si="185"/>
        <v>Hacendado</v>
      </c>
      <c r="M2989" s="6" t="str">
        <f t="shared" si="186"/>
        <v>Maà­Z Crujiente Y Tierno</v>
      </c>
      <c r="N2989" s="6" t="str">
        <f t="shared" si="187"/>
        <v>Espaà±A</v>
      </c>
    </row>
    <row r="2990" spans="1:14" x14ac:dyDescent="0.25">
      <c r="A2990" s="6" t="s">
        <v>6995</v>
      </c>
      <c r="B2990" s="6">
        <v>7045</v>
      </c>
      <c r="C2990" s="6" t="s">
        <v>6996</v>
      </c>
      <c r="D2990" s="7" t="s">
        <v>248</v>
      </c>
      <c r="E2990" s="6" t="s">
        <v>1930</v>
      </c>
      <c r="F2990" s="6" t="s">
        <v>400</v>
      </c>
      <c r="G2990" s="8">
        <v>45742</v>
      </c>
      <c r="H2990" s="6">
        <v>14.53</v>
      </c>
      <c r="I2990" s="6" cm="1">
        <f t="array" ref="I2990">IFERROR(VALUE(TRIM(LEFT(E2990,MIN(FIND({" ";"g";"k";"m";"o"},E2990&amp;" gkmo"))-1))),0)</f>
        <v>110</v>
      </c>
      <c r="J2990" s="6" t="str" cm="1">
        <f t="array" ref="J2990">IFERROR(TRIM(MID(E2990,MIN(FIND({" ";"g";"k";"m";"o"},E2990&amp;" gkmo")),10)),"unknown")</f>
        <v>g</v>
      </c>
      <c r="K2990" s="6" t="str">
        <f t="shared" si="184"/>
        <v>g</v>
      </c>
      <c r="L2990" s="6" t="str">
        <f t="shared" si="185"/>
        <v>Tesco</v>
      </c>
      <c r="M2990" s="6" t="str">
        <f t="shared" si="186"/>
        <v>Sweet Popcorn</v>
      </c>
      <c r="N2990" s="6" t="str">
        <f t="shared" si="187"/>
        <v>France,United Kingdom</v>
      </c>
    </row>
    <row r="2991" spans="1:14" x14ac:dyDescent="0.25">
      <c r="A2991" s="6" t="s">
        <v>6997</v>
      </c>
      <c r="B2991" s="6">
        <v>9639</v>
      </c>
      <c r="C2991" s="6" t="s">
        <v>6998</v>
      </c>
      <c r="D2991" s="7" t="s">
        <v>7017</v>
      </c>
      <c r="E2991" s="6" t="s">
        <v>6999</v>
      </c>
      <c r="F2991" s="6" t="s">
        <v>400</v>
      </c>
      <c r="G2991" s="8">
        <v>45333</v>
      </c>
      <c r="H2991" s="6">
        <v>2.42</v>
      </c>
      <c r="I2991" s="6" cm="1">
        <f t="array" ref="I2991">IFERROR(VALUE(TRIM(LEFT(E2991,MIN(FIND({" ";"g";"k";"m";"o"},E2991&amp;" gkmo"))-1))),0)</f>
        <v>433</v>
      </c>
      <c r="J2991" s="6" t="str" cm="1">
        <f t="array" ref="J2991">IFERROR(TRIM(MID(E2991,MIN(FIND({" ";"g";"k";"m";"o"},E2991&amp;" gkmo")),10)),"unknown")</f>
        <v>g</v>
      </c>
      <c r="K2991" s="6" t="str">
        <f t="shared" si="184"/>
        <v>g</v>
      </c>
      <c r="L2991" s="6" t="str">
        <f t="shared" si="185"/>
        <v>Unknown</v>
      </c>
      <c r="M2991" s="6" t="str">
        <f t="shared" si="186"/>
        <v>Digestives Milk Chocolate</v>
      </c>
      <c r="N2991" s="6" t="str">
        <f t="shared" si="187"/>
        <v>France,United Kingdom</v>
      </c>
    </row>
    <row r="2992" spans="1:14" x14ac:dyDescent="0.25">
      <c r="A2992" s="6" t="s">
        <v>7000</v>
      </c>
      <c r="B2992" s="6">
        <v>13985</v>
      </c>
      <c r="C2992" s="6" t="s">
        <v>7001</v>
      </c>
      <c r="D2992" s="7" t="s">
        <v>452</v>
      </c>
      <c r="E2992" s="6" t="s">
        <v>132</v>
      </c>
      <c r="F2992" s="6" t="s">
        <v>7595</v>
      </c>
      <c r="G2992" s="8">
        <v>45938</v>
      </c>
      <c r="H2992" s="6">
        <v>21.32</v>
      </c>
      <c r="I2992" s="6" cm="1">
        <f t="array" ref="I2992">IFERROR(VALUE(TRIM(LEFT(E2992,MIN(FIND({" ";"g";"k";"m";"o"},E2992&amp;" gkmo"))-1))),0)</f>
        <v>350</v>
      </c>
      <c r="J2992" s="6" t="str" cm="1">
        <f t="array" ref="J2992">IFERROR(TRIM(MID(E2992,MIN(FIND({" ";"g";"k";"m";"o"},E2992&amp;" gkmo")),10)),"unknown")</f>
        <v>g</v>
      </c>
      <c r="K2992" s="6" t="str">
        <f t="shared" si="184"/>
        <v>g</v>
      </c>
      <c r="L2992" s="6" t="str">
        <f t="shared" si="185"/>
        <v>Hacendado</v>
      </c>
      <c r="M2992" s="6" t="str">
        <f t="shared" si="186"/>
        <v>Galletas Saladitas</v>
      </c>
      <c r="N2992" s="6" t="str">
        <f t="shared" si="187"/>
        <v>Espaà±A</v>
      </c>
    </row>
    <row r="2993" spans="1:14" x14ac:dyDescent="0.25">
      <c r="A2993" s="6" t="s">
        <v>7002</v>
      </c>
      <c r="B2993" s="6">
        <v>11535</v>
      </c>
      <c r="C2993" s="6" t="s">
        <v>7003</v>
      </c>
      <c r="D2993" s="7" t="s">
        <v>135</v>
      </c>
      <c r="E2993" s="6" t="s">
        <v>18</v>
      </c>
      <c r="F2993" s="6" t="s">
        <v>7997</v>
      </c>
      <c r="G2993" s="8">
        <v>45574</v>
      </c>
      <c r="H2993" s="6">
        <v>14.03</v>
      </c>
      <c r="I2993" s="6" cm="1">
        <f t="array" ref="I2993">IFERROR(VALUE(TRIM(LEFT(E2993,MIN(FIND({" ";"g";"k";"m";"o"},E2993&amp;" gkmo"))-1))),0)</f>
        <v>100</v>
      </c>
      <c r="J2993" s="6" t="str" cm="1">
        <f t="array" ref="J2993">IFERROR(TRIM(MID(E2993,MIN(FIND({" ";"g";"k";"m";"o"},E2993&amp;" gkmo")),10)),"unknown")</f>
        <v>g</v>
      </c>
      <c r="K2993" s="6" t="str">
        <f t="shared" si="184"/>
        <v>g</v>
      </c>
      <c r="L2993" s="6" t="str">
        <f t="shared" si="185"/>
        <v>Milka</v>
      </c>
      <c r="M2993" s="6" t="str">
        <f t="shared" si="186"/>
        <v>Milka Oreo Brownie</v>
      </c>
      <c r="N2993" s="6" t="str">
        <f t="shared" si="187"/>
        <v>Morocco, Spain, France</v>
      </c>
    </row>
    <row r="2994" spans="1:14" x14ac:dyDescent="0.25">
      <c r="A2994" s="6" t="s">
        <v>7004</v>
      </c>
      <c r="B2994" s="6">
        <v>11134</v>
      </c>
      <c r="C2994" s="6" t="s">
        <v>7452</v>
      </c>
      <c r="D2994" s="7" t="s">
        <v>488</v>
      </c>
      <c r="E2994" s="6" t="s">
        <v>39</v>
      </c>
      <c r="F2994" s="6" t="s">
        <v>139</v>
      </c>
      <c r="G2994" s="8">
        <v>45640</v>
      </c>
      <c r="H2994" s="6">
        <v>21.72</v>
      </c>
      <c r="I2994" s="6" cm="1">
        <f t="array" ref="I2994">IFERROR(VALUE(TRIM(LEFT(E2994,MIN(FIND({" ";"g";"k";"m";"o"},E2994&amp;" gkmo"))-1))),0)</f>
        <v>150</v>
      </c>
      <c r="J2994" s="6" t="str" cm="1">
        <f t="array" ref="J2994">IFERROR(TRIM(MID(E2994,MIN(FIND({" ";"g";"k";"m";"o"},E2994&amp;" gkmo")),10)),"unknown")</f>
        <v>g</v>
      </c>
      <c r="K2994" s="6" t="str">
        <f t="shared" si="184"/>
        <v>g</v>
      </c>
      <c r="L2994" s="6" t="str">
        <f t="shared" si="185"/>
        <v>Bonne Maman</v>
      </c>
      <c r="M2994" s="6" t="str">
        <f t="shared" si="186"/>
        <v>Sablés Noisette Chocolat</v>
      </c>
      <c r="N2994" s="6" t="str">
        <f t="shared" si="187"/>
        <v>France</v>
      </c>
    </row>
    <row r="2995" spans="1:14" x14ac:dyDescent="0.25">
      <c r="A2995" s="6" t="s">
        <v>7005</v>
      </c>
      <c r="B2995" s="6">
        <v>14870</v>
      </c>
      <c r="C2995" s="6" t="s">
        <v>7006</v>
      </c>
      <c r="D2995" s="7" t="s">
        <v>4028</v>
      </c>
      <c r="E2995" s="6"/>
      <c r="F2995" s="6" t="s">
        <v>8206</v>
      </c>
      <c r="G2995" s="8">
        <v>45699</v>
      </c>
      <c r="H2995" s="6">
        <v>13.16</v>
      </c>
      <c r="I2995" s="6" cm="1">
        <f t="array" ref="I2995">IFERROR(VALUE(TRIM(LEFT(E2995,MIN(FIND({" ";"g";"k";"m";"o"},E2995&amp;" gkmo"))-1))),0)</f>
        <v>0</v>
      </c>
      <c r="J2995" s="6" t="str" cm="1">
        <f t="array" ref="J2995">IFERROR(TRIM(MID(E2995,MIN(FIND({" ";"g";"k";"m";"o"},E2995&amp;" gkmo")),10)),"unknown")</f>
        <v/>
      </c>
      <c r="K2995" s="6" t="str">
        <f t="shared" si="184"/>
        <v>unknown</v>
      </c>
      <c r="L2995" s="6" t="str">
        <f t="shared" si="185"/>
        <v>Snack Day</v>
      </c>
      <c r="M2995" s="6" t="str">
        <f t="shared" si="186"/>
        <v>Brown Rice Crisps With Chia Seeds &amp; Quinoa</v>
      </c>
      <c r="N2995" s="6" t="str">
        <f t="shared" si="187"/>
        <v>Ð‘Ðµð»Ð³Ð¸Ñ,Ð‘Ñšð»Ð³Ð°Ñ€Ð¸Ñ,Bulgaria</v>
      </c>
    </row>
    <row r="2996" spans="1:14" x14ac:dyDescent="0.25">
      <c r="A2996" s="6" t="s">
        <v>7007</v>
      </c>
      <c r="B2996" s="6">
        <v>13739</v>
      </c>
      <c r="C2996" s="6" t="s">
        <v>648</v>
      </c>
      <c r="D2996" s="7" t="s">
        <v>613</v>
      </c>
      <c r="E2996" s="6"/>
      <c r="F2996" s="6" t="s">
        <v>8039</v>
      </c>
      <c r="G2996" s="8">
        <v>45746</v>
      </c>
      <c r="H2996" s="6">
        <v>3.78</v>
      </c>
      <c r="I2996" s="6" cm="1">
        <f t="array" ref="I2996">IFERROR(VALUE(TRIM(LEFT(E2996,MIN(FIND({" ";"g";"k";"m";"o"},E2996&amp;" gkmo"))-1))),0)</f>
        <v>0</v>
      </c>
      <c r="J2996" s="6" t="str" cm="1">
        <f t="array" ref="J2996">IFERROR(TRIM(MID(E2996,MIN(FIND({" ";"g";"k";"m";"o"},E2996&amp;" gkmo")),10)),"unknown")</f>
        <v/>
      </c>
      <c r="K2996" s="6" t="str">
        <f t="shared" si="184"/>
        <v>unknown</v>
      </c>
      <c r="L2996" s="6" t="str">
        <f t="shared" si="185"/>
        <v>Nakd</v>
      </c>
      <c r="M2996" s="6" t="str">
        <f t="shared" si="186"/>
        <v>Cocoa Orange</v>
      </c>
      <c r="N2996" s="6" t="str">
        <f t="shared" si="187"/>
        <v>Gb</v>
      </c>
    </row>
    <row r="2997" spans="1:14" x14ac:dyDescent="0.25">
      <c r="A2997" s="6" t="s">
        <v>7008</v>
      </c>
      <c r="B2997" s="6">
        <v>8212</v>
      </c>
      <c r="C2997" s="6" t="s">
        <v>7009</v>
      </c>
      <c r="D2997" s="7" t="s">
        <v>903</v>
      </c>
      <c r="E2997" s="6" t="s">
        <v>10</v>
      </c>
      <c r="F2997" s="6" t="s">
        <v>8207</v>
      </c>
      <c r="G2997" s="8">
        <v>45739</v>
      </c>
      <c r="H2997" s="6">
        <v>14.41</v>
      </c>
      <c r="I2997" s="6" cm="1">
        <f t="array" ref="I2997">IFERROR(VALUE(TRIM(LEFT(E2997,MIN(FIND({" ";"g";"k";"m";"o"},E2997&amp;" gkmo"))-1))),0)</f>
        <v>100</v>
      </c>
      <c r="J2997" s="6" t="str" cm="1">
        <f t="array" ref="J2997">IFERROR(TRIM(MID(E2997,MIN(FIND({" ";"g";"k";"m";"o"},E2997&amp;" gkmo")),10)),"unknown")</f>
        <v>g</v>
      </c>
      <c r="K2997" s="6" t="str">
        <f t="shared" si="184"/>
        <v>g</v>
      </c>
      <c r="L2997" s="6" t="str">
        <f t="shared" si="185"/>
        <v>Coop</v>
      </c>
      <c r="M2997" s="6" t="str">
        <f t="shared" si="186"/>
        <v>Chocolate For Change Dark Chocolate With Orange</v>
      </c>
      <c r="N2997" s="6" t="str">
        <f t="shared" si="187"/>
        <v>Germany,United-Kingdom</v>
      </c>
    </row>
    <row r="2998" spans="1:14" x14ac:dyDescent="0.25">
      <c r="A2998" s="6" t="s">
        <v>7010</v>
      </c>
      <c r="B2998" s="6">
        <v>13398</v>
      </c>
      <c r="C2998" s="6" t="s">
        <v>7011</v>
      </c>
      <c r="D2998" s="7" t="s">
        <v>7053</v>
      </c>
      <c r="E2998" s="6" t="s">
        <v>151</v>
      </c>
      <c r="F2998" s="6" t="s">
        <v>7926</v>
      </c>
      <c r="G2998" s="8">
        <v>45660</v>
      </c>
      <c r="H2998" s="6">
        <v>17.579999999999998</v>
      </c>
      <c r="I2998" s="6" cm="1">
        <f t="array" ref="I2998">IFERROR(VALUE(TRIM(LEFT(E2998,MIN(FIND({" ";"g";"k";"m";"o"},E2998&amp;" gkmo"))-1))),0)</f>
        <v>200</v>
      </c>
      <c r="J2998" s="6" t="str" cm="1">
        <f t="array" ref="J2998">IFERROR(TRIM(MID(E2998,MIN(FIND({" ";"g";"k";"m";"o"},E2998&amp;" gkmo")),10)),"unknown")</f>
        <v>g</v>
      </c>
      <c r="K2998" s="6" t="str">
        <f t="shared" si="184"/>
        <v>g</v>
      </c>
      <c r="L2998" s="6" t="str">
        <f t="shared" si="185"/>
        <v>Fin Carré</v>
      </c>
      <c r="M2998" s="6" t="str">
        <f t="shared" si="186"/>
        <v>Lait Dessert</v>
      </c>
      <c r="N2998" s="6" t="str">
        <f t="shared" si="187"/>
        <v>France, United-Kingdom</v>
      </c>
    </row>
    <row r="2999" spans="1:14" x14ac:dyDescent="0.25">
      <c r="A2999" s="6" t="s">
        <v>7012</v>
      </c>
      <c r="B2999" s="6">
        <v>8050</v>
      </c>
      <c r="C2999" s="6" t="s">
        <v>7013</v>
      </c>
      <c r="D2999" s="7" t="s">
        <v>3122</v>
      </c>
      <c r="E2999" s="6">
        <v>700</v>
      </c>
      <c r="F2999" s="6" t="s">
        <v>8226</v>
      </c>
      <c r="G2999" s="8">
        <v>45902</v>
      </c>
      <c r="H2999" s="6">
        <v>21.35</v>
      </c>
      <c r="I2999" s="6" cm="1">
        <f t="array" ref="I2999">IFERROR(VALUE(TRIM(LEFT(E2999,MIN(FIND({" ";"g";"k";"m";"o"},E2999&amp;" gkmo"))-1))),0)</f>
        <v>700</v>
      </c>
      <c r="J2999" s="6" t="str" cm="1">
        <f t="array" ref="J2999">IFERROR(TRIM(MID(E2999,MIN(FIND({" ";"g";"k";"m";"o"},E2999&amp;" gkmo")),10)),"unknown")</f>
        <v/>
      </c>
      <c r="K2999" s="6" t="str">
        <f t="shared" si="184"/>
        <v>unknown</v>
      </c>
      <c r="L2999" s="6" t="str">
        <f t="shared" si="185"/>
        <v>Balocco</v>
      </c>
      <c r="M2999" s="6" t="str">
        <f t="shared" si="186"/>
        <v>Rusticotti</v>
      </c>
      <c r="N2999" s="6" t="str">
        <f t="shared" si="187"/>
        <v>France,Italia</v>
      </c>
    </row>
    <row r="3000" spans="1:14" x14ac:dyDescent="0.25">
      <c r="A3000" s="6" t="s">
        <v>7014</v>
      </c>
      <c r="B3000" s="6">
        <v>11809</v>
      </c>
      <c r="C3000" s="6" t="s">
        <v>7015</v>
      </c>
      <c r="D3000" s="7" t="s">
        <v>7016</v>
      </c>
      <c r="E3000" s="6" t="s">
        <v>621</v>
      </c>
      <c r="F3000" s="6" t="s">
        <v>2973</v>
      </c>
      <c r="G3000" s="8">
        <v>45633</v>
      </c>
      <c r="H3000" s="6">
        <v>7.47</v>
      </c>
      <c r="I3000" s="6" cm="1">
        <f t="array" ref="I3000">IFERROR(VALUE(TRIM(LEFT(E3000,MIN(FIND({" ";"g";"k";"m";"o"},E3000&amp;" gkmo"))-1))),0)</f>
        <v>160</v>
      </c>
      <c r="J3000" s="6" t="str" cm="1">
        <f t="array" ref="J3000">IFERROR(TRIM(MID(E3000,MIN(FIND({" ";"g";"k";"m";"o"},E3000&amp;" gkmo")),10)),"unknown")</f>
        <v>g</v>
      </c>
      <c r="K3000" s="6" t="str">
        <f t="shared" si="184"/>
        <v>g</v>
      </c>
      <c r="L3000" s="6" t="str">
        <f t="shared" si="185"/>
        <v>Higgidy</v>
      </c>
      <c r="M3000" s="6" t="str">
        <f t="shared" si="186"/>
        <v>Cheddar &amp; Onion Chutney Rolls</v>
      </c>
      <c r="N3000" s="6" t="str">
        <f t="shared" si="187"/>
        <v>Gb</v>
      </c>
    </row>
  </sheetData>
  <autoFilter ref="A1:K3000" xr:uid="{00000000-0009-0000-0000-000000000000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"/>
  <sheetViews>
    <sheetView workbookViewId="0">
      <selection activeCell="A2" sqref="A2"/>
    </sheetView>
  </sheetViews>
  <sheetFormatPr defaultRowHeight="15" x14ac:dyDescent="0.25"/>
  <cols>
    <col min="1" max="1" width="15" customWidth="1"/>
  </cols>
  <sheetData>
    <row r="1" spans="1:1" x14ac:dyDescent="0.25">
      <c r="A1" t="s">
        <v>7018</v>
      </c>
    </row>
    <row r="2" spans="1:1" x14ac:dyDescent="0.25">
      <c r="A2" cm="1">
        <f t="array" ref="A2">MEDIAN(IF('online_retail_real_world - Copy'!$H$2:$H$3000&gt;0,'online_retail_real_world - Copy'!$H$2:$H$3000))</f>
        <v>13.16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online_retail_real_world - Copy</vt:lpstr>
      <vt:lpstr>MEDIAN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HP</cp:lastModifiedBy>
  <dcterms:created xsi:type="dcterms:W3CDTF">2026-03-14T08:08:24Z</dcterms:created>
  <dcterms:modified xsi:type="dcterms:W3CDTF">2026-03-14T08:22:22Z</dcterms:modified>
</cp:coreProperties>
</file>